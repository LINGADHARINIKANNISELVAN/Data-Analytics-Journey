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E:\Career Guidance Program\Phase 3\"/>
    </mc:Choice>
  </mc:AlternateContent>
  <xr:revisionPtr revIDLastSave="0" documentId="13_ncr:1_{DE6BE71C-2234-4FDC-BC97-72A37434AB9E}" xr6:coauthVersionLast="47" xr6:coauthVersionMax="47" xr10:uidLastSave="{00000000-0000-0000-0000-000000000000}"/>
  <bookViews>
    <workbookView xWindow="-120" yWindow="-120" windowWidth="20730" windowHeight="11040" firstSheet="3" activeTab="4" xr2:uid="{0F720DF4-CDFE-4CA4-B290-122EC6EA5E5B}"/>
  </bookViews>
  <sheets>
    <sheet name="Quantity Analysis" sheetId="7" r:id="rId1"/>
    <sheet name="Price Trend Analysis" sheetId="8" r:id="rId2"/>
    <sheet name="Price Vs Delivery Analysis" sheetId="9" r:id="rId3"/>
    <sheet name="Cost Saving &amp; Quality Analysis" sheetId="10" r:id="rId4"/>
    <sheet name="Final Dashboard" sheetId="11" r:id="rId5"/>
    <sheet name="KPIs_Pivot" sheetId="12" r:id="rId6"/>
    <sheet name="vendor_cost_comparison_procurem" sheetId="1" r:id="rId7"/>
    <sheet name="Data Understanding" sheetId="2" r:id="rId8"/>
    <sheet name="Vendor Price Analysis" sheetId="4" r:id="rId9"/>
    <sheet name="Vendor Delivery Analysis" sheetId="5" r:id="rId10"/>
  </sheets>
  <definedNames>
    <definedName name="Slicer_Compliance">#N/A</definedName>
    <definedName name="Slicer_Order_Status">#N/A</definedName>
    <definedName name="Slicer_Product">#N/A</definedName>
    <definedName name="Slicer_Vendor_ID">#N/A</definedName>
  </definedNames>
  <calcPr calcId="191029"/>
  <pivotCaches>
    <pivotCache cacheId="28"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A8" i="1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alcChain>
</file>

<file path=xl/sharedStrings.xml><?xml version="1.0" encoding="utf-8"?>
<sst xmlns="http://schemas.openxmlformats.org/spreadsheetml/2006/main" count="10457" uniqueCount="2085">
  <si>
    <t>PO_ID</t>
  </si>
  <si>
    <t>Vendor_ID</t>
  </si>
  <si>
    <t>Product</t>
  </si>
  <si>
    <t>Order_Date</t>
  </si>
  <si>
    <t>Delivery_Date</t>
  </si>
  <si>
    <t>Order_Status</t>
  </si>
  <si>
    <t>Quantity</t>
  </si>
  <si>
    <t>Unit_Cost</t>
  </si>
  <si>
    <t>Negotiated_Cost</t>
  </si>
  <si>
    <t>Defective_Units</t>
  </si>
  <si>
    <t>Compliance</t>
  </si>
  <si>
    <t>PO-00001</t>
  </si>
  <si>
    <t>Vendor_D</t>
  </si>
  <si>
    <t>Router</t>
  </si>
  <si>
    <t>Delivered</t>
  </si>
  <si>
    <t>Compliant</t>
  </si>
  <si>
    <t>PO-00002</t>
  </si>
  <si>
    <t>Vendor_C</t>
  </si>
  <si>
    <t>Hard Drive</t>
  </si>
  <si>
    <t>PO-00003</t>
  </si>
  <si>
    <t>Vendor_A</t>
  </si>
  <si>
    <t>Packaging Box</t>
  </si>
  <si>
    <t>Cancelled</t>
  </si>
  <si>
    <t>PO-00004</t>
  </si>
  <si>
    <t>Monitor</t>
  </si>
  <si>
    <t>Non-Compliant</t>
  </si>
  <si>
    <t>PO-00005</t>
  </si>
  <si>
    <t>Vendor_B</t>
  </si>
  <si>
    <t>Desktop</t>
  </si>
  <si>
    <t>PO-00006</t>
  </si>
  <si>
    <t>Keyboard</t>
  </si>
  <si>
    <t>PO-00007</t>
  </si>
  <si>
    <t>Vendor_F</t>
  </si>
  <si>
    <t>Pending</t>
  </si>
  <si>
    <t>PO-00008</t>
  </si>
  <si>
    <t>Vendor_H</t>
  </si>
  <si>
    <t>Mouse</t>
  </si>
  <si>
    <t>Partially Delivered</t>
  </si>
  <si>
    <t>PO-00009</t>
  </si>
  <si>
    <t>PO-00010</t>
  </si>
  <si>
    <t>Vendor_G</t>
  </si>
  <si>
    <t>PO-00011</t>
  </si>
  <si>
    <t>Desk</t>
  </si>
  <si>
    <t>PO-00012</t>
  </si>
  <si>
    <t>Office Chair</t>
  </si>
  <si>
    <t>PO-00013</t>
  </si>
  <si>
    <t>Vendor_E</t>
  </si>
  <si>
    <t>PO-00014</t>
  </si>
  <si>
    <t>SSD</t>
  </si>
  <si>
    <t>PO-00015</t>
  </si>
  <si>
    <t>Laptop</t>
  </si>
  <si>
    <t>PO-00016</t>
  </si>
  <si>
    <t>PO-00017</t>
  </si>
  <si>
    <t>PO-00018</t>
  </si>
  <si>
    <t>PO-00019</t>
  </si>
  <si>
    <t>Printer</t>
  </si>
  <si>
    <t>PO-00020</t>
  </si>
  <si>
    <t>PO-00021</t>
  </si>
  <si>
    <t>PO-00022</t>
  </si>
  <si>
    <t>PO-00023</t>
  </si>
  <si>
    <t>PO-00024</t>
  </si>
  <si>
    <t>PO-00025</t>
  </si>
  <si>
    <t>PO-00026</t>
  </si>
  <si>
    <t>PO-00027</t>
  </si>
  <si>
    <t>PO-00028</t>
  </si>
  <si>
    <t>PO-00029</t>
  </si>
  <si>
    <t>PO-00030</t>
  </si>
  <si>
    <t>PO-00031</t>
  </si>
  <si>
    <t>PO-00032</t>
  </si>
  <si>
    <t>PO-00033</t>
  </si>
  <si>
    <t>PO-00034</t>
  </si>
  <si>
    <t>PO-00035</t>
  </si>
  <si>
    <t>PO-00036</t>
  </si>
  <si>
    <t>PO-00037</t>
  </si>
  <si>
    <t>PO-00038</t>
  </si>
  <si>
    <t>PO-00039</t>
  </si>
  <si>
    <t>PO-00040</t>
  </si>
  <si>
    <t>PO-00041</t>
  </si>
  <si>
    <t>PO-00042</t>
  </si>
  <si>
    <t>PO-00043</t>
  </si>
  <si>
    <t>PO-00044</t>
  </si>
  <si>
    <t>PO-00045</t>
  </si>
  <si>
    <t>PO-00046</t>
  </si>
  <si>
    <t>PO-00047</t>
  </si>
  <si>
    <t>PO-00048</t>
  </si>
  <si>
    <t>PO-00049</t>
  </si>
  <si>
    <t>PO-00050</t>
  </si>
  <si>
    <t>PO-00051</t>
  </si>
  <si>
    <t>PO-00052</t>
  </si>
  <si>
    <t>PO-00053</t>
  </si>
  <si>
    <t>PO-00054</t>
  </si>
  <si>
    <t>PO-00055</t>
  </si>
  <si>
    <t>PO-00056</t>
  </si>
  <si>
    <t>PO-00057</t>
  </si>
  <si>
    <t>PO-00058</t>
  </si>
  <si>
    <t>PO-00059</t>
  </si>
  <si>
    <t>PO-00060</t>
  </si>
  <si>
    <t>PO-00061</t>
  </si>
  <si>
    <t>PO-00062</t>
  </si>
  <si>
    <t>PO-00063</t>
  </si>
  <si>
    <t>PO-00064</t>
  </si>
  <si>
    <t>PO-00065</t>
  </si>
  <si>
    <t>PO-00066</t>
  </si>
  <si>
    <t>PO-00067</t>
  </si>
  <si>
    <t>PO-00068</t>
  </si>
  <si>
    <t>PO-00069</t>
  </si>
  <si>
    <t>PO-00070</t>
  </si>
  <si>
    <t>PO-00071</t>
  </si>
  <si>
    <t>PO-00072</t>
  </si>
  <si>
    <t>PO-00073</t>
  </si>
  <si>
    <t>PO-00074</t>
  </si>
  <si>
    <t>PO-00075</t>
  </si>
  <si>
    <t>PO-00076</t>
  </si>
  <si>
    <t>PO-00077</t>
  </si>
  <si>
    <t>PO-00078</t>
  </si>
  <si>
    <t>PO-00079</t>
  </si>
  <si>
    <t>PO-00080</t>
  </si>
  <si>
    <t>PO-00081</t>
  </si>
  <si>
    <t>PO-00082</t>
  </si>
  <si>
    <t>PO-00083</t>
  </si>
  <si>
    <t>PO-00084</t>
  </si>
  <si>
    <t>PO-00085</t>
  </si>
  <si>
    <t>PO-00086</t>
  </si>
  <si>
    <t>PO-00087</t>
  </si>
  <si>
    <t>PO-00088</t>
  </si>
  <si>
    <t>PO-00089</t>
  </si>
  <si>
    <t>PO-00090</t>
  </si>
  <si>
    <t>PO-00091</t>
  </si>
  <si>
    <t>PO-00092</t>
  </si>
  <si>
    <t>PO-00093</t>
  </si>
  <si>
    <t>PO-00094</t>
  </si>
  <si>
    <t>PO-00095</t>
  </si>
  <si>
    <t>PO-00096</t>
  </si>
  <si>
    <t>PO-00097</t>
  </si>
  <si>
    <t>PO-00098</t>
  </si>
  <si>
    <t>PO-00099</t>
  </si>
  <si>
    <t>PO-00100</t>
  </si>
  <si>
    <t>PO-00101</t>
  </si>
  <si>
    <t>PO-00102</t>
  </si>
  <si>
    <t>PO-00103</t>
  </si>
  <si>
    <t>PO-00104</t>
  </si>
  <si>
    <t>PO-00105</t>
  </si>
  <si>
    <t>PO-00106</t>
  </si>
  <si>
    <t>PO-00107</t>
  </si>
  <si>
    <t>PO-00108</t>
  </si>
  <si>
    <t>PO-00109</t>
  </si>
  <si>
    <t>PO-00110</t>
  </si>
  <si>
    <t>PO-00111</t>
  </si>
  <si>
    <t>PO-00112</t>
  </si>
  <si>
    <t>PO-00113</t>
  </si>
  <si>
    <t>PO-00114</t>
  </si>
  <si>
    <t>PO-00115</t>
  </si>
  <si>
    <t>PO-00116</t>
  </si>
  <si>
    <t>PO-00117</t>
  </si>
  <si>
    <t>PO-00118</t>
  </si>
  <si>
    <t>PO-00119</t>
  </si>
  <si>
    <t>PO-00120</t>
  </si>
  <si>
    <t>PO-00121</t>
  </si>
  <si>
    <t>PO-00122</t>
  </si>
  <si>
    <t>PO-00123</t>
  </si>
  <si>
    <t>PO-00124</t>
  </si>
  <si>
    <t>PO-00125</t>
  </si>
  <si>
    <t>PO-00126</t>
  </si>
  <si>
    <t>PO-00127</t>
  </si>
  <si>
    <t>PO-00128</t>
  </si>
  <si>
    <t>PO-00129</t>
  </si>
  <si>
    <t>PO-00130</t>
  </si>
  <si>
    <t>PO-00131</t>
  </si>
  <si>
    <t>PO-00132</t>
  </si>
  <si>
    <t>PO-00133</t>
  </si>
  <si>
    <t>PO-00134</t>
  </si>
  <si>
    <t>PO-00135</t>
  </si>
  <si>
    <t>PO-00136</t>
  </si>
  <si>
    <t>PO-00137</t>
  </si>
  <si>
    <t>PO-00138</t>
  </si>
  <si>
    <t>PO-00139</t>
  </si>
  <si>
    <t>PO-00140</t>
  </si>
  <si>
    <t>PO-00141</t>
  </si>
  <si>
    <t>PO-00142</t>
  </si>
  <si>
    <t>PO-00143</t>
  </si>
  <si>
    <t>PO-00144</t>
  </si>
  <si>
    <t>PO-00145</t>
  </si>
  <si>
    <t>PO-00146</t>
  </si>
  <si>
    <t>PO-00147</t>
  </si>
  <si>
    <t>PO-00148</t>
  </si>
  <si>
    <t>PO-00149</t>
  </si>
  <si>
    <t>PO-00150</t>
  </si>
  <si>
    <t>PO-00151</t>
  </si>
  <si>
    <t>PO-00152</t>
  </si>
  <si>
    <t>PO-00153</t>
  </si>
  <si>
    <t>PO-00154</t>
  </si>
  <si>
    <t>PO-00155</t>
  </si>
  <si>
    <t>PO-00156</t>
  </si>
  <si>
    <t>PO-00157</t>
  </si>
  <si>
    <t>PO-00158</t>
  </si>
  <si>
    <t>PO-00159</t>
  </si>
  <si>
    <t>PO-00160</t>
  </si>
  <si>
    <t>PO-00161</t>
  </si>
  <si>
    <t>PO-00162</t>
  </si>
  <si>
    <t>PO-00163</t>
  </si>
  <si>
    <t>PO-00164</t>
  </si>
  <si>
    <t>PO-00165</t>
  </si>
  <si>
    <t>PO-00166</t>
  </si>
  <si>
    <t>PO-00167</t>
  </si>
  <si>
    <t>PO-00168</t>
  </si>
  <si>
    <t>PO-00169</t>
  </si>
  <si>
    <t>PO-00170</t>
  </si>
  <si>
    <t>PO-00171</t>
  </si>
  <si>
    <t>PO-00172</t>
  </si>
  <si>
    <t>PO-00173</t>
  </si>
  <si>
    <t>PO-00174</t>
  </si>
  <si>
    <t>PO-00175</t>
  </si>
  <si>
    <t>PO-00176</t>
  </si>
  <si>
    <t>PO-00177</t>
  </si>
  <si>
    <t>PO-00178</t>
  </si>
  <si>
    <t>PO-00179</t>
  </si>
  <si>
    <t>PO-00180</t>
  </si>
  <si>
    <t>PO-00181</t>
  </si>
  <si>
    <t>PO-00182</t>
  </si>
  <si>
    <t>PO-00183</t>
  </si>
  <si>
    <t>PO-00184</t>
  </si>
  <si>
    <t>PO-00185</t>
  </si>
  <si>
    <t>PO-00186</t>
  </si>
  <si>
    <t>PO-00187</t>
  </si>
  <si>
    <t>PO-00188</t>
  </si>
  <si>
    <t>PO-00189</t>
  </si>
  <si>
    <t>PO-00190</t>
  </si>
  <si>
    <t>PO-00191</t>
  </si>
  <si>
    <t>PO-00192</t>
  </si>
  <si>
    <t>PO-00193</t>
  </si>
  <si>
    <t>PO-00194</t>
  </si>
  <si>
    <t>PO-00195</t>
  </si>
  <si>
    <t>PO-00196</t>
  </si>
  <si>
    <t>PO-00197</t>
  </si>
  <si>
    <t>PO-00198</t>
  </si>
  <si>
    <t>PO-00199</t>
  </si>
  <si>
    <t>PO-00200</t>
  </si>
  <si>
    <t>PO-00201</t>
  </si>
  <si>
    <t>PO-00202</t>
  </si>
  <si>
    <t>PO-00203</t>
  </si>
  <si>
    <t>PO-00204</t>
  </si>
  <si>
    <t>PO-00205</t>
  </si>
  <si>
    <t>PO-00206</t>
  </si>
  <si>
    <t>PO-00207</t>
  </si>
  <si>
    <t>PO-00208</t>
  </si>
  <si>
    <t>PO-00209</t>
  </si>
  <si>
    <t>PO-00210</t>
  </si>
  <si>
    <t>PO-00211</t>
  </si>
  <si>
    <t>PO-00212</t>
  </si>
  <si>
    <t>PO-00213</t>
  </si>
  <si>
    <t>PO-00214</t>
  </si>
  <si>
    <t>PO-00215</t>
  </si>
  <si>
    <t>PO-00216</t>
  </si>
  <si>
    <t>PO-00217</t>
  </si>
  <si>
    <t>PO-00218</t>
  </si>
  <si>
    <t>PO-00219</t>
  </si>
  <si>
    <t>PO-00220</t>
  </si>
  <si>
    <t>PO-00221</t>
  </si>
  <si>
    <t>PO-00222</t>
  </si>
  <si>
    <t>PO-00223</t>
  </si>
  <si>
    <t>PO-00224</t>
  </si>
  <si>
    <t>PO-00225</t>
  </si>
  <si>
    <t>PO-00226</t>
  </si>
  <si>
    <t>PO-00227</t>
  </si>
  <si>
    <t>PO-00228</t>
  </si>
  <si>
    <t>PO-00229</t>
  </si>
  <si>
    <t>PO-00230</t>
  </si>
  <si>
    <t>PO-00231</t>
  </si>
  <si>
    <t>PO-00232</t>
  </si>
  <si>
    <t>PO-00233</t>
  </si>
  <si>
    <t>PO-00234</t>
  </si>
  <si>
    <t>PO-00235</t>
  </si>
  <si>
    <t>PO-00236</t>
  </si>
  <si>
    <t>PO-00237</t>
  </si>
  <si>
    <t>PO-00238</t>
  </si>
  <si>
    <t>PO-00239</t>
  </si>
  <si>
    <t>PO-00240</t>
  </si>
  <si>
    <t>PO-00241</t>
  </si>
  <si>
    <t>PO-00242</t>
  </si>
  <si>
    <t>PO-00243</t>
  </si>
  <si>
    <t>PO-00244</t>
  </si>
  <si>
    <t>PO-00245</t>
  </si>
  <si>
    <t>PO-00246</t>
  </si>
  <si>
    <t>PO-00247</t>
  </si>
  <si>
    <t>PO-00248</t>
  </si>
  <si>
    <t>PO-00249</t>
  </si>
  <si>
    <t>PO-00250</t>
  </si>
  <si>
    <t>PO-00251</t>
  </si>
  <si>
    <t>PO-00252</t>
  </si>
  <si>
    <t>PO-00253</t>
  </si>
  <si>
    <t>PO-00254</t>
  </si>
  <si>
    <t>PO-00255</t>
  </si>
  <si>
    <t>PO-00256</t>
  </si>
  <si>
    <t>PO-00257</t>
  </si>
  <si>
    <t>PO-00258</t>
  </si>
  <si>
    <t>PO-00259</t>
  </si>
  <si>
    <t>PO-00260</t>
  </si>
  <si>
    <t>PO-00261</t>
  </si>
  <si>
    <t>PO-00262</t>
  </si>
  <si>
    <t>PO-00263</t>
  </si>
  <si>
    <t>PO-00264</t>
  </si>
  <si>
    <t>PO-00265</t>
  </si>
  <si>
    <t>PO-00266</t>
  </si>
  <si>
    <t>PO-00267</t>
  </si>
  <si>
    <t>PO-00268</t>
  </si>
  <si>
    <t>PO-00269</t>
  </si>
  <si>
    <t>PO-00270</t>
  </si>
  <si>
    <t>PO-00271</t>
  </si>
  <si>
    <t>PO-00272</t>
  </si>
  <si>
    <t>PO-00273</t>
  </si>
  <si>
    <t>PO-00274</t>
  </si>
  <si>
    <t>PO-00275</t>
  </si>
  <si>
    <t>PO-00276</t>
  </si>
  <si>
    <t>PO-00277</t>
  </si>
  <si>
    <t>PO-00278</t>
  </si>
  <si>
    <t>PO-00279</t>
  </si>
  <si>
    <t>PO-00280</t>
  </si>
  <si>
    <t>PO-00281</t>
  </si>
  <si>
    <t>PO-00282</t>
  </si>
  <si>
    <t>PO-00283</t>
  </si>
  <si>
    <t>PO-00284</t>
  </si>
  <si>
    <t>PO-00285</t>
  </si>
  <si>
    <t>PO-00286</t>
  </si>
  <si>
    <t>PO-00287</t>
  </si>
  <si>
    <t>PO-00288</t>
  </si>
  <si>
    <t>PO-00289</t>
  </si>
  <si>
    <t>PO-00290</t>
  </si>
  <si>
    <t>PO-00291</t>
  </si>
  <si>
    <t>PO-00292</t>
  </si>
  <si>
    <t>PO-00293</t>
  </si>
  <si>
    <t>PO-00294</t>
  </si>
  <si>
    <t>PO-00295</t>
  </si>
  <si>
    <t>PO-00296</t>
  </si>
  <si>
    <t>PO-00297</t>
  </si>
  <si>
    <t>PO-00298</t>
  </si>
  <si>
    <t>PO-00299</t>
  </si>
  <si>
    <t>PO-00300</t>
  </si>
  <si>
    <t>PO-00301</t>
  </si>
  <si>
    <t>PO-00302</t>
  </si>
  <si>
    <t>PO-00303</t>
  </si>
  <si>
    <t>PO-00304</t>
  </si>
  <si>
    <t>PO-00305</t>
  </si>
  <si>
    <t>PO-00306</t>
  </si>
  <si>
    <t>PO-00307</t>
  </si>
  <si>
    <t>PO-00308</t>
  </si>
  <si>
    <t>PO-00309</t>
  </si>
  <si>
    <t>PO-00310</t>
  </si>
  <si>
    <t>PO-00311</t>
  </si>
  <si>
    <t>PO-00312</t>
  </si>
  <si>
    <t>PO-00313</t>
  </si>
  <si>
    <t>PO-00314</t>
  </si>
  <si>
    <t>PO-00315</t>
  </si>
  <si>
    <t>PO-00316</t>
  </si>
  <si>
    <t>PO-00317</t>
  </si>
  <si>
    <t>PO-00318</t>
  </si>
  <si>
    <t>PO-00319</t>
  </si>
  <si>
    <t>PO-00320</t>
  </si>
  <si>
    <t>PO-00321</t>
  </si>
  <si>
    <t>PO-00322</t>
  </si>
  <si>
    <t>PO-00323</t>
  </si>
  <si>
    <t>PO-00324</t>
  </si>
  <si>
    <t>PO-00325</t>
  </si>
  <si>
    <t>PO-00326</t>
  </si>
  <si>
    <t>PO-00327</t>
  </si>
  <si>
    <t>PO-00328</t>
  </si>
  <si>
    <t>PO-00329</t>
  </si>
  <si>
    <t>PO-00330</t>
  </si>
  <si>
    <t>PO-00331</t>
  </si>
  <si>
    <t>PO-00332</t>
  </si>
  <si>
    <t>PO-00333</t>
  </si>
  <si>
    <t>PO-00334</t>
  </si>
  <si>
    <t>PO-00335</t>
  </si>
  <si>
    <t>PO-00336</t>
  </si>
  <si>
    <t>PO-00337</t>
  </si>
  <si>
    <t>PO-00338</t>
  </si>
  <si>
    <t>PO-00339</t>
  </si>
  <si>
    <t>PO-00340</t>
  </si>
  <si>
    <t>PO-00341</t>
  </si>
  <si>
    <t>PO-00342</t>
  </si>
  <si>
    <t>PO-00343</t>
  </si>
  <si>
    <t>PO-00344</t>
  </si>
  <si>
    <t>PO-00345</t>
  </si>
  <si>
    <t>PO-00346</t>
  </si>
  <si>
    <t>PO-00347</t>
  </si>
  <si>
    <t>PO-00348</t>
  </si>
  <si>
    <t>PO-00349</t>
  </si>
  <si>
    <t>PO-00350</t>
  </si>
  <si>
    <t>PO-00351</t>
  </si>
  <si>
    <t>PO-00352</t>
  </si>
  <si>
    <t>PO-00353</t>
  </si>
  <si>
    <t>PO-00354</t>
  </si>
  <si>
    <t>PO-00355</t>
  </si>
  <si>
    <t>PO-00356</t>
  </si>
  <si>
    <t>PO-00357</t>
  </si>
  <si>
    <t>PO-00358</t>
  </si>
  <si>
    <t>PO-00359</t>
  </si>
  <si>
    <t>PO-00360</t>
  </si>
  <si>
    <t>PO-00361</t>
  </si>
  <si>
    <t>PO-00362</t>
  </si>
  <si>
    <t>PO-00363</t>
  </si>
  <si>
    <t>PO-00364</t>
  </si>
  <si>
    <t>PO-00365</t>
  </si>
  <si>
    <t>PO-00366</t>
  </si>
  <si>
    <t>PO-00367</t>
  </si>
  <si>
    <t>PO-00368</t>
  </si>
  <si>
    <t>PO-00369</t>
  </si>
  <si>
    <t>PO-00370</t>
  </si>
  <si>
    <t>PO-00371</t>
  </si>
  <si>
    <t>PO-00372</t>
  </si>
  <si>
    <t>PO-00373</t>
  </si>
  <si>
    <t>PO-00374</t>
  </si>
  <si>
    <t>PO-00375</t>
  </si>
  <si>
    <t>PO-00376</t>
  </si>
  <si>
    <t>PO-00377</t>
  </si>
  <si>
    <t>PO-00378</t>
  </si>
  <si>
    <t>PO-00379</t>
  </si>
  <si>
    <t>PO-00380</t>
  </si>
  <si>
    <t>PO-00381</t>
  </si>
  <si>
    <t>PO-00382</t>
  </si>
  <si>
    <t>PO-00383</t>
  </si>
  <si>
    <t>PO-00384</t>
  </si>
  <si>
    <t>PO-00385</t>
  </si>
  <si>
    <t>PO-00386</t>
  </si>
  <si>
    <t>PO-00387</t>
  </si>
  <si>
    <t>PO-00388</t>
  </si>
  <si>
    <t>PO-00389</t>
  </si>
  <si>
    <t>PO-00390</t>
  </si>
  <si>
    <t>PO-00391</t>
  </si>
  <si>
    <t>PO-00392</t>
  </si>
  <si>
    <t>PO-00393</t>
  </si>
  <si>
    <t>PO-00394</t>
  </si>
  <si>
    <t>PO-00395</t>
  </si>
  <si>
    <t>PO-00396</t>
  </si>
  <si>
    <t>PO-00397</t>
  </si>
  <si>
    <t>PO-00398</t>
  </si>
  <si>
    <t>PO-00399</t>
  </si>
  <si>
    <t>PO-00400</t>
  </si>
  <si>
    <t>PO-00401</t>
  </si>
  <si>
    <t>PO-00402</t>
  </si>
  <si>
    <t>PO-00403</t>
  </si>
  <si>
    <t>PO-00404</t>
  </si>
  <si>
    <t>PO-00405</t>
  </si>
  <si>
    <t>PO-00406</t>
  </si>
  <si>
    <t>PO-00407</t>
  </si>
  <si>
    <t>PO-00408</t>
  </si>
  <si>
    <t>PO-00409</t>
  </si>
  <si>
    <t>PO-00410</t>
  </si>
  <si>
    <t>PO-00411</t>
  </si>
  <si>
    <t>PO-00412</t>
  </si>
  <si>
    <t>PO-00413</t>
  </si>
  <si>
    <t>PO-00414</t>
  </si>
  <si>
    <t>PO-00415</t>
  </si>
  <si>
    <t>PO-00416</t>
  </si>
  <si>
    <t>PO-00417</t>
  </si>
  <si>
    <t>PO-00418</t>
  </si>
  <si>
    <t>PO-00419</t>
  </si>
  <si>
    <t>PO-00420</t>
  </si>
  <si>
    <t>PO-00421</t>
  </si>
  <si>
    <t>PO-00422</t>
  </si>
  <si>
    <t>PO-00423</t>
  </si>
  <si>
    <t>PO-00424</t>
  </si>
  <si>
    <t>PO-00425</t>
  </si>
  <si>
    <t>PO-00426</t>
  </si>
  <si>
    <t>PO-00427</t>
  </si>
  <si>
    <t>PO-00428</t>
  </si>
  <si>
    <t>PO-00429</t>
  </si>
  <si>
    <t>PO-00430</t>
  </si>
  <si>
    <t>PO-00431</t>
  </si>
  <si>
    <t>PO-00432</t>
  </si>
  <si>
    <t>PO-00433</t>
  </si>
  <si>
    <t>PO-00434</t>
  </si>
  <si>
    <t>PO-00435</t>
  </si>
  <si>
    <t>PO-00436</t>
  </si>
  <si>
    <t>PO-00437</t>
  </si>
  <si>
    <t>PO-00438</t>
  </si>
  <si>
    <t>PO-00439</t>
  </si>
  <si>
    <t>PO-00440</t>
  </si>
  <si>
    <t>PO-00441</t>
  </si>
  <si>
    <t>PO-00442</t>
  </si>
  <si>
    <t>PO-00443</t>
  </si>
  <si>
    <t>PO-00444</t>
  </si>
  <si>
    <t>PO-00445</t>
  </si>
  <si>
    <t>PO-00446</t>
  </si>
  <si>
    <t>PO-00447</t>
  </si>
  <si>
    <t>PO-00448</t>
  </si>
  <si>
    <t>PO-00449</t>
  </si>
  <si>
    <t>PO-00450</t>
  </si>
  <si>
    <t>PO-00451</t>
  </si>
  <si>
    <t>PO-00452</t>
  </si>
  <si>
    <t>PO-00453</t>
  </si>
  <si>
    <t>PO-00454</t>
  </si>
  <si>
    <t>PO-00455</t>
  </si>
  <si>
    <t>PO-00456</t>
  </si>
  <si>
    <t>PO-00457</t>
  </si>
  <si>
    <t>PO-00458</t>
  </si>
  <si>
    <t>PO-00459</t>
  </si>
  <si>
    <t>PO-00460</t>
  </si>
  <si>
    <t>PO-00461</t>
  </si>
  <si>
    <t>PO-00462</t>
  </si>
  <si>
    <t>PO-00463</t>
  </si>
  <si>
    <t>PO-00464</t>
  </si>
  <si>
    <t>PO-00465</t>
  </si>
  <si>
    <t>PO-00466</t>
  </si>
  <si>
    <t>PO-00467</t>
  </si>
  <si>
    <t>PO-00468</t>
  </si>
  <si>
    <t>PO-00469</t>
  </si>
  <si>
    <t>PO-00470</t>
  </si>
  <si>
    <t>PO-00471</t>
  </si>
  <si>
    <t>PO-00472</t>
  </si>
  <si>
    <t>PO-00473</t>
  </si>
  <si>
    <t>PO-00474</t>
  </si>
  <si>
    <t>PO-00475</t>
  </si>
  <si>
    <t>PO-00476</t>
  </si>
  <si>
    <t>PO-00477</t>
  </si>
  <si>
    <t>PO-00478</t>
  </si>
  <si>
    <t>PO-00479</t>
  </si>
  <si>
    <t>PO-00480</t>
  </si>
  <si>
    <t>PO-00481</t>
  </si>
  <si>
    <t>PO-00482</t>
  </si>
  <si>
    <t>PO-00483</t>
  </si>
  <si>
    <t>PO-00484</t>
  </si>
  <si>
    <t>PO-00485</t>
  </si>
  <si>
    <t>PO-00486</t>
  </si>
  <si>
    <t>PO-00487</t>
  </si>
  <si>
    <t>PO-00488</t>
  </si>
  <si>
    <t>PO-00489</t>
  </si>
  <si>
    <t>PO-00490</t>
  </si>
  <si>
    <t>PO-00491</t>
  </si>
  <si>
    <t>PO-00492</t>
  </si>
  <si>
    <t>PO-00493</t>
  </si>
  <si>
    <t>PO-00494</t>
  </si>
  <si>
    <t>PO-00495</t>
  </si>
  <si>
    <t>PO-00496</t>
  </si>
  <si>
    <t>PO-00497</t>
  </si>
  <si>
    <t>PO-00498</t>
  </si>
  <si>
    <t>PO-00499</t>
  </si>
  <si>
    <t>PO-00500</t>
  </si>
  <si>
    <t>PO-00501</t>
  </si>
  <si>
    <t>PO-00502</t>
  </si>
  <si>
    <t>PO-00503</t>
  </si>
  <si>
    <t>PO-00504</t>
  </si>
  <si>
    <t>PO-00505</t>
  </si>
  <si>
    <t>PO-00506</t>
  </si>
  <si>
    <t>PO-00507</t>
  </si>
  <si>
    <t>PO-00508</t>
  </si>
  <si>
    <t>PO-00509</t>
  </si>
  <si>
    <t>PO-00510</t>
  </si>
  <si>
    <t>PO-00511</t>
  </si>
  <si>
    <t>PO-00512</t>
  </si>
  <si>
    <t>PO-00513</t>
  </si>
  <si>
    <t>PO-00514</t>
  </si>
  <si>
    <t>PO-00515</t>
  </si>
  <si>
    <t>PO-00516</t>
  </si>
  <si>
    <t>PO-00517</t>
  </si>
  <si>
    <t>PO-00518</t>
  </si>
  <si>
    <t>PO-00519</t>
  </si>
  <si>
    <t>PO-00520</t>
  </si>
  <si>
    <t>PO-00521</t>
  </si>
  <si>
    <t>PO-00522</t>
  </si>
  <si>
    <t>PO-00523</t>
  </si>
  <si>
    <t>PO-00524</t>
  </si>
  <si>
    <t>PO-00525</t>
  </si>
  <si>
    <t>PO-00526</t>
  </si>
  <si>
    <t>PO-00527</t>
  </si>
  <si>
    <t>PO-00528</t>
  </si>
  <si>
    <t>PO-00529</t>
  </si>
  <si>
    <t>PO-00530</t>
  </si>
  <si>
    <t>PO-00531</t>
  </si>
  <si>
    <t>PO-00532</t>
  </si>
  <si>
    <t>PO-00533</t>
  </si>
  <si>
    <t>PO-00534</t>
  </si>
  <si>
    <t>PO-00535</t>
  </si>
  <si>
    <t>PO-00536</t>
  </si>
  <si>
    <t>PO-00537</t>
  </si>
  <si>
    <t>PO-00538</t>
  </si>
  <si>
    <t>PO-00539</t>
  </si>
  <si>
    <t>PO-00540</t>
  </si>
  <si>
    <t>PO-00541</t>
  </si>
  <si>
    <t>PO-00542</t>
  </si>
  <si>
    <t>PO-00543</t>
  </si>
  <si>
    <t>PO-00544</t>
  </si>
  <si>
    <t>PO-00545</t>
  </si>
  <si>
    <t>PO-00546</t>
  </si>
  <si>
    <t>PO-00547</t>
  </si>
  <si>
    <t>PO-00548</t>
  </si>
  <si>
    <t>PO-00549</t>
  </si>
  <si>
    <t>PO-00550</t>
  </si>
  <si>
    <t>PO-00551</t>
  </si>
  <si>
    <t>PO-00552</t>
  </si>
  <si>
    <t>PO-00553</t>
  </si>
  <si>
    <t>PO-00554</t>
  </si>
  <si>
    <t>PO-00555</t>
  </si>
  <si>
    <t>PO-00556</t>
  </si>
  <si>
    <t>PO-00557</t>
  </si>
  <si>
    <t>PO-00558</t>
  </si>
  <si>
    <t>PO-00559</t>
  </si>
  <si>
    <t>PO-00560</t>
  </si>
  <si>
    <t>PO-00561</t>
  </si>
  <si>
    <t>PO-00562</t>
  </si>
  <si>
    <t>PO-00563</t>
  </si>
  <si>
    <t>PO-00564</t>
  </si>
  <si>
    <t>PO-00565</t>
  </si>
  <si>
    <t>PO-00566</t>
  </si>
  <si>
    <t>PO-00567</t>
  </si>
  <si>
    <t>PO-00568</t>
  </si>
  <si>
    <t>PO-00569</t>
  </si>
  <si>
    <t>PO-00570</t>
  </si>
  <si>
    <t>PO-00571</t>
  </si>
  <si>
    <t>PO-00572</t>
  </si>
  <si>
    <t>PO-00573</t>
  </si>
  <si>
    <t>PO-00574</t>
  </si>
  <si>
    <t>PO-00575</t>
  </si>
  <si>
    <t>PO-00576</t>
  </si>
  <si>
    <t>PO-00577</t>
  </si>
  <si>
    <t>PO-00578</t>
  </si>
  <si>
    <t>PO-00579</t>
  </si>
  <si>
    <t>PO-00580</t>
  </si>
  <si>
    <t>PO-00581</t>
  </si>
  <si>
    <t>PO-00582</t>
  </si>
  <si>
    <t>PO-00583</t>
  </si>
  <si>
    <t>PO-00584</t>
  </si>
  <si>
    <t>PO-00585</t>
  </si>
  <si>
    <t>PO-00586</t>
  </si>
  <si>
    <t>PO-00587</t>
  </si>
  <si>
    <t>PO-00588</t>
  </si>
  <si>
    <t>PO-00589</t>
  </si>
  <si>
    <t>PO-00590</t>
  </si>
  <si>
    <t>PO-00591</t>
  </si>
  <si>
    <t>PO-00592</t>
  </si>
  <si>
    <t>PO-00593</t>
  </si>
  <si>
    <t>PO-00594</t>
  </si>
  <si>
    <t>PO-00595</t>
  </si>
  <si>
    <t>PO-00596</t>
  </si>
  <si>
    <t>PO-00597</t>
  </si>
  <si>
    <t>PO-00598</t>
  </si>
  <si>
    <t>PO-00599</t>
  </si>
  <si>
    <t>PO-00600</t>
  </si>
  <si>
    <t>PO-00601</t>
  </si>
  <si>
    <t>PO-00602</t>
  </si>
  <si>
    <t>PO-00603</t>
  </si>
  <si>
    <t>PO-00604</t>
  </si>
  <si>
    <t>PO-00605</t>
  </si>
  <si>
    <t>PO-00606</t>
  </si>
  <si>
    <t>PO-00607</t>
  </si>
  <si>
    <t>PO-00608</t>
  </si>
  <si>
    <t>PO-00609</t>
  </si>
  <si>
    <t>PO-00610</t>
  </si>
  <si>
    <t>PO-00611</t>
  </si>
  <si>
    <t>PO-00612</t>
  </si>
  <si>
    <t>PO-00613</t>
  </si>
  <si>
    <t>PO-00614</t>
  </si>
  <si>
    <t>PO-00615</t>
  </si>
  <si>
    <t>PO-00616</t>
  </si>
  <si>
    <t>PO-00617</t>
  </si>
  <si>
    <t>PO-00618</t>
  </si>
  <si>
    <t>PO-00619</t>
  </si>
  <si>
    <t>PO-00620</t>
  </si>
  <si>
    <t>PO-00621</t>
  </si>
  <si>
    <t>PO-00622</t>
  </si>
  <si>
    <t>PO-00623</t>
  </si>
  <si>
    <t>PO-00624</t>
  </si>
  <si>
    <t>PO-00625</t>
  </si>
  <si>
    <t>PO-00626</t>
  </si>
  <si>
    <t>PO-00627</t>
  </si>
  <si>
    <t>PO-00628</t>
  </si>
  <si>
    <t>PO-00629</t>
  </si>
  <si>
    <t>PO-00630</t>
  </si>
  <si>
    <t>PO-00631</t>
  </si>
  <si>
    <t>PO-00632</t>
  </si>
  <si>
    <t>PO-00633</t>
  </si>
  <si>
    <t>PO-00634</t>
  </si>
  <si>
    <t>PO-00635</t>
  </si>
  <si>
    <t>PO-00636</t>
  </si>
  <si>
    <t>PO-00637</t>
  </si>
  <si>
    <t>PO-00638</t>
  </si>
  <si>
    <t>PO-00639</t>
  </si>
  <si>
    <t>PO-00640</t>
  </si>
  <si>
    <t>PO-00641</t>
  </si>
  <si>
    <t>PO-00642</t>
  </si>
  <si>
    <t>PO-00643</t>
  </si>
  <si>
    <t>PO-00644</t>
  </si>
  <si>
    <t>PO-00645</t>
  </si>
  <si>
    <t>PO-00646</t>
  </si>
  <si>
    <t>PO-00647</t>
  </si>
  <si>
    <t>PO-00648</t>
  </si>
  <si>
    <t>PO-00649</t>
  </si>
  <si>
    <t>PO-00650</t>
  </si>
  <si>
    <t>PO-00651</t>
  </si>
  <si>
    <t>PO-00652</t>
  </si>
  <si>
    <t>PO-00653</t>
  </si>
  <si>
    <t>PO-00654</t>
  </si>
  <si>
    <t>PO-00655</t>
  </si>
  <si>
    <t>PO-00656</t>
  </si>
  <si>
    <t>PO-00657</t>
  </si>
  <si>
    <t>PO-00658</t>
  </si>
  <si>
    <t>PO-00659</t>
  </si>
  <si>
    <t>PO-00660</t>
  </si>
  <si>
    <t>PO-00661</t>
  </si>
  <si>
    <t>PO-00662</t>
  </si>
  <si>
    <t>PO-00663</t>
  </si>
  <si>
    <t>PO-00664</t>
  </si>
  <si>
    <t>PO-00665</t>
  </si>
  <si>
    <t>PO-00666</t>
  </si>
  <si>
    <t>PO-00667</t>
  </si>
  <si>
    <t>PO-00668</t>
  </si>
  <si>
    <t>PO-00669</t>
  </si>
  <si>
    <t>PO-00670</t>
  </si>
  <si>
    <t>PO-00671</t>
  </si>
  <si>
    <t>PO-00672</t>
  </si>
  <si>
    <t>PO-00673</t>
  </si>
  <si>
    <t>PO-00674</t>
  </si>
  <si>
    <t>PO-00675</t>
  </si>
  <si>
    <t>PO-00676</t>
  </si>
  <si>
    <t>PO-00677</t>
  </si>
  <si>
    <t>PO-00678</t>
  </si>
  <si>
    <t>PO-00679</t>
  </si>
  <si>
    <t>PO-00680</t>
  </si>
  <si>
    <t>PO-00681</t>
  </si>
  <si>
    <t>PO-00682</t>
  </si>
  <si>
    <t>PO-00683</t>
  </si>
  <si>
    <t>PO-00684</t>
  </si>
  <si>
    <t>PO-00685</t>
  </si>
  <si>
    <t>PO-00686</t>
  </si>
  <si>
    <t>PO-00687</t>
  </si>
  <si>
    <t>PO-00688</t>
  </si>
  <si>
    <t>PO-00689</t>
  </si>
  <si>
    <t>PO-00690</t>
  </si>
  <si>
    <t>PO-00691</t>
  </si>
  <si>
    <t>PO-00692</t>
  </si>
  <si>
    <t>PO-00693</t>
  </si>
  <si>
    <t>PO-00694</t>
  </si>
  <si>
    <t>PO-00695</t>
  </si>
  <si>
    <t>PO-00696</t>
  </si>
  <si>
    <t>PO-00697</t>
  </si>
  <si>
    <t>PO-00698</t>
  </si>
  <si>
    <t>PO-00699</t>
  </si>
  <si>
    <t>PO-00700</t>
  </si>
  <si>
    <t>PO-00701</t>
  </si>
  <si>
    <t>PO-00702</t>
  </si>
  <si>
    <t>PO-00703</t>
  </si>
  <si>
    <t>PO-00704</t>
  </si>
  <si>
    <t>PO-00705</t>
  </si>
  <si>
    <t>PO-00706</t>
  </si>
  <si>
    <t>PO-00707</t>
  </si>
  <si>
    <t>PO-00708</t>
  </si>
  <si>
    <t>PO-00709</t>
  </si>
  <si>
    <t>PO-00710</t>
  </si>
  <si>
    <t>PO-00711</t>
  </si>
  <si>
    <t>PO-00712</t>
  </si>
  <si>
    <t>PO-00713</t>
  </si>
  <si>
    <t>PO-00714</t>
  </si>
  <si>
    <t>PO-00715</t>
  </si>
  <si>
    <t>PO-00716</t>
  </si>
  <si>
    <t>PO-00717</t>
  </si>
  <si>
    <t>PO-00718</t>
  </si>
  <si>
    <t>PO-00719</t>
  </si>
  <si>
    <t>PO-00720</t>
  </si>
  <si>
    <t>PO-00721</t>
  </si>
  <si>
    <t>PO-00722</t>
  </si>
  <si>
    <t>PO-00723</t>
  </si>
  <si>
    <t>PO-00724</t>
  </si>
  <si>
    <t>PO-00725</t>
  </si>
  <si>
    <t>PO-00726</t>
  </si>
  <si>
    <t>PO-00727</t>
  </si>
  <si>
    <t>PO-00728</t>
  </si>
  <si>
    <t>PO-00729</t>
  </si>
  <si>
    <t>PO-00730</t>
  </si>
  <si>
    <t>PO-00731</t>
  </si>
  <si>
    <t>PO-00732</t>
  </si>
  <si>
    <t>PO-00733</t>
  </si>
  <si>
    <t>PO-00734</t>
  </si>
  <si>
    <t>PO-00735</t>
  </si>
  <si>
    <t>PO-00736</t>
  </si>
  <si>
    <t>PO-00737</t>
  </si>
  <si>
    <t>PO-00738</t>
  </si>
  <si>
    <t>PO-00739</t>
  </si>
  <si>
    <t>PO-00740</t>
  </si>
  <si>
    <t>PO-00741</t>
  </si>
  <si>
    <t>PO-00742</t>
  </si>
  <si>
    <t>PO-00743</t>
  </si>
  <si>
    <t>PO-00744</t>
  </si>
  <si>
    <t>PO-00745</t>
  </si>
  <si>
    <t>PO-00746</t>
  </si>
  <si>
    <t>PO-00747</t>
  </si>
  <si>
    <t>PO-00748</t>
  </si>
  <si>
    <t>PO-00749</t>
  </si>
  <si>
    <t>PO-00750</t>
  </si>
  <si>
    <t>PO-00751</t>
  </si>
  <si>
    <t>PO-00752</t>
  </si>
  <si>
    <t>PO-00753</t>
  </si>
  <si>
    <t>PO-00754</t>
  </si>
  <si>
    <t>PO-00755</t>
  </si>
  <si>
    <t>PO-00756</t>
  </si>
  <si>
    <t>PO-00757</t>
  </si>
  <si>
    <t>PO-00758</t>
  </si>
  <si>
    <t>PO-00759</t>
  </si>
  <si>
    <t>PO-00760</t>
  </si>
  <si>
    <t>PO-00761</t>
  </si>
  <si>
    <t>PO-00762</t>
  </si>
  <si>
    <t>PO-00763</t>
  </si>
  <si>
    <t>PO-00764</t>
  </si>
  <si>
    <t>PO-00765</t>
  </si>
  <si>
    <t>PO-00766</t>
  </si>
  <si>
    <t>PO-00767</t>
  </si>
  <si>
    <t>PO-00768</t>
  </si>
  <si>
    <t>PO-00769</t>
  </si>
  <si>
    <t>PO-00770</t>
  </si>
  <si>
    <t>PO-00771</t>
  </si>
  <si>
    <t>PO-00772</t>
  </si>
  <si>
    <t>PO-00773</t>
  </si>
  <si>
    <t>PO-00774</t>
  </si>
  <si>
    <t>PO-00775</t>
  </si>
  <si>
    <t>PO-00776</t>
  </si>
  <si>
    <t>PO-00777</t>
  </si>
  <si>
    <t>PO-00778</t>
  </si>
  <si>
    <t>PO-00779</t>
  </si>
  <si>
    <t>PO-00780</t>
  </si>
  <si>
    <t>PO-00781</t>
  </si>
  <si>
    <t>PO-00782</t>
  </si>
  <si>
    <t>PO-00783</t>
  </si>
  <si>
    <t>PO-00784</t>
  </si>
  <si>
    <t>PO-00785</t>
  </si>
  <si>
    <t>PO-00786</t>
  </si>
  <si>
    <t>PO-00787</t>
  </si>
  <si>
    <t>PO-00788</t>
  </si>
  <si>
    <t>PO-00789</t>
  </si>
  <si>
    <t>PO-00790</t>
  </si>
  <si>
    <t>PO-00791</t>
  </si>
  <si>
    <t>PO-00792</t>
  </si>
  <si>
    <t>PO-00793</t>
  </si>
  <si>
    <t>PO-00794</t>
  </si>
  <si>
    <t>PO-00795</t>
  </si>
  <si>
    <t>PO-00796</t>
  </si>
  <si>
    <t>PO-00797</t>
  </si>
  <si>
    <t>PO-00798</t>
  </si>
  <si>
    <t>PO-00799</t>
  </si>
  <si>
    <t>PO-00800</t>
  </si>
  <si>
    <t>PO-00801</t>
  </si>
  <si>
    <t>PO-00802</t>
  </si>
  <si>
    <t>PO-00803</t>
  </si>
  <si>
    <t>PO-00804</t>
  </si>
  <si>
    <t>PO-00805</t>
  </si>
  <si>
    <t>PO-00806</t>
  </si>
  <si>
    <t>PO-00807</t>
  </si>
  <si>
    <t>PO-00808</t>
  </si>
  <si>
    <t>PO-00809</t>
  </si>
  <si>
    <t>PO-00810</t>
  </si>
  <si>
    <t>PO-00811</t>
  </si>
  <si>
    <t>PO-00812</t>
  </si>
  <si>
    <t>PO-00813</t>
  </si>
  <si>
    <t>PO-00814</t>
  </si>
  <si>
    <t>PO-00815</t>
  </si>
  <si>
    <t>PO-00816</t>
  </si>
  <si>
    <t>PO-00817</t>
  </si>
  <si>
    <t>PO-00818</t>
  </si>
  <si>
    <t>PO-00819</t>
  </si>
  <si>
    <t>PO-00820</t>
  </si>
  <si>
    <t>PO-00821</t>
  </si>
  <si>
    <t>PO-00822</t>
  </si>
  <si>
    <t>PO-00823</t>
  </si>
  <si>
    <t>PO-00824</t>
  </si>
  <si>
    <t>PO-00825</t>
  </si>
  <si>
    <t>PO-00826</t>
  </si>
  <si>
    <t>PO-00827</t>
  </si>
  <si>
    <t>PO-00828</t>
  </si>
  <si>
    <t>PO-00829</t>
  </si>
  <si>
    <t>PO-00830</t>
  </si>
  <si>
    <t>PO-00831</t>
  </si>
  <si>
    <t>PO-00832</t>
  </si>
  <si>
    <t>PO-00833</t>
  </si>
  <si>
    <t>PO-00834</t>
  </si>
  <si>
    <t>PO-00835</t>
  </si>
  <si>
    <t>PO-00836</t>
  </si>
  <si>
    <t>PO-00837</t>
  </si>
  <si>
    <t>PO-00838</t>
  </si>
  <si>
    <t>PO-00839</t>
  </si>
  <si>
    <t>PO-00840</t>
  </si>
  <si>
    <t>PO-00841</t>
  </si>
  <si>
    <t>PO-00842</t>
  </si>
  <si>
    <t>PO-00843</t>
  </si>
  <si>
    <t>PO-00844</t>
  </si>
  <si>
    <t>PO-00845</t>
  </si>
  <si>
    <t>PO-00846</t>
  </si>
  <si>
    <t>PO-00847</t>
  </si>
  <si>
    <t>PO-00848</t>
  </si>
  <si>
    <t>PO-00849</t>
  </si>
  <si>
    <t>PO-00850</t>
  </si>
  <si>
    <t>PO-00851</t>
  </si>
  <si>
    <t>PO-00852</t>
  </si>
  <si>
    <t>PO-00853</t>
  </si>
  <si>
    <t>PO-00854</t>
  </si>
  <si>
    <t>PO-00855</t>
  </si>
  <si>
    <t>PO-00856</t>
  </si>
  <si>
    <t>PO-00857</t>
  </si>
  <si>
    <t>PO-00858</t>
  </si>
  <si>
    <t>PO-00859</t>
  </si>
  <si>
    <t>PO-00860</t>
  </si>
  <si>
    <t>PO-00861</t>
  </si>
  <si>
    <t>PO-00862</t>
  </si>
  <si>
    <t>PO-00863</t>
  </si>
  <si>
    <t>PO-00864</t>
  </si>
  <si>
    <t>PO-00865</t>
  </si>
  <si>
    <t>PO-00866</t>
  </si>
  <si>
    <t>PO-00867</t>
  </si>
  <si>
    <t>PO-00868</t>
  </si>
  <si>
    <t>PO-00869</t>
  </si>
  <si>
    <t>PO-00870</t>
  </si>
  <si>
    <t>PO-00871</t>
  </si>
  <si>
    <t>PO-00872</t>
  </si>
  <si>
    <t>PO-00873</t>
  </si>
  <si>
    <t>PO-00874</t>
  </si>
  <si>
    <t>PO-00875</t>
  </si>
  <si>
    <t>PO-00876</t>
  </si>
  <si>
    <t>PO-00877</t>
  </si>
  <si>
    <t>PO-00878</t>
  </si>
  <si>
    <t>PO-00879</t>
  </si>
  <si>
    <t>PO-00880</t>
  </si>
  <si>
    <t>PO-00881</t>
  </si>
  <si>
    <t>PO-00882</t>
  </si>
  <si>
    <t>PO-00883</t>
  </si>
  <si>
    <t>PO-00884</t>
  </si>
  <si>
    <t>PO-00885</t>
  </si>
  <si>
    <t>PO-00886</t>
  </si>
  <si>
    <t>PO-00887</t>
  </si>
  <si>
    <t>PO-00888</t>
  </si>
  <si>
    <t>PO-00889</t>
  </si>
  <si>
    <t>PO-00890</t>
  </si>
  <si>
    <t>PO-00891</t>
  </si>
  <si>
    <t>PO-00892</t>
  </si>
  <si>
    <t>PO-00893</t>
  </si>
  <si>
    <t>PO-00894</t>
  </si>
  <si>
    <t>PO-00895</t>
  </si>
  <si>
    <t>PO-00896</t>
  </si>
  <si>
    <t>PO-00897</t>
  </si>
  <si>
    <t>PO-00898</t>
  </si>
  <si>
    <t>PO-00899</t>
  </si>
  <si>
    <t>PO-00900</t>
  </si>
  <si>
    <t>PO-00901</t>
  </si>
  <si>
    <t>PO-00902</t>
  </si>
  <si>
    <t>PO-00903</t>
  </si>
  <si>
    <t>PO-00904</t>
  </si>
  <si>
    <t>PO-00905</t>
  </si>
  <si>
    <t>PO-00906</t>
  </si>
  <si>
    <t>PO-00907</t>
  </si>
  <si>
    <t>PO-00908</t>
  </si>
  <si>
    <t>PO-00909</t>
  </si>
  <si>
    <t>PO-00910</t>
  </si>
  <si>
    <t>PO-00911</t>
  </si>
  <si>
    <t>PO-00912</t>
  </si>
  <si>
    <t>PO-00913</t>
  </si>
  <si>
    <t>PO-00914</t>
  </si>
  <si>
    <t>PO-00915</t>
  </si>
  <si>
    <t>PO-00916</t>
  </si>
  <si>
    <t>PO-00917</t>
  </si>
  <si>
    <t>PO-00918</t>
  </si>
  <si>
    <t>PO-00919</t>
  </si>
  <si>
    <t>PO-00920</t>
  </si>
  <si>
    <t>PO-00921</t>
  </si>
  <si>
    <t>PO-00922</t>
  </si>
  <si>
    <t>PO-00923</t>
  </si>
  <si>
    <t>PO-00924</t>
  </si>
  <si>
    <t>PO-00925</t>
  </si>
  <si>
    <t>PO-00926</t>
  </si>
  <si>
    <t>PO-00927</t>
  </si>
  <si>
    <t>PO-00928</t>
  </si>
  <si>
    <t>PO-00929</t>
  </si>
  <si>
    <t>PO-00930</t>
  </si>
  <si>
    <t>PO-00931</t>
  </si>
  <si>
    <t>PO-00932</t>
  </si>
  <si>
    <t>PO-00933</t>
  </si>
  <si>
    <t>PO-00934</t>
  </si>
  <si>
    <t>PO-00935</t>
  </si>
  <si>
    <t>PO-00936</t>
  </si>
  <si>
    <t>PO-00937</t>
  </si>
  <si>
    <t>PO-00938</t>
  </si>
  <si>
    <t>PO-00939</t>
  </si>
  <si>
    <t>PO-00940</t>
  </si>
  <si>
    <t>PO-00941</t>
  </si>
  <si>
    <t>PO-00942</t>
  </si>
  <si>
    <t>PO-00943</t>
  </si>
  <si>
    <t>PO-00944</t>
  </si>
  <si>
    <t>PO-00945</t>
  </si>
  <si>
    <t>PO-00946</t>
  </si>
  <si>
    <t>PO-00947</t>
  </si>
  <si>
    <t>PO-00948</t>
  </si>
  <si>
    <t>PO-00949</t>
  </si>
  <si>
    <t>PO-00950</t>
  </si>
  <si>
    <t>PO-00951</t>
  </si>
  <si>
    <t>PO-00952</t>
  </si>
  <si>
    <t>PO-00953</t>
  </si>
  <si>
    <t>PO-00954</t>
  </si>
  <si>
    <t>PO-00955</t>
  </si>
  <si>
    <t>PO-00956</t>
  </si>
  <si>
    <t>PO-00957</t>
  </si>
  <si>
    <t>PO-00958</t>
  </si>
  <si>
    <t>PO-00959</t>
  </si>
  <si>
    <t>PO-00960</t>
  </si>
  <si>
    <t>PO-00961</t>
  </si>
  <si>
    <t>PO-00962</t>
  </si>
  <si>
    <t>PO-00963</t>
  </si>
  <si>
    <t>PO-00964</t>
  </si>
  <si>
    <t>PO-00965</t>
  </si>
  <si>
    <t>PO-00966</t>
  </si>
  <si>
    <t>PO-00967</t>
  </si>
  <si>
    <t>PO-00968</t>
  </si>
  <si>
    <t>PO-00969</t>
  </si>
  <si>
    <t>PO-00970</t>
  </si>
  <si>
    <t>PO-00971</t>
  </si>
  <si>
    <t>PO-00972</t>
  </si>
  <si>
    <t>PO-00973</t>
  </si>
  <si>
    <t>PO-00974</t>
  </si>
  <si>
    <t>PO-00975</t>
  </si>
  <si>
    <t>PO-00976</t>
  </si>
  <si>
    <t>PO-00977</t>
  </si>
  <si>
    <t>PO-00978</t>
  </si>
  <si>
    <t>PO-00979</t>
  </si>
  <si>
    <t>PO-00980</t>
  </si>
  <si>
    <t>PO-00981</t>
  </si>
  <si>
    <t>PO-00982</t>
  </si>
  <si>
    <t>PO-00983</t>
  </si>
  <si>
    <t>PO-00984</t>
  </si>
  <si>
    <t>PO-00985</t>
  </si>
  <si>
    <t>PO-00986</t>
  </si>
  <si>
    <t>PO-00987</t>
  </si>
  <si>
    <t>PO-00988</t>
  </si>
  <si>
    <t>PO-00989</t>
  </si>
  <si>
    <t>PO-00990</t>
  </si>
  <si>
    <t>PO-00991</t>
  </si>
  <si>
    <t>PO-00992</t>
  </si>
  <si>
    <t>PO-00993</t>
  </si>
  <si>
    <t>PO-00994</t>
  </si>
  <si>
    <t>PO-00995</t>
  </si>
  <si>
    <t>PO-00996</t>
  </si>
  <si>
    <t>PO-00997</t>
  </si>
  <si>
    <t>PO-00998</t>
  </si>
  <si>
    <t>PO-00999</t>
  </si>
  <si>
    <t>PO-01000</t>
  </si>
  <si>
    <t>PO-01001</t>
  </si>
  <si>
    <t>PO-01002</t>
  </si>
  <si>
    <t>PO-01003</t>
  </si>
  <si>
    <t>PO-01004</t>
  </si>
  <si>
    <t>PO-01005</t>
  </si>
  <si>
    <t>PO-01006</t>
  </si>
  <si>
    <t>PO-01007</t>
  </si>
  <si>
    <t>PO-01008</t>
  </si>
  <si>
    <t>PO-01009</t>
  </si>
  <si>
    <t>PO-01010</t>
  </si>
  <si>
    <t>PO-01011</t>
  </si>
  <si>
    <t>PO-01012</t>
  </si>
  <si>
    <t>PO-01013</t>
  </si>
  <si>
    <t>PO-01014</t>
  </si>
  <si>
    <t>PO-01015</t>
  </si>
  <si>
    <t>PO-01016</t>
  </si>
  <si>
    <t>PO-01017</t>
  </si>
  <si>
    <t>PO-01018</t>
  </si>
  <si>
    <t>PO-01019</t>
  </si>
  <si>
    <t>PO-01020</t>
  </si>
  <si>
    <t>PO-01021</t>
  </si>
  <si>
    <t>PO-01022</t>
  </si>
  <si>
    <t>PO-01023</t>
  </si>
  <si>
    <t>PO-01024</t>
  </si>
  <si>
    <t>PO-01025</t>
  </si>
  <si>
    <t>PO-01026</t>
  </si>
  <si>
    <t>PO-01027</t>
  </si>
  <si>
    <t>PO-01028</t>
  </si>
  <si>
    <t>PO-01029</t>
  </si>
  <si>
    <t>PO-01030</t>
  </si>
  <si>
    <t>PO-01031</t>
  </si>
  <si>
    <t>PO-01032</t>
  </si>
  <si>
    <t>PO-01033</t>
  </si>
  <si>
    <t>PO-01034</t>
  </si>
  <si>
    <t>PO-01035</t>
  </si>
  <si>
    <t>PO-01036</t>
  </si>
  <si>
    <t>PO-01037</t>
  </si>
  <si>
    <t>PO-01038</t>
  </si>
  <si>
    <t>PO-01039</t>
  </si>
  <si>
    <t>PO-01040</t>
  </si>
  <si>
    <t>PO-01041</t>
  </si>
  <si>
    <t>PO-01042</t>
  </si>
  <si>
    <t>PO-01043</t>
  </si>
  <si>
    <t>PO-01044</t>
  </si>
  <si>
    <t>PO-01045</t>
  </si>
  <si>
    <t>PO-01046</t>
  </si>
  <si>
    <t>PO-01047</t>
  </si>
  <si>
    <t>PO-01048</t>
  </si>
  <si>
    <t>PO-01049</t>
  </si>
  <si>
    <t>PO-01050</t>
  </si>
  <si>
    <t>PO-01051</t>
  </si>
  <si>
    <t>PO-01052</t>
  </si>
  <si>
    <t>PO-01053</t>
  </si>
  <si>
    <t>PO-01054</t>
  </si>
  <si>
    <t>PO-01055</t>
  </si>
  <si>
    <t>PO-01056</t>
  </si>
  <si>
    <t>PO-01057</t>
  </si>
  <si>
    <t>PO-01058</t>
  </si>
  <si>
    <t>PO-01059</t>
  </si>
  <si>
    <t>PO-01060</t>
  </si>
  <si>
    <t>PO-01061</t>
  </si>
  <si>
    <t>PO-01062</t>
  </si>
  <si>
    <t>PO-01063</t>
  </si>
  <si>
    <t>PO-01064</t>
  </si>
  <si>
    <t>PO-01065</t>
  </si>
  <si>
    <t>PO-01066</t>
  </si>
  <si>
    <t>PO-01067</t>
  </si>
  <si>
    <t>PO-01068</t>
  </si>
  <si>
    <t>PO-01069</t>
  </si>
  <si>
    <t>PO-01070</t>
  </si>
  <si>
    <t>PO-01071</t>
  </si>
  <si>
    <t>PO-01072</t>
  </si>
  <si>
    <t>PO-01073</t>
  </si>
  <si>
    <t>PO-01074</t>
  </si>
  <si>
    <t>PO-01075</t>
  </si>
  <si>
    <t>PO-01076</t>
  </si>
  <si>
    <t>PO-01077</t>
  </si>
  <si>
    <t>PO-01078</t>
  </si>
  <si>
    <t>PO-01079</t>
  </si>
  <si>
    <t>PO-01080</t>
  </si>
  <si>
    <t>PO-01081</t>
  </si>
  <si>
    <t>PO-01082</t>
  </si>
  <si>
    <t>PO-01083</t>
  </si>
  <si>
    <t>PO-01084</t>
  </si>
  <si>
    <t>PO-01085</t>
  </si>
  <si>
    <t>PO-01086</t>
  </si>
  <si>
    <t>PO-01087</t>
  </si>
  <si>
    <t>PO-01088</t>
  </si>
  <si>
    <t>PO-01089</t>
  </si>
  <si>
    <t>PO-01090</t>
  </si>
  <si>
    <t>PO-01091</t>
  </si>
  <si>
    <t>PO-01092</t>
  </si>
  <si>
    <t>PO-01093</t>
  </si>
  <si>
    <t>PO-01094</t>
  </si>
  <si>
    <t>PO-01095</t>
  </si>
  <si>
    <t>PO-01096</t>
  </si>
  <si>
    <t>PO-01097</t>
  </si>
  <si>
    <t>PO-01098</t>
  </si>
  <si>
    <t>PO-01099</t>
  </si>
  <si>
    <t>PO-01100</t>
  </si>
  <si>
    <t>PO-01101</t>
  </si>
  <si>
    <t>PO-01102</t>
  </si>
  <si>
    <t>PO-01103</t>
  </si>
  <si>
    <t>PO-01104</t>
  </si>
  <si>
    <t>PO-01105</t>
  </si>
  <si>
    <t>PO-01106</t>
  </si>
  <si>
    <t>PO-01107</t>
  </si>
  <si>
    <t>PO-01108</t>
  </si>
  <si>
    <t>PO-01109</t>
  </si>
  <si>
    <t>PO-01110</t>
  </si>
  <si>
    <t>PO-01111</t>
  </si>
  <si>
    <t>PO-01112</t>
  </si>
  <si>
    <t>PO-01113</t>
  </si>
  <si>
    <t>PO-01114</t>
  </si>
  <si>
    <t>PO-01115</t>
  </si>
  <si>
    <t>PO-01116</t>
  </si>
  <si>
    <t>PO-01117</t>
  </si>
  <si>
    <t>PO-01118</t>
  </si>
  <si>
    <t>PO-01119</t>
  </si>
  <si>
    <t>PO-01120</t>
  </si>
  <si>
    <t>PO-01121</t>
  </si>
  <si>
    <t>PO-01122</t>
  </si>
  <si>
    <t>PO-01123</t>
  </si>
  <si>
    <t>PO-01124</t>
  </si>
  <si>
    <t>PO-01125</t>
  </si>
  <si>
    <t>PO-01126</t>
  </si>
  <si>
    <t>PO-01127</t>
  </si>
  <si>
    <t>PO-01128</t>
  </si>
  <si>
    <t>PO-01129</t>
  </si>
  <si>
    <t>PO-01130</t>
  </si>
  <si>
    <t>PO-01131</t>
  </si>
  <si>
    <t>PO-01132</t>
  </si>
  <si>
    <t>PO-01133</t>
  </si>
  <si>
    <t>PO-01134</t>
  </si>
  <si>
    <t>PO-01135</t>
  </si>
  <si>
    <t>PO-01136</t>
  </si>
  <si>
    <t>PO-01137</t>
  </si>
  <si>
    <t>PO-01138</t>
  </si>
  <si>
    <t>PO-01139</t>
  </si>
  <si>
    <t>PO-01140</t>
  </si>
  <si>
    <t>PO-01141</t>
  </si>
  <si>
    <t>PO-01142</t>
  </si>
  <si>
    <t>PO-01143</t>
  </si>
  <si>
    <t>PO-01144</t>
  </si>
  <si>
    <t>PO-01145</t>
  </si>
  <si>
    <t>PO-01146</t>
  </si>
  <si>
    <t>PO-01147</t>
  </si>
  <si>
    <t>PO-01148</t>
  </si>
  <si>
    <t>PO-01149</t>
  </si>
  <si>
    <t>PO-01150</t>
  </si>
  <si>
    <t>PO-01151</t>
  </si>
  <si>
    <t>PO-01152</t>
  </si>
  <si>
    <t>PO-01153</t>
  </si>
  <si>
    <t>PO-01154</t>
  </si>
  <si>
    <t>PO-01155</t>
  </si>
  <si>
    <t>PO-01156</t>
  </si>
  <si>
    <t>PO-01157</t>
  </si>
  <si>
    <t>PO-01158</t>
  </si>
  <si>
    <t>PO-01159</t>
  </si>
  <si>
    <t>PO-01160</t>
  </si>
  <si>
    <t>PO-01161</t>
  </si>
  <si>
    <t>PO-01162</t>
  </si>
  <si>
    <t>PO-01163</t>
  </si>
  <si>
    <t>PO-01164</t>
  </si>
  <si>
    <t>PO-01165</t>
  </si>
  <si>
    <t>PO-01166</t>
  </si>
  <si>
    <t>PO-01167</t>
  </si>
  <si>
    <t>PO-01168</t>
  </si>
  <si>
    <t>PO-01169</t>
  </si>
  <si>
    <t>PO-01170</t>
  </si>
  <si>
    <t>PO-01171</t>
  </si>
  <si>
    <t>PO-01172</t>
  </si>
  <si>
    <t>PO-01173</t>
  </si>
  <si>
    <t>PO-01174</t>
  </si>
  <si>
    <t>PO-01175</t>
  </si>
  <si>
    <t>PO-01176</t>
  </si>
  <si>
    <t>PO-01177</t>
  </si>
  <si>
    <t>PO-01178</t>
  </si>
  <si>
    <t>PO-01179</t>
  </si>
  <si>
    <t>PO-01180</t>
  </si>
  <si>
    <t>PO-01181</t>
  </si>
  <si>
    <t>PO-01182</t>
  </si>
  <si>
    <t>PO-01183</t>
  </si>
  <si>
    <t>PO-01184</t>
  </si>
  <si>
    <t>PO-01185</t>
  </si>
  <si>
    <t>PO-01186</t>
  </si>
  <si>
    <t>PO-01187</t>
  </si>
  <si>
    <t>PO-01188</t>
  </si>
  <si>
    <t>PO-01189</t>
  </si>
  <si>
    <t>PO-01190</t>
  </si>
  <si>
    <t>PO-01191</t>
  </si>
  <si>
    <t>PO-01192</t>
  </si>
  <si>
    <t>PO-01193</t>
  </si>
  <si>
    <t>PO-01194</t>
  </si>
  <si>
    <t>PO-01195</t>
  </si>
  <si>
    <t>PO-01196</t>
  </si>
  <si>
    <t>PO-01197</t>
  </si>
  <si>
    <t>PO-01198</t>
  </si>
  <si>
    <t>PO-01199</t>
  </si>
  <si>
    <t>PO-01200</t>
  </si>
  <si>
    <t>PO-01201</t>
  </si>
  <si>
    <t>PO-01202</t>
  </si>
  <si>
    <t>PO-01203</t>
  </si>
  <si>
    <t>PO-01204</t>
  </si>
  <si>
    <t>PO-01205</t>
  </si>
  <si>
    <t>PO-01206</t>
  </si>
  <si>
    <t>PO-01207</t>
  </si>
  <si>
    <t>PO-01208</t>
  </si>
  <si>
    <t>PO-01209</t>
  </si>
  <si>
    <t>PO-01210</t>
  </si>
  <si>
    <t>PO-01211</t>
  </si>
  <si>
    <t>PO-01212</t>
  </si>
  <si>
    <t>PO-01213</t>
  </si>
  <si>
    <t>PO-01214</t>
  </si>
  <si>
    <t>PO-01215</t>
  </si>
  <si>
    <t>PO-01216</t>
  </si>
  <si>
    <t>PO-01217</t>
  </si>
  <si>
    <t>PO-01218</t>
  </si>
  <si>
    <t>PO-01219</t>
  </si>
  <si>
    <t>PO-01220</t>
  </si>
  <si>
    <t>PO-01221</t>
  </si>
  <si>
    <t>PO-01222</t>
  </si>
  <si>
    <t>PO-01223</t>
  </si>
  <si>
    <t>PO-01224</t>
  </si>
  <si>
    <t>PO-01225</t>
  </si>
  <si>
    <t>PO-01226</t>
  </si>
  <si>
    <t>PO-01227</t>
  </si>
  <si>
    <t>PO-01228</t>
  </si>
  <si>
    <t>PO-01229</t>
  </si>
  <si>
    <t>PO-01230</t>
  </si>
  <si>
    <t>PO-01231</t>
  </si>
  <si>
    <t>PO-01232</t>
  </si>
  <si>
    <t>PO-01233</t>
  </si>
  <si>
    <t>PO-01234</t>
  </si>
  <si>
    <t>PO-01235</t>
  </si>
  <si>
    <t>PO-01236</t>
  </si>
  <si>
    <t>PO-01237</t>
  </si>
  <si>
    <t>PO-01238</t>
  </si>
  <si>
    <t>PO-01239</t>
  </si>
  <si>
    <t>PO-01240</t>
  </si>
  <si>
    <t>PO-01241</t>
  </si>
  <si>
    <t>PO-01242</t>
  </si>
  <si>
    <t>PO-01243</t>
  </si>
  <si>
    <t>PO-01244</t>
  </si>
  <si>
    <t>PO-01245</t>
  </si>
  <si>
    <t>PO-01246</t>
  </si>
  <si>
    <t>PO-01247</t>
  </si>
  <si>
    <t>PO-01248</t>
  </si>
  <si>
    <t>PO-01249</t>
  </si>
  <si>
    <t>PO-01250</t>
  </si>
  <si>
    <t>PO-01251</t>
  </si>
  <si>
    <t>PO-01252</t>
  </si>
  <si>
    <t>PO-01253</t>
  </si>
  <si>
    <t>PO-01254</t>
  </si>
  <si>
    <t>PO-01255</t>
  </si>
  <si>
    <t>PO-01256</t>
  </si>
  <si>
    <t>PO-01257</t>
  </si>
  <si>
    <t>PO-01258</t>
  </si>
  <si>
    <t>PO-01259</t>
  </si>
  <si>
    <t>PO-01260</t>
  </si>
  <si>
    <t>PO-01261</t>
  </si>
  <si>
    <t>PO-01262</t>
  </si>
  <si>
    <t>PO-01263</t>
  </si>
  <si>
    <t>PO-01264</t>
  </si>
  <si>
    <t>PO-01265</t>
  </si>
  <si>
    <t>PO-01266</t>
  </si>
  <si>
    <t>PO-01267</t>
  </si>
  <si>
    <t>PO-01268</t>
  </si>
  <si>
    <t>PO-01269</t>
  </si>
  <si>
    <t>PO-01270</t>
  </si>
  <si>
    <t>PO-01271</t>
  </si>
  <si>
    <t>PO-01272</t>
  </si>
  <si>
    <t>PO-01273</t>
  </si>
  <si>
    <t>PO-01274</t>
  </si>
  <si>
    <t>PO-01275</t>
  </si>
  <si>
    <t>PO-01276</t>
  </si>
  <si>
    <t>PO-01277</t>
  </si>
  <si>
    <t>PO-01278</t>
  </si>
  <si>
    <t>PO-01279</t>
  </si>
  <si>
    <t>PO-01280</t>
  </si>
  <si>
    <t>PO-01281</t>
  </si>
  <si>
    <t>PO-01282</t>
  </si>
  <si>
    <t>PO-01283</t>
  </si>
  <si>
    <t>PO-01284</t>
  </si>
  <si>
    <t>PO-01285</t>
  </si>
  <si>
    <t>PO-01286</t>
  </si>
  <si>
    <t>PO-01287</t>
  </si>
  <si>
    <t>PO-01288</t>
  </si>
  <si>
    <t>PO-01289</t>
  </si>
  <si>
    <t>PO-01290</t>
  </si>
  <si>
    <t>PO-01291</t>
  </si>
  <si>
    <t>PO-01292</t>
  </si>
  <si>
    <t>PO-01293</t>
  </si>
  <si>
    <t>PO-01294</t>
  </si>
  <si>
    <t>PO-01295</t>
  </si>
  <si>
    <t>PO-01296</t>
  </si>
  <si>
    <t>PO-01297</t>
  </si>
  <si>
    <t>PO-01298</t>
  </si>
  <si>
    <t>PO-01299</t>
  </si>
  <si>
    <t>PO-01300</t>
  </si>
  <si>
    <t>PO-01301</t>
  </si>
  <si>
    <t>PO-01302</t>
  </si>
  <si>
    <t>PO-01303</t>
  </si>
  <si>
    <t>PO-01304</t>
  </si>
  <si>
    <t>PO-01305</t>
  </si>
  <si>
    <t>PO-01306</t>
  </si>
  <si>
    <t>PO-01307</t>
  </si>
  <si>
    <t>PO-01308</t>
  </si>
  <si>
    <t>PO-01309</t>
  </si>
  <si>
    <t>PO-01310</t>
  </si>
  <si>
    <t>PO-01311</t>
  </si>
  <si>
    <t>PO-01312</t>
  </si>
  <si>
    <t>PO-01313</t>
  </si>
  <si>
    <t>PO-01314</t>
  </si>
  <si>
    <t>PO-01315</t>
  </si>
  <si>
    <t>PO-01316</t>
  </si>
  <si>
    <t>PO-01317</t>
  </si>
  <si>
    <t>PO-01318</t>
  </si>
  <si>
    <t>PO-01319</t>
  </si>
  <si>
    <t>PO-01320</t>
  </si>
  <si>
    <t>PO-01321</t>
  </si>
  <si>
    <t>PO-01322</t>
  </si>
  <si>
    <t>PO-01323</t>
  </si>
  <si>
    <t>PO-01324</t>
  </si>
  <si>
    <t>PO-01325</t>
  </si>
  <si>
    <t>PO-01326</t>
  </si>
  <si>
    <t>PO-01327</t>
  </si>
  <si>
    <t>PO-01328</t>
  </si>
  <si>
    <t>PO-01329</t>
  </si>
  <si>
    <t>PO-01330</t>
  </si>
  <si>
    <t>PO-01331</t>
  </si>
  <si>
    <t>PO-01332</t>
  </si>
  <si>
    <t>PO-01333</t>
  </si>
  <si>
    <t>PO-01334</t>
  </si>
  <si>
    <t>PO-01335</t>
  </si>
  <si>
    <t>PO-01336</t>
  </si>
  <si>
    <t>PO-01337</t>
  </si>
  <si>
    <t>PO-01338</t>
  </si>
  <si>
    <t>PO-01339</t>
  </si>
  <si>
    <t>PO-01340</t>
  </si>
  <si>
    <t>PO-01341</t>
  </si>
  <si>
    <t>PO-01342</t>
  </si>
  <si>
    <t>PO-01343</t>
  </si>
  <si>
    <t>PO-01344</t>
  </si>
  <si>
    <t>PO-01345</t>
  </si>
  <si>
    <t>PO-01346</t>
  </si>
  <si>
    <t>PO-01347</t>
  </si>
  <si>
    <t>PO-01348</t>
  </si>
  <si>
    <t>PO-01349</t>
  </si>
  <si>
    <t>PO-01350</t>
  </si>
  <si>
    <t>PO-01351</t>
  </si>
  <si>
    <t>PO-01352</t>
  </si>
  <si>
    <t>PO-01353</t>
  </si>
  <si>
    <t>PO-01354</t>
  </si>
  <si>
    <t>PO-01355</t>
  </si>
  <si>
    <t>PO-01356</t>
  </si>
  <si>
    <t>PO-01357</t>
  </si>
  <si>
    <t>PO-01358</t>
  </si>
  <si>
    <t>PO-01359</t>
  </si>
  <si>
    <t>PO-01360</t>
  </si>
  <si>
    <t>PO-01361</t>
  </si>
  <si>
    <t>PO-01362</t>
  </si>
  <si>
    <t>PO-01363</t>
  </si>
  <si>
    <t>PO-01364</t>
  </si>
  <si>
    <t>PO-01365</t>
  </si>
  <si>
    <t>PO-01366</t>
  </si>
  <si>
    <t>PO-01367</t>
  </si>
  <si>
    <t>PO-01368</t>
  </si>
  <si>
    <t>PO-01369</t>
  </si>
  <si>
    <t>PO-01370</t>
  </si>
  <si>
    <t>PO-01371</t>
  </si>
  <si>
    <t>PO-01372</t>
  </si>
  <si>
    <t>PO-01373</t>
  </si>
  <si>
    <t>PO-01374</t>
  </si>
  <si>
    <t>PO-01375</t>
  </si>
  <si>
    <t>PO-01376</t>
  </si>
  <si>
    <t>PO-01377</t>
  </si>
  <si>
    <t>PO-01378</t>
  </si>
  <si>
    <t>PO-01379</t>
  </si>
  <si>
    <t>PO-01380</t>
  </si>
  <si>
    <t>PO-01381</t>
  </si>
  <si>
    <t>PO-01382</t>
  </si>
  <si>
    <t>PO-01383</t>
  </si>
  <si>
    <t>PO-01384</t>
  </si>
  <si>
    <t>PO-01385</t>
  </si>
  <si>
    <t>PO-01386</t>
  </si>
  <si>
    <t>PO-01387</t>
  </si>
  <si>
    <t>PO-01388</t>
  </si>
  <si>
    <t>PO-01389</t>
  </si>
  <si>
    <t>PO-01390</t>
  </si>
  <si>
    <t>PO-01391</t>
  </si>
  <si>
    <t>PO-01392</t>
  </si>
  <si>
    <t>PO-01393</t>
  </si>
  <si>
    <t>PO-01394</t>
  </si>
  <si>
    <t>PO-01395</t>
  </si>
  <si>
    <t>PO-01396</t>
  </si>
  <si>
    <t>PO-01397</t>
  </si>
  <si>
    <t>PO-01398</t>
  </si>
  <si>
    <t>PO-01399</t>
  </si>
  <si>
    <t>PO-01400</t>
  </si>
  <si>
    <t>PO-01401</t>
  </si>
  <si>
    <t>PO-01402</t>
  </si>
  <si>
    <t>PO-01403</t>
  </si>
  <si>
    <t>PO-01404</t>
  </si>
  <si>
    <t>PO-01405</t>
  </si>
  <si>
    <t>PO-01406</t>
  </si>
  <si>
    <t>PO-01407</t>
  </si>
  <si>
    <t>PO-01408</t>
  </si>
  <si>
    <t>PO-01409</t>
  </si>
  <si>
    <t>PO-01410</t>
  </si>
  <si>
    <t>PO-01411</t>
  </si>
  <si>
    <t>PO-01412</t>
  </si>
  <si>
    <t>PO-01413</t>
  </si>
  <si>
    <t>PO-01414</t>
  </si>
  <si>
    <t>PO-01415</t>
  </si>
  <si>
    <t>PO-01416</t>
  </si>
  <si>
    <t>PO-01417</t>
  </si>
  <si>
    <t>PO-01418</t>
  </si>
  <si>
    <t>PO-01419</t>
  </si>
  <si>
    <t>PO-01420</t>
  </si>
  <si>
    <t>PO-01421</t>
  </si>
  <si>
    <t>PO-01422</t>
  </si>
  <si>
    <t>PO-01423</t>
  </si>
  <si>
    <t>PO-01424</t>
  </si>
  <si>
    <t>PO-01425</t>
  </si>
  <si>
    <t>PO-01426</t>
  </si>
  <si>
    <t>PO-01427</t>
  </si>
  <si>
    <t>PO-01428</t>
  </si>
  <si>
    <t>PO-01429</t>
  </si>
  <si>
    <t>PO-01430</t>
  </si>
  <si>
    <t>PO-01431</t>
  </si>
  <si>
    <t>PO-01432</t>
  </si>
  <si>
    <t>PO-01433</t>
  </si>
  <si>
    <t>PO-01434</t>
  </si>
  <si>
    <t>PO-01435</t>
  </si>
  <si>
    <t>PO-01436</t>
  </si>
  <si>
    <t>PO-01437</t>
  </si>
  <si>
    <t>PO-01438</t>
  </si>
  <si>
    <t>PO-01439</t>
  </si>
  <si>
    <t>PO-01440</t>
  </si>
  <si>
    <t>PO-01441</t>
  </si>
  <si>
    <t>PO-01442</t>
  </si>
  <si>
    <t>PO-01443</t>
  </si>
  <si>
    <t>PO-01444</t>
  </si>
  <si>
    <t>PO-01445</t>
  </si>
  <si>
    <t>PO-01446</t>
  </si>
  <si>
    <t>PO-01447</t>
  </si>
  <si>
    <t>PO-01448</t>
  </si>
  <si>
    <t>PO-01449</t>
  </si>
  <si>
    <t>PO-01450</t>
  </si>
  <si>
    <t>PO-01451</t>
  </si>
  <si>
    <t>PO-01452</t>
  </si>
  <si>
    <t>PO-01453</t>
  </si>
  <si>
    <t>PO-01454</t>
  </si>
  <si>
    <t>PO-01455</t>
  </si>
  <si>
    <t>PO-01456</t>
  </si>
  <si>
    <t>PO-01457</t>
  </si>
  <si>
    <t>PO-01458</t>
  </si>
  <si>
    <t>PO-01459</t>
  </si>
  <si>
    <t>PO-01460</t>
  </si>
  <si>
    <t>PO-01461</t>
  </si>
  <si>
    <t>PO-01462</t>
  </si>
  <si>
    <t>PO-01463</t>
  </si>
  <si>
    <t>PO-01464</t>
  </si>
  <si>
    <t>PO-01465</t>
  </si>
  <si>
    <t>PO-01466</t>
  </si>
  <si>
    <t>PO-01467</t>
  </si>
  <si>
    <t>PO-01468</t>
  </si>
  <si>
    <t>PO-01469</t>
  </si>
  <si>
    <t>PO-01470</t>
  </si>
  <si>
    <t>PO-01471</t>
  </si>
  <si>
    <t>PO-01472</t>
  </si>
  <si>
    <t>PO-01473</t>
  </si>
  <si>
    <t>PO-01474</t>
  </si>
  <si>
    <t>PO-01475</t>
  </si>
  <si>
    <t>PO-01476</t>
  </si>
  <si>
    <t>PO-01477</t>
  </si>
  <si>
    <t>PO-01478</t>
  </si>
  <si>
    <t>PO-01479</t>
  </si>
  <si>
    <t>PO-01480</t>
  </si>
  <si>
    <t>PO-01481</t>
  </si>
  <si>
    <t>PO-01482</t>
  </si>
  <si>
    <t>PO-01483</t>
  </si>
  <si>
    <t>PO-01484</t>
  </si>
  <si>
    <t>PO-01485</t>
  </si>
  <si>
    <t>PO-01486</t>
  </si>
  <si>
    <t>PO-01487</t>
  </si>
  <si>
    <t>PO-01488</t>
  </si>
  <si>
    <t>PO-01489</t>
  </si>
  <si>
    <t>PO-01490</t>
  </si>
  <si>
    <t>PO-01491</t>
  </si>
  <si>
    <t>PO-01492</t>
  </si>
  <si>
    <t>PO-01493</t>
  </si>
  <si>
    <t>PO-01494</t>
  </si>
  <si>
    <t>PO-01495</t>
  </si>
  <si>
    <t>PO-01496</t>
  </si>
  <si>
    <t>PO-01497</t>
  </si>
  <si>
    <t>PO-01498</t>
  </si>
  <si>
    <t>PO-01499</t>
  </si>
  <si>
    <t>PO-01500</t>
  </si>
  <si>
    <t>PO-01501</t>
  </si>
  <si>
    <t>PO-01502</t>
  </si>
  <si>
    <t>PO-01503</t>
  </si>
  <si>
    <t>PO-01504</t>
  </si>
  <si>
    <t>PO-01505</t>
  </si>
  <si>
    <t>PO-01506</t>
  </si>
  <si>
    <t>PO-01507</t>
  </si>
  <si>
    <t>PO-01508</t>
  </si>
  <si>
    <t>PO-01509</t>
  </si>
  <si>
    <t>PO-01510</t>
  </si>
  <si>
    <t>PO-01511</t>
  </si>
  <si>
    <t>PO-01512</t>
  </si>
  <si>
    <t>PO-01513</t>
  </si>
  <si>
    <t>PO-01514</t>
  </si>
  <si>
    <t>PO-01515</t>
  </si>
  <si>
    <t>PO-01516</t>
  </si>
  <si>
    <t>PO-01517</t>
  </si>
  <si>
    <t>PO-01518</t>
  </si>
  <si>
    <t>PO-01519</t>
  </si>
  <si>
    <t>PO-01520</t>
  </si>
  <si>
    <t>PO-01521</t>
  </si>
  <si>
    <t>PO-01522</t>
  </si>
  <si>
    <t>PO-01523</t>
  </si>
  <si>
    <t>PO-01524</t>
  </si>
  <si>
    <t>PO-01525</t>
  </si>
  <si>
    <t>PO-01526</t>
  </si>
  <si>
    <t>PO-01527</t>
  </si>
  <si>
    <t>PO-01528</t>
  </si>
  <si>
    <t>PO-01529</t>
  </si>
  <si>
    <t>PO-01530</t>
  </si>
  <si>
    <t>PO-01531</t>
  </si>
  <si>
    <t>PO-01532</t>
  </si>
  <si>
    <t>PO-01533</t>
  </si>
  <si>
    <t>PO-01534</t>
  </si>
  <si>
    <t>PO-01535</t>
  </si>
  <si>
    <t>PO-01536</t>
  </si>
  <si>
    <t>PO-01537</t>
  </si>
  <si>
    <t>PO-01538</t>
  </si>
  <si>
    <t>PO-01539</t>
  </si>
  <si>
    <t>PO-01540</t>
  </si>
  <si>
    <t>PO-01541</t>
  </si>
  <si>
    <t>PO-01542</t>
  </si>
  <si>
    <t>PO-01543</t>
  </si>
  <si>
    <t>PO-01544</t>
  </si>
  <si>
    <t>PO-01545</t>
  </si>
  <si>
    <t>PO-01546</t>
  </si>
  <si>
    <t>PO-01547</t>
  </si>
  <si>
    <t>PO-01548</t>
  </si>
  <si>
    <t>PO-01549</t>
  </si>
  <si>
    <t>PO-01550</t>
  </si>
  <si>
    <t>PO-01551</t>
  </si>
  <si>
    <t>PO-01552</t>
  </si>
  <si>
    <t>PO-01553</t>
  </si>
  <si>
    <t>PO-01554</t>
  </si>
  <si>
    <t>PO-01555</t>
  </si>
  <si>
    <t>PO-01556</t>
  </si>
  <si>
    <t>PO-01557</t>
  </si>
  <si>
    <t>PO-01558</t>
  </si>
  <si>
    <t>PO-01559</t>
  </si>
  <si>
    <t>PO-01560</t>
  </si>
  <si>
    <t>PO-01561</t>
  </si>
  <si>
    <t>PO-01562</t>
  </si>
  <si>
    <t>PO-01563</t>
  </si>
  <si>
    <t>PO-01564</t>
  </si>
  <si>
    <t>PO-01565</t>
  </si>
  <si>
    <t>PO-01566</t>
  </si>
  <si>
    <t>PO-01567</t>
  </si>
  <si>
    <t>PO-01568</t>
  </si>
  <si>
    <t>PO-01569</t>
  </si>
  <si>
    <t>PO-01570</t>
  </si>
  <si>
    <t>PO-01571</t>
  </si>
  <si>
    <t>PO-01572</t>
  </si>
  <si>
    <t>PO-01573</t>
  </si>
  <si>
    <t>PO-01574</t>
  </si>
  <si>
    <t>PO-01575</t>
  </si>
  <si>
    <t>PO-01576</t>
  </si>
  <si>
    <t>PO-01577</t>
  </si>
  <si>
    <t>PO-01578</t>
  </si>
  <si>
    <t>PO-01579</t>
  </si>
  <si>
    <t>PO-01580</t>
  </si>
  <si>
    <t>PO-01581</t>
  </si>
  <si>
    <t>PO-01582</t>
  </si>
  <si>
    <t>PO-01583</t>
  </si>
  <si>
    <t>PO-01584</t>
  </si>
  <si>
    <t>PO-01585</t>
  </si>
  <si>
    <t>PO-01586</t>
  </si>
  <si>
    <t>PO-01587</t>
  </si>
  <si>
    <t>PO-01588</t>
  </si>
  <si>
    <t>PO-01589</t>
  </si>
  <si>
    <t>PO-01590</t>
  </si>
  <si>
    <t>PO-01591</t>
  </si>
  <si>
    <t>PO-01592</t>
  </si>
  <si>
    <t>PO-01593</t>
  </si>
  <si>
    <t>PO-01594</t>
  </si>
  <si>
    <t>PO-01595</t>
  </si>
  <si>
    <t>PO-01596</t>
  </si>
  <si>
    <t>PO-01597</t>
  </si>
  <si>
    <t>PO-01598</t>
  </si>
  <si>
    <t>PO-01599</t>
  </si>
  <si>
    <t>PO-01600</t>
  </si>
  <si>
    <t>PO-01601</t>
  </si>
  <si>
    <t>PO-01602</t>
  </si>
  <si>
    <t>PO-01603</t>
  </si>
  <si>
    <t>PO-01604</t>
  </si>
  <si>
    <t>PO-01605</t>
  </si>
  <si>
    <t>PO-01606</t>
  </si>
  <si>
    <t>PO-01607</t>
  </si>
  <si>
    <t>PO-01608</t>
  </si>
  <si>
    <t>PO-01609</t>
  </si>
  <si>
    <t>PO-01610</t>
  </si>
  <si>
    <t>PO-01611</t>
  </si>
  <si>
    <t>PO-01612</t>
  </si>
  <si>
    <t>PO-01613</t>
  </si>
  <si>
    <t>PO-01614</t>
  </si>
  <si>
    <t>PO-01615</t>
  </si>
  <si>
    <t>PO-01616</t>
  </si>
  <si>
    <t>PO-01617</t>
  </si>
  <si>
    <t>PO-01618</t>
  </si>
  <si>
    <t>PO-01619</t>
  </si>
  <si>
    <t>PO-01620</t>
  </si>
  <si>
    <t>PO-01621</t>
  </si>
  <si>
    <t>PO-01622</t>
  </si>
  <si>
    <t>PO-01623</t>
  </si>
  <si>
    <t>PO-01624</t>
  </si>
  <si>
    <t>PO-01625</t>
  </si>
  <si>
    <t>PO-01626</t>
  </si>
  <si>
    <t>PO-01627</t>
  </si>
  <si>
    <t>PO-01628</t>
  </si>
  <si>
    <t>PO-01629</t>
  </si>
  <si>
    <t>PO-01630</t>
  </si>
  <si>
    <t>PO-01631</t>
  </si>
  <si>
    <t>PO-01632</t>
  </si>
  <si>
    <t>PO-01633</t>
  </si>
  <si>
    <t>PO-01634</t>
  </si>
  <si>
    <t>PO-01635</t>
  </si>
  <si>
    <t>PO-01636</t>
  </si>
  <si>
    <t>PO-01637</t>
  </si>
  <si>
    <t>PO-01638</t>
  </si>
  <si>
    <t>PO-01639</t>
  </si>
  <si>
    <t>PO-01640</t>
  </si>
  <si>
    <t>PO-01641</t>
  </si>
  <si>
    <t>PO-01642</t>
  </si>
  <si>
    <t>PO-01643</t>
  </si>
  <si>
    <t>PO-01644</t>
  </si>
  <si>
    <t>PO-01645</t>
  </si>
  <si>
    <t>PO-01646</t>
  </si>
  <si>
    <t>PO-01647</t>
  </si>
  <si>
    <t>PO-01648</t>
  </si>
  <si>
    <t>PO-01649</t>
  </si>
  <si>
    <t>PO-01650</t>
  </si>
  <si>
    <t>PO-01651</t>
  </si>
  <si>
    <t>PO-01652</t>
  </si>
  <si>
    <t>PO-01653</t>
  </si>
  <si>
    <t>PO-01654</t>
  </si>
  <si>
    <t>PO-01655</t>
  </si>
  <si>
    <t>PO-01656</t>
  </si>
  <si>
    <t>PO-01657</t>
  </si>
  <si>
    <t>PO-01658</t>
  </si>
  <si>
    <t>PO-01659</t>
  </si>
  <si>
    <t>PO-01660</t>
  </si>
  <si>
    <t>PO-01661</t>
  </si>
  <si>
    <t>PO-01662</t>
  </si>
  <si>
    <t>PO-01663</t>
  </si>
  <si>
    <t>PO-01664</t>
  </si>
  <si>
    <t>PO-01665</t>
  </si>
  <si>
    <t>PO-01666</t>
  </si>
  <si>
    <t>PO-01667</t>
  </si>
  <si>
    <t>PO-01668</t>
  </si>
  <si>
    <t>PO-01669</t>
  </si>
  <si>
    <t>PO-01670</t>
  </si>
  <si>
    <t>PO-01671</t>
  </si>
  <si>
    <t>PO-01672</t>
  </si>
  <si>
    <t>PO-01673</t>
  </si>
  <si>
    <t>PO-01674</t>
  </si>
  <si>
    <t>PO-01675</t>
  </si>
  <si>
    <t>PO-01676</t>
  </si>
  <si>
    <t>PO-01677</t>
  </si>
  <si>
    <t>PO-01678</t>
  </si>
  <si>
    <t>PO-01679</t>
  </si>
  <si>
    <t>PO-01680</t>
  </si>
  <si>
    <t>PO-01681</t>
  </si>
  <si>
    <t>PO-01682</t>
  </si>
  <si>
    <t>PO-01683</t>
  </si>
  <si>
    <t>PO-01684</t>
  </si>
  <si>
    <t>PO-01685</t>
  </si>
  <si>
    <t>PO-01686</t>
  </si>
  <si>
    <t>PO-01687</t>
  </si>
  <si>
    <t>PO-01688</t>
  </si>
  <si>
    <t>PO-01689</t>
  </si>
  <si>
    <t>PO-01690</t>
  </si>
  <si>
    <t>PO-01691</t>
  </si>
  <si>
    <t>PO-01692</t>
  </si>
  <si>
    <t>PO-01693</t>
  </si>
  <si>
    <t>PO-01694</t>
  </si>
  <si>
    <t>PO-01695</t>
  </si>
  <si>
    <t>PO-01696</t>
  </si>
  <si>
    <t>PO-01697</t>
  </si>
  <si>
    <t>PO-01698</t>
  </si>
  <si>
    <t>PO-01699</t>
  </si>
  <si>
    <t>PO-01700</t>
  </si>
  <si>
    <t>PO-01701</t>
  </si>
  <si>
    <t>PO-01702</t>
  </si>
  <si>
    <t>PO-01703</t>
  </si>
  <si>
    <t>PO-01704</t>
  </si>
  <si>
    <t>PO-01705</t>
  </si>
  <si>
    <t>PO-01706</t>
  </si>
  <si>
    <t>PO-01707</t>
  </si>
  <si>
    <t>PO-01708</t>
  </si>
  <si>
    <t>PO-01709</t>
  </si>
  <si>
    <t>PO-01710</t>
  </si>
  <si>
    <t>PO-01711</t>
  </si>
  <si>
    <t>PO-01712</t>
  </si>
  <si>
    <t>PO-01713</t>
  </si>
  <si>
    <t>PO-01714</t>
  </si>
  <si>
    <t>PO-01715</t>
  </si>
  <si>
    <t>PO-01716</t>
  </si>
  <si>
    <t>PO-01717</t>
  </si>
  <si>
    <t>PO-01718</t>
  </si>
  <si>
    <t>PO-01719</t>
  </si>
  <si>
    <t>PO-01720</t>
  </si>
  <si>
    <t>PO-01721</t>
  </si>
  <si>
    <t>PO-01722</t>
  </si>
  <si>
    <t>PO-01723</t>
  </si>
  <si>
    <t>PO-01724</t>
  </si>
  <si>
    <t>PO-01725</t>
  </si>
  <si>
    <t>PO-01726</t>
  </si>
  <si>
    <t>PO-01727</t>
  </si>
  <si>
    <t>PO-01728</t>
  </si>
  <si>
    <t>PO-01729</t>
  </si>
  <si>
    <t>PO-01730</t>
  </si>
  <si>
    <t>PO-01731</t>
  </si>
  <si>
    <t>PO-01732</t>
  </si>
  <si>
    <t>PO-01733</t>
  </si>
  <si>
    <t>PO-01734</t>
  </si>
  <si>
    <t>PO-01735</t>
  </si>
  <si>
    <t>PO-01736</t>
  </si>
  <si>
    <t>PO-01737</t>
  </si>
  <si>
    <t>PO-01738</t>
  </si>
  <si>
    <t>PO-01739</t>
  </si>
  <si>
    <t>PO-01740</t>
  </si>
  <si>
    <t>PO-01741</t>
  </si>
  <si>
    <t>PO-01742</t>
  </si>
  <si>
    <t>PO-01743</t>
  </si>
  <si>
    <t>PO-01744</t>
  </si>
  <si>
    <t>PO-01745</t>
  </si>
  <si>
    <t>PO-01746</t>
  </si>
  <si>
    <t>PO-01747</t>
  </si>
  <si>
    <t>PO-01748</t>
  </si>
  <si>
    <t>PO-01749</t>
  </si>
  <si>
    <t>PO-01750</t>
  </si>
  <si>
    <t>PO-01751</t>
  </si>
  <si>
    <t>PO-01752</t>
  </si>
  <si>
    <t>PO-01753</t>
  </si>
  <si>
    <t>PO-01754</t>
  </si>
  <si>
    <t>PO-01755</t>
  </si>
  <si>
    <t>PO-01756</t>
  </si>
  <si>
    <t>PO-01757</t>
  </si>
  <si>
    <t>PO-01758</t>
  </si>
  <si>
    <t>PO-01759</t>
  </si>
  <si>
    <t>PO-01760</t>
  </si>
  <si>
    <t>PO-01761</t>
  </si>
  <si>
    <t>PO-01762</t>
  </si>
  <si>
    <t>PO-01763</t>
  </si>
  <si>
    <t>PO-01764</t>
  </si>
  <si>
    <t>PO-01765</t>
  </si>
  <si>
    <t>PO-01766</t>
  </si>
  <si>
    <t>PO-01767</t>
  </si>
  <si>
    <t>PO-01768</t>
  </si>
  <si>
    <t>PO-01769</t>
  </si>
  <si>
    <t>PO-01770</t>
  </si>
  <si>
    <t>PO-01771</t>
  </si>
  <si>
    <t>PO-01772</t>
  </si>
  <si>
    <t>PO-01773</t>
  </si>
  <si>
    <t>PO-01774</t>
  </si>
  <si>
    <t>PO-01775</t>
  </si>
  <si>
    <t>PO-01776</t>
  </si>
  <si>
    <t>PO-01777</t>
  </si>
  <si>
    <t>PO-01778</t>
  </si>
  <si>
    <t>PO-01779</t>
  </si>
  <si>
    <t>PO-01780</t>
  </si>
  <si>
    <t>PO-01781</t>
  </si>
  <si>
    <t>PO-01782</t>
  </si>
  <si>
    <t>PO-01783</t>
  </si>
  <si>
    <t>PO-01784</t>
  </si>
  <si>
    <t>PO-01785</t>
  </si>
  <si>
    <t>PO-01786</t>
  </si>
  <si>
    <t>PO-01787</t>
  </si>
  <si>
    <t>PO-01788</t>
  </si>
  <si>
    <t>PO-01789</t>
  </si>
  <si>
    <t>PO-01790</t>
  </si>
  <si>
    <t>PO-01791</t>
  </si>
  <si>
    <t>PO-01792</t>
  </si>
  <si>
    <t>PO-01793</t>
  </si>
  <si>
    <t>PO-01794</t>
  </si>
  <si>
    <t>PO-01795</t>
  </si>
  <si>
    <t>PO-01796</t>
  </si>
  <si>
    <t>PO-01797</t>
  </si>
  <si>
    <t>PO-01798</t>
  </si>
  <si>
    <t>PO-01799</t>
  </si>
  <si>
    <t>PO-01800</t>
  </si>
  <si>
    <t>PO-01801</t>
  </si>
  <si>
    <t>PO-01802</t>
  </si>
  <si>
    <t>PO-01803</t>
  </si>
  <si>
    <t>PO-01804</t>
  </si>
  <si>
    <t>PO-01805</t>
  </si>
  <si>
    <t>PO-01806</t>
  </si>
  <si>
    <t>PO-01807</t>
  </si>
  <si>
    <t>PO-01808</t>
  </si>
  <si>
    <t>PO-01809</t>
  </si>
  <si>
    <t>PO-01810</t>
  </si>
  <si>
    <t>PO-01811</t>
  </si>
  <si>
    <t>PO-01812</t>
  </si>
  <si>
    <t>PO-01813</t>
  </si>
  <si>
    <t>PO-01814</t>
  </si>
  <si>
    <t>PO-01815</t>
  </si>
  <si>
    <t>PO-01816</t>
  </si>
  <si>
    <t>PO-01817</t>
  </si>
  <si>
    <t>PO-01818</t>
  </si>
  <si>
    <t>PO-01819</t>
  </si>
  <si>
    <t>PO-01820</t>
  </si>
  <si>
    <t>PO-01821</t>
  </si>
  <si>
    <t>PO-01822</t>
  </si>
  <si>
    <t>PO-01823</t>
  </si>
  <si>
    <t>PO-01824</t>
  </si>
  <si>
    <t>PO-01825</t>
  </si>
  <si>
    <t>PO-01826</t>
  </si>
  <si>
    <t>PO-01827</t>
  </si>
  <si>
    <t>PO-01828</t>
  </si>
  <si>
    <t>PO-01829</t>
  </si>
  <si>
    <t>PO-01830</t>
  </si>
  <si>
    <t>PO-01831</t>
  </si>
  <si>
    <t>PO-01832</t>
  </si>
  <si>
    <t>PO-01833</t>
  </si>
  <si>
    <t>PO-01834</t>
  </si>
  <si>
    <t>PO-01835</t>
  </si>
  <si>
    <t>PO-01836</t>
  </si>
  <si>
    <t>PO-01837</t>
  </si>
  <si>
    <t>PO-01838</t>
  </si>
  <si>
    <t>PO-01839</t>
  </si>
  <si>
    <t>PO-01840</t>
  </si>
  <si>
    <t>PO-01841</t>
  </si>
  <si>
    <t>PO-01842</t>
  </si>
  <si>
    <t>PO-01843</t>
  </si>
  <si>
    <t>PO-01844</t>
  </si>
  <si>
    <t>PO-01845</t>
  </si>
  <si>
    <t>PO-01846</t>
  </si>
  <si>
    <t>PO-01847</t>
  </si>
  <si>
    <t>PO-01848</t>
  </si>
  <si>
    <t>PO-01849</t>
  </si>
  <si>
    <t>PO-01850</t>
  </si>
  <si>
    <t>PO-01851</t>
  </si>
  <si>
    <t>PO-01852</t>
  </si>
  <si>
    <t>PO-01853</t>
  </si>
  <si>
    <t>PO-01854</t>
  </si>
  <si>
    <t>PO-01855</t>
  </si>
  <si>
    <t>PO-01856</t>
  </si>
  <si>
    <t>PO-01857</t>
  </si>
  <si>
    <t>PO-01858</t>
  </si>
  <si>
    <t>PO-01859</t>
  </si>
  <si>
    <t>PO-01860</t>
  </si>
  <si>
    <t>PO-01861</t>
  </si>
  <si>
    <t>PO-01862</t>
  </si>
  <si>
    <t>PO-01863</t>
  </si>
  <si>
    <t>PO-01864</t>
  </si>
  <si>
    <t>PO-01865</t>
  </si>
  <si>
    <t>PO-01866</t>
  </si>
  <si>
    <t>PO-01867</t>
  </si>
  <si>
    <t>PO-01868</t>
  </si>
  <si>
    <t>PO-01869</t>
  </si>
  <si>
    <t>PO-01870</t>
  </si>
  <si>
    <t>PO-01871</t>
  </si>
  <si>
    <t>PO-01872</t>
  </si>
  <si>
    <t>PO-01873</t>
  </si>
  <si>
    <t>PO-01874</t>
  </si>
  <si>
    <t>PO-01875</t>
  </si>
  <si>
    <t>PO-01876</t>
  </si>
  <si>
    <t>PO-01877</t>
  </si>
  <si>
    <t>PO-01878</t>
  </si>
  <si>
    <t>PO-01879</t>
  </si>
  <si>
    <t>PO-01880</t>
  </si>
  <si>
    <t>PO-01881</t>
  </si>
  <si>
    <t>PO-01882</t>
  </si>
  <si>
    <t>PO-01883</t>
  </si>
  <si>
    <t>PO-01884</t>
  </si>
  <si>
    <t>PO-01885</t>
  </si>
  <si>
    <t>PO-01886</t>
  </si>
  <si>
    <t>PO-01887</t>
  </si>
  <si>
    <t>PO-01888</t>
  </si>
  <si>
    <t>PO-01889</t>
  </si>
  <si>
    <t>PO-01890</t>
  </si>
  <si>
    <t>PO-01891</t>
  </si>
  <si>
    <t>PO-01892</t>
  </si>
  <si>
    <t>PO-01893</t>
  </si>
  <si>
    <t>PO-01894</t>
  </si>
  <si>
    <t>PO-01895</t>
  </si>
  <si>
    <t>PO-01896</t>
  </si>
  <si>
    <t>PO-01897</t>
  </si>
  <si>
    <t>PO-01898</t>
  </si>
  <si>
    <t>PO-01899</t>
  </si>
  <si>
    <t>PO-01900</t>
  </si>
  <si>
    <t>PO-01901</t>
  </si>
  <si>
    <t>PO-01902</t>
  </si>
  <si>
    <t>PO-01903</t>
  </si>
  <si>
    <t>PO-01904</t>
  </si>
  <si>
    <t>PO-01905</t>
  </si>
  <si>
    <t>PO-01906</t>
  </si>
  <si>
    <t>PO-01907</t>
  </si>
  <si>
    <t>PO-01908</t>
  </si>
  <si>
    <t>PO-01909</t>
  </si>
  <si>
    <t>PO-01910</t>
  </si>
  <si>
    <t>PO-01911</t>
  </si>
  <si>
    <t>PO-01912</t>
  </si>
  <si>
    <t>PO-01913</t>
  </si>
  <si>
    <t>PO-01914</t>
  </si>
  <si>
    <t>PO-01915</t>
  </si>
  <si>
    <t>PO-01916</t>
  </si>
  <si>
    <t>PO-01917</t>
  </si>
  <si>
    <t>PO-01918</t>
  </si>
  <si>
    <t>PO-01919</t>
  </si>
  <si>
    <t>PO-01920</t>
  </si>
  <si>
    <t>PO-01921</t>
  </si>
  <si>
    <t>PO-01922</t>
  </si>
  <si>
    <t>PO-01923</t>
  </si>
  <si>
    <t>PO-01924</t>
  </si>
  <si>
    <t>PO-01925</t>
  </si>
  <si>
    <t>PO-01926</t>
  </si>
  <si>
    <t>PO-01927</t>
  </si>
  <si>
    <t>PO-01928</t>
  </si>
  <si>
    <t>PO-01929</t>
  </si>
  <si>
    <t>PO-01930</t>
  </si>
  <si>
    <t>PO-01931</t>
  </si>
  <si>
    <t>PO-01932</t>
  </si>
  <si>
    <t>PO-01933</t>
  </si>
  <si>
    <t>PO-01934</t>
  </si>
  <si>
    <t>PO-01935</t>
  </si>
  <si>
    <t>PO-01936</t>
  </si>
  <si>
    <t>PO-01937</t>
  </si>
  <si>
    <t>PO-01938</t>
  </si>
  <si>
    <t>PO-01939</t>
  </si>
  <si>
    <t>PO-01940</t>
  </si>
  <si>
    <t>PO-01941</t>
  </si>
  <si>
    <t>PO-01942</t>
  </si>
  <si>
    <t>PO-01943</t>
  </si>
  <si>
    <t>PO-01944</t>
  </si>
  <si>
    <t>PO-01945</t>
  </si>
  <si>
    <t>PO-01946</t>
  </si>
  <si>
    <t>PO-01947</t>
  </si>
  <si>
    <t>PO-01948</t>
  </si>
  <si>
    <t>PO-01949</t>
  </si>
  <si>
    <t>PO-01950</t>
  </si>
  <si>
    <t>PO-01951</t>
  </si>
  <si>
    <t>PO-01952</t>
  </si>
  <si>
    <t>PO-01953</t>
  </si>
  <si>
    <t>PO-01954</t>
  </si>
  <si>
    <t>PO-01955</t>
  </si>
  <si>
    <t>PO-01956</t>
  </si>
  <si>
    <t>PO-01957</t>
  </si>
  <si>
    <t>PO-01958</t>
  </si>
  <si>
    <t>PO-01959</t>
  </si>
  <si>
    <t>PO-01960</t>
  </si>
  <si>
    <t>PO-01961</t>
  </si>
  <si>
    <t>PO-01962</t>
  </si>
  <si>
    <t>PO-01963</t>
  </si>
  <si>
    <t>PO-01964</t>
  </si>
  <si>
    <t>PO-01965</t>
  </si>
  <si>
    <t>PO-01966</t>
  </si>
  <si>
    <t>PO-01967</t>
  </si>
  <si>
    <t>PO-01968</t>
  </si>
  <si>
    <t>PO-01969</t>
  </si>
  <si>
    <t>PO-01970</t>
  </si>
  <si>
    <t>PO-01971</t>
  </si>
  <si>
    <t>PO-01972</t>
  </si>
  <si>
    <t>PO-01973</t>
  </si>
  <si>
    <t>PO-01974</t>
  </si>
  <si>
    <t>PO-01975</t>
  </si>
  <si>
    <t>PO-01976</t>
  </si>
  <si>
    <t>PO-01977</t>
  </si>
  <si>
    <t>PO-01978</t>
  </si>
  <si>
    <t>PO-01979</t>
  </si>
  <si>
    <t>PO-01980</t>
  </si>
  <si>
    <t>PO-01981</t>
  </si>
  <si>
    <t>PO-01982</t>
  </si>
  <si>
    <t>PO-01983</t>
  </si>
  <si>
    <t>PO-01984</t>
  </si>
  <si>
    <t>PO-01985</t>
  </si>
  <si>
    <t>PO-01986</t>
  </si>
  <si>
    <t>PO-01987</t>
  </si>
  <si>
    <t>PO-01988</t>
  </si>
  <si>
    <t>PO-01989</t>
  </si>
  <si>
    <t>PO-01990</t>
  </si>
  <si>
    <t>PO-01991</t>
  </si>
  <si>
    <t>PO-01992</t>
  </si>
  <si>
    <t>PO-01993</t>
  </si>
  <si>
    <t>PO-01994</t>
  </si>
  <si>
    <t>PO-01995</t>
  </si>
  <si>
    <t>PO-01996</t>
  </si>
  <si>
    <t>PO-01997</t>
  </si>
  <si>
    <t>PO-01998</t>
  </si>
  <si>
    <t>PO-01999</t>
  </si>
  <si>
    <t>PO-02000</t>
  </si>
  <si>
    <t>Vendor Price Analysis</t>
  </si>
  <si>
    <t>Vendor Delivery Analysis</t>
  </si>
  <si>
    <t>Price vs Delivery Analysis</t>
  </si>
  <si>
    <t>Average Price Analysis</t>
  </si>
  <si>
    <t>Vendor ID</t>
  </si>
  <si>
    <t>Unit cost</t>
  </si>
  <si>
    <t>Negotiated cost</t>
  </si>
  <si>
    <t>Vendor Id</t>
  </si>
  <si>
    <t>Order_status</t>
  </si>
  <si>
    <t>Quality and Reliability Analysis</t>
  </si>
  <si>
    <t>Overall value Analysis</t>
  </si>
  <si>
    <t>Order_date</t>
  </si>
  <si>
    <t>Unit_cost</t>
  </si>
  <si>
    <t>Price Trend Analysis</t>
  </si>
  <si>
    <t>Quantity Analysis</t>
  </si>
  <si>
    <t>Delivery_days</t>
  </si>
  <si>
    <t>Defect_Rate</t>
  </si>
  <si>
    <t>Total_spend</t>
  </si>
  <si>
    <t>Price_Savings</t>
  </si>
  <si>
    <t>New Columns needed</t>
  </si>
  <si>
    <t>Not Yet Delivered</t>
  </si>
  <si>
    <t>Delivery_Days</t>
  </si>
  <si>
    <t>Price_Saving %</t>
  </si>
  <si>
    <t>Defect Rate</t>
  </si>
  <si>
    <t>Total Spend</t>
  </si>
  <si>
    <t>Row Labels</t>
  </si>
  <si>
    <t>Grand Total</t>
  </si>
  <si>
    <t>Average of Unit_Cost</t>
  </si>
  <si>
    <t>Average of Delivery_Days</t>
  </si>
  <si>
    <t>Sum of Quantity</t>
  </si>
  <si>
    <t>Sum of Total Spend</t>
  </si>
  <si>
    <t>Average of Price_Saving %</t>
  </si>
  <si>
    <t>Average of Defect Rate</t>
  </si>
  <si>
    <t>No. Of vendors</t>
  </si>
  <si>
    <t>2023</t>
  </si>
  <si>
    <t>2024</t>
  </si>
  <si>
    <t>Apr</t>
  </si>
  <si>
    <t>May</t>
  </si>
  <si>
    <t>Jun</t>
  </si>
  <si>
    <t>Jan</t>
  </si>
  <si>
    <t>Feb</t>
  </si>
  <si>
    <t>Mar</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</si>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</sst>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0;[Red]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rgb="FF00B0F0"/>
        <bgColor indexed="64"/>
      </patternFill>
    </fill>
    <fill>
      <patternFill patternType="solid">
        <fgColor rgb="FFFFC000"/>
        <bgColor indexed="64"/>
      </patternFill>
    </fill>
    <fill>
      <patternFill patternType="solid">
        <fgColor rgb="FF7030A0"/>
        <bgColor indexed="64"/>
      </patternFill>
    </fill>
    <fill>
      <patternFill patternType="solid">
        <fgColor theme="0" tint="-0.34998626667073579"/>
        <bgColor indexed="64"/>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8">
    <xf numFmtId="0" fontId="0" fillId="0" borderId="0" xfId="0"/>
    <xf numFmtId="14" fontId="0" fillId="0" borderId="0" xfId="0" applyNumberFormat="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0" borderId="0" xfId="0" applyFill="1"/>
    <xf numFmtId="0" fontId="0" fillId="41" borderId="0" xfId="0" applyFill="1"/>
    <xf numFmtId="0" fontId="16" fillId="0" borderId="0" xfId="0" applyFont="1"/>
    <xf numFmtId="0" fontId="0" fillId="42" borderId="0" xfId="0" applyFill="1"/>
    <xf numFmtId="14" fontId="0" fillId="0" borderId="0" xfId="0" applyNumberFormat="1" applyAlignment="1">
      <alignment horizontal="right"/>
    </xf>
    <xf numFmtId="0" fontId="0" fillId="0" borderId="0" xfId="0" applyAlignment="1">
      <alignment horizontal="right"/>
    </xf>
    <xf numFmtId="0" fontId="16" fillId="0" borderId="0" xfId="0" applyFont="1" applyAlignment="1">
      <alignment wrapText="1"/>
    </xf>
    <xf numFmtId="0" fontId="16" fillId="0" borderId="0" xfId="0" applyFont="1" applyAlignment="1">
      <alignment horizontal="right" wrapText="1"/>
    </xf>
    <xf numFmtId="10" fontId="16" fillId="0" borderId="0" xfId="0" applyNumberFormat="1" applyFont="1" applyAlignment="1">
      <alignment horizontal="right" wrapText="1"/>
    </xf>
    <xf numFmtId="10" fontId="0" fillId="0" borderId="0" xfId="0" applyNumberFormat="1" applyAlignment="1">
      <alignment horizontal="right"/>
    </xf>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64" fontId="0" fillId="0" borderId="0" xfId="0" applyNumberFormat="1"/>
    <xf numFmtId="0" fontId="0" fillId="0" borderId="0" xfId="0" applyNumberFormat="1"/>
    <xf numFmtId="10" fontId="16" fillId="0" borderId="0" xfId="42" applyNumberFormat="1" applyFont="1" applyAlignment="1">
      <alignment horizontal="right" wrapText="1"/>
    </xf>
    <xf numFmtId="10" fontId="0" fillId="0" borderId="0" xfId="42" applyNumberFormat="1" applyFont="1" applyAlignment="1">
      <alignment horizontal="right"/>
    </xf>
    <xf numFmtId="0" fontId="0" fillId="0" borderId="0" xfId="0" applyAlignment="1">
      <alignment horizontal="left" inden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4" formatCode="0.00%"/>
      <alignment horizontal="right" vertical="bottom" textRotation="0" indent="0" justifyLastLine="0" shrinkToFit="0" readingOrder="0"/>
    </dxf>
    <dxf>
      <numFmt numFmtId="14" formatCode="0.00%"/>
      <alignment horizontal="right" vertical="bottom" textRotation="0" wrapText="0" indent="0" justifyLastLine="0" shrinkToFit="0" readingOrder="0"/>
    </dxf>
    <dxf>
      <numFmt numFmtId="0" formatCode="General"/>
      <alignment horizontal="right" vertical="bottom" textRotation="0" indent="0" justifyLastLine="0" shrinkToFit="0" readingOrder="0"/>
    </dxf>
    <dxf>
      <numFmt numFmtId="0" formatCode="General"/>
      <alignment horizontal="right" vertical="bottom" textRotation="0" indent="0" justifyLastLine="0" shrinkToFit="0" readingOrder="0"/>
    </dxf>
    <dxf>
      <alignment horizontal="right" vertical="bottom" textRotation="0" indent="0" justifyLastLine="0" shrinkToFit="0" readingOrder="0"/>
    </dxf>
    <dxf>
      <numFmt numFmtId="0" formatCode="General"/>
    </dxf>
    <dxf>
      <alignment horizontal="right" vertical="bottom" textRotation="0" indent="0" justifyLastLine="0" shrinkToFit="0" readingOrder="0"/>
    </dxf>
    <dxf>
      <numFmt numFmtId="19" formatCode="dd/mm/yyyy"/>
      <alignment horizontal="right" vertical="bottom" textRotation="0" wrapText="0" indent="0" justifyLastLine="0" shrinkToFit="0" readingOrder="0"/>
    </dxf>
    <dxf>
      <numFmt numFmtId="19" formatCode="dd/mm/yyyy"/>
    </dxf>
    <dxf>
      <alignment horizontal="right" vertical="bottom" textRotation="0" indent="0" justifyLastLine="0" shrinkToFit="0" readingOrder="0"/>
    </dxf>
    <dxf>
      <font>
        <b/>
        <i val="0"/>
        <strike val="0"/>
        <condense val="0"/>
        <extend val="0"/>
        <outline val="0"/>
        <shadow val="0"/>
        <u val="none"/>
        <vertAlign val="baseline"/>
        <sz val="11"/>
        <color theme="1"/>
        <name val="Calibri"/>
        <family val="2"/>
        <scheme val="minor"/>
      </font>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[vendor_cost_comparison_procurement_dataset.xlsx]Vendor Price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Vendor Price</a:t>
            </a:r>
            <a:r>
              <a:rPr lang="en-IN" baseline="0"/>
              <a:t> Analysis</a:t>
            </a:r>
            <a:endParaRPr lang="en-IN"/>
          </a:p>
        </c:rich>
      </c:tx>
      <c:layout>
        <c:manualLayout>
          <c:xMode val="edge"/>
          <c:yMode val="edge"/>
          <c:x val="0.31461789151356079"/>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'Vendor Price Analysis'!$B$3</c:f>
              <c:strCache>
                <c:ptCount val="1"/>
                <c:pt idx="0">
                  <c:v>Total</c:v>
                </c:pt>
              </c:strCache>
            </c:strRef>
          </c:tx>
          <c:spPr>
            <a:solidFill>
              <a:schemeClr val="accent1"/>
            </a:solidFill>
            <a:ln>
              <a:noFill/>
            </a:ln>
            <a:effectLst/>
          </c:spPr>
          <c:invertIfNegative val="0"/>
          <c:cat>
            <c:strRef>
              <c:f>'Vendor Price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'Vendor Price Analysis'!$B$4:$B$12</c:f>
              <c:numCache>
                <c:formatCode>General</c:formatCode>
                <c:ptCount val="8"/>
                <c:pt idx="0">
                  <c:v>13213.402949308758</c:v>
                </c:pt>
                <c:pt idx="1">
                  <c:v>14023.39857638888</c:v>
                </c:pt>
                <c:pt idx="2">
                  <c:v>14220.712291666667</c:v>
                </c:pt>
                <c:pt idx="3">
                  <c:v>14782.904889705887</c:v>
                </c:pt>
                <c:pt idx="4">
                  <c:v>11911.189053497941</c:v>
                </c:pt>
                <c:pt idx="5">
                  <c:v>11690.950123456787</c:v>
                </c:pt>
                <c:pt idx="6">
                  <c:v>13613.072828685261</c:v>
                </c:pt>
                <c:pt idx="7">
                  <c:v>12679.279268292683</c:v>
                </c:pt>
              </c:numCache>
            </c:numRef>
          </c:val>
          <c:extLst>
            <c:ext xmlns:c16="http://schemas.microsoft.com/office/drawing/2014/chart" uri="{C3380CC4-5D6E-409C-BE32-E72D297353CC}">
              <c16:uniqueId val="{00000000-9323-403F-BFE9-7B08670E8861}"/>
            </c:ext>
          </c:extLst>
        </c:ser>
        <c:dLbls>
          <c:showLegendKey val="0"/>
          <c:showVal val="0"/>
          <c:showCatName val="0"/>
          <c:showSerName val="0"/>
          <c:showPercent val="0"/>
          <c:showBubbleSize val="0"/>
        </c:dLbls>
        <c:gapWidth val="219"/>
        <c:overlap val="-27"/>
        <c:axId val="226319311"/>
        <c:axId val="166495999"/>
      </c:barChart>
      <c:catAx>
        <c:axId val="22631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95999"/>
        <c:crosses val="autoZero"/>
        <c:auto val="1"/>
        <c:lblAlgn val="ctr"/>
        <c:lblOffset val="100"/>
        <c:noMultiLvlLbl val="0"/>
      </c:catAx>
      <c:valAx>
        <c:axId val="16649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19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[vendor_cost_comparison_procurement_dataset.xlsx]Vendor Delivery 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Vendor Delivery Analysis</a:t>
            </a:r>
          </a:p>
        </c:rich>
      </c:tx>
      <c:layout>
        <c:manualLayout>
          <c:xMode val="edge"/>
          <c:yMode val="edge"/>
          <c:x val="0.30595122484689413"/>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'Vendor Delivery Analysis'!$B$3</c:f>
              <c:strCache>
                <c:ptCount val="1"/>
                <c:pt idx="0">
                  <c:v>Total</c:v>
                </c:pt>
              </c:strCache>
            </c:strRef>
          </c:tx>
          <c:spPr>
            <a:solidFill>
              <a:schemeClr val="accent1"/>
            </a:solidFill>
            <a:ln>
              <a:noFill/>
            </a:ln>
            <a:effectLst/>
          </c:spPr>
          <c:invertIfNegative val="0"/>
          <c:cat>
            <c:strRef>
              <c:f>'Vendor Delivery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'Vendor Delivery Analysis'!$B$4:$B$12</c:f>
              <c:numCache>
                <c:formatCode>General</c:formatCode>
                <c:ptCount val="8"/>
                <c:pt idx="0">
                  <c:v>16.202072538860104</c:v>
                </c:pt>
                <c:pt idx="1">
                  <c:v>16.317073170731707</c:v>
                </c:pt>
                <c:pt idx="2">
                  <c:v>15.305418719211822</c:v>
                </c:pt>
                <c:pt idx="3">
                  <c:v>16.086419753086421</c:v>
                </c:pt>
                <c:pt idx="4">
                  <c:v>17.147058823529413</c:v>
                </c:pt>
                <c:pt idx="5">
                  <c:v>15.122641509433961</c:v>
                </c:pt>
                <c:pt idx="6">
                  <c:v>16.315533980582526</c:v>
                </c:pt>
                <c:pt idx="7">
                  <c:v>16.233333333333334</c:v>
                </c:pt>
              </c:numCache>
            </c:numRef>
          </c:val>
          <c:extLst>
            <c:ext xmlns:c16="http://schemas.microsoft.com/office/drawing/2014/chart" uri="{C3380CC4-5D6E-409C-BE32-E72D297353CC}">
              <c16:uniqueId val="{00000000-111E-42A5-9DFA-04CDEFB1D374}"/>
            </c:ext>
          </c:extLst>
        </c:ser>
        <c:dLbls>
          <c:showLegendKey val="0"/>
          <c:showVal val="0"/>
          <c:showCatName val="0"/>
          <c:showSerName val="0"/>
          <c:showPercent val="0"/>
          <c:showBubbleSize val="0"/>
        </c:dLbls>
        <c:gapWidth val="219"/>
        <c:overlap val="-27"/>
        <c:axId val="147421071"/>
        <c:axId val="166494079"/>
      </c:barChart>
      <c:catAx>
        <c:axId val="1474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94079"/>
        <c:crosses val="autoZero"/>
        <c:auto val="1"/>
        <c:lblAlgn val="ctr"/>
        <c:lblOffset val="100"/>
        <c:noMultiLvlLbl val="0"/>
      </c:catAx>
      <c:valAx>
        <c:axId val="166494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2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[vendor_cost_comparison_procurement_dataset.xlsx]Quantity 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Analysis'!$B$3</c:f>
              <c:strCache>
                <c:ptCount val="1"/>
                <c:pt idx="0">
                  <c:v>Total</c:v>
                </c:pt>
              </c:strCache>
            </c:strRef>
          </c:tx>
          <c:spPr>
            <a:solidFill>
              <a:schemeClr val="accent1"/>
            </a:solidFill>
            <a:ln>
              <a:noFill/>
            </a:ln>
            <a:effectLst/>
          </c:spPr>
          <c:invertIfNegative val="0"/>
          <c:cat>
            <c:strRef>
              <c:f>'Quantity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'Quantity Analysis'!$B$4:$B$12</c:f>
              <c:numCache>
                <c:formatCode>General</c:formatCode>
                <c:ptCount val="8"/>
                <c:pt idx="0">
                  <c:v>55294</c:v>
                </c:pt>
                <c:pt idx="1">
                  <c:v>72204</c:v>
                </c:pt>
                <c:pt idx="2">
                  <c:v>63047</c:v>
                </c:pt>
                <c:pt idx="3">
                  <c:v>66894</c:v>
                </c:pt>
                <c:pt idx="4">
                  <c:v>58428</c:v>
                </c:pt>
                <c:pt idx="5">
                  <c:v>58702</c:v>
                </c:pt>
                <c:pt idx="6">
                  <c:v>61828</c:v>
                </c:pt>
                <c:pt idx="7">
                  <c:v>62145</c:v>
                </c:pt>
              </c:numCache>
            </c:numRef>
          </c:val>
          <c:extLst>
            <c:ext xmlns:c16="http://schemas.microsoft.com/office/drawing/2014/chart" uri="{C3380CC4-5D6E-409C-BE32-E72D297353CC}">
              <c16:uniqueId val="{00000000-6AA0-497F-8063-BAA69A87D381}"/>
            </c:ext>
          </c:extLst>
        </c:ser>
        <c:dLbls>
          <c:showLegendKey val="0"/>
          <c:showVal val="0"/>
          <c:showCatName val="0"/>
          <c:showSerName val="0"/>
          <c:showPercent val="0"/>
          <c:showBubbleSize val="0"/>
        </c:dLbls>
        <c:gapWidth val="219"/>
        <c:overlap val="-27"/>
        <c:axId val="983200064"/>
        <c:axId val="1034564896"/>
      </c:barChart>
      <c:catAx>
        <c:axId val="98320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564896"/>
        <c:crosses val="autoZero"/>
        <c:auto val="1"/>
        <c:lblAlgn val="ctr"/>
        <c:lblOffset val="100"/>
        <c:noMultiLvlLbl val="0"/>
      </c:catAx>
      <c:valAx>
        <c:axId val="1034564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20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[vendor_cost_comparison_procurement_dataset.xlsx]Price Trend Analysis!PivotTable5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 Trend Analysis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'Price Trend Analysis'!$B$3</c:f>
              <c:strCache>
                <c:ptCount val="1"/>
                <c:pt idx="0">
                  <c:v>Total</c:v>
                </c:pt>
              </c:strCache>
            </c:strRef>
          </c:tx>
          <c:spPr>
            <a:ln w="28575" cap="rnd">
              <a:solidFill>
                <a:schemeClr val="accent1"/>
              </a:solidFill>
              <a:round/>
            </a:ln>
            <a:effectLst/>
          </c:spPr>
          <c:marker>
            <c:symbol val="none"/>
          </c:marker>
          <c:cat>
            <c:multiLvlStrRef>
              <c:f>'Price Trend Analysis'!$A$4:$A$30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'Price Trend Analysis'!$B$4:$B$30</c:f>
              <c:numCache>
                <c:formatCode>General</c:formatCode>
                <c:ptCount val="24"/>
                <c:pt idx="0">
                  <c:v>12478.137422680413</c:v>
                </c:pt>
                <c:pt idx="1">
                  <c:v>11523.939078947373</c:v>
                </c:pt>
                <c:pt idx="2">
                  <c:v>10841.206162790699</c:v>
                </c:pt>
                <c:pt idx="3">
                  <c:v>14220.257176470586</c:v>
                </c:pt>
                <c:pt idx="4">
                  <c:v>14344.625</c:v>
                </c:pt>
                <c:pt idx="5">
                  <c:v>14987.525769230766</c:v>
                </c:pt>
                <c:pt idx="6">
                  <c:v>11890.653000000002</c:v>
                </c:pt>
                <c:pt idx="7">
                  <c:v>14888.850291262137</c:v>
                </c:pt>
                <c:pt idx="8">
                  <c:v>11670.870246913577</c:v>
                </c:pt>
                <c:pt idx="9">
                  <c:v>13730.070384615388</c:v>
                </c:pt>
                <c:pt idx="10">
                  <c:v>13792.632025316454</c:v>
                </c:pt>
                <c:pt idx="11">
                  <c:v>14243.837307692309</c:v>
                </c:pt>
                <c:pt idx="12">
                  <c:v>17135.779146341472</c:v>
                </c:pt>
                <c:pt idx="13">
                  <c:v>10652.997727272725</c:v>
                </c:pt>
                <c:pt idx="14">
                  <c:v>14398.223246753247</c:v>
                </c:pt>
                <c:pt idx="15">
                  <c:v>10958.774415584414</c:v>
                </c:pt>
                <c:pt idx="16">
                  <c:v>13636.903229166675</c:v>
                </c:pt>
                <c:pt idx="17">
                  <c:v>11483.623186813187</c:v>
                </c:pt>
                <c:pt idx="18">
                  <c:v>13900.517362637363</c:v>
                </c:pt>
                <c:pt idx="19">
                  <c:v>12983.632277227714</c:v>
                </c:pt>
                <c:pt idx="20">
                  <c:v>13654.63206896552</c:v>
                </c:pt>
                <c:pt idx="21">
                  <c:v>14052.958888888885</c:v>
                </c:pt>
                <c:pt idx="22">
                  <c:v>15466.270657894738</c:v>
                </c:pt>
                <c:pt idx="23">
                  <c:v>11986.317125</c:v>
                </c:pt>
              </c:numCache>
            </c:numRef>
          </c:val>
          <c:smooth val="0"/>
          <c:extLst>
            <c:ext xmlns:c16="http://schemas.microsoft.com/office/drawing/2014/chart" uri="{C3380CC4-5D6E-409C-BE32-E72D297353CC}">
              <c16:uniqueId val="{00000001-808F-4003-813E-996503653A41}"/>
            </c:ext>
          </c:extLst>
        </c:ser>
        <c:dLbls>
          <c:showLegendKey val="0"/>
          <c:showVal val="0"/>
          <c:showCatName val="0"/>
          <c:showSerName val="0"/>
          <c:showPercent val="0"/>
          <c:showBubbleSize val="0"/>
        </c:dLbls>
        <c:smooth val="0"/>
        <c:axId val="1235559488"/>
        <c:axId val="1167245184"/>
      </c:lineChart>
      <c:catAx>
        <c:axId val="1235559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245184"/>
        <c:crosses val="autoZero"/>
        <c:auto val="1"/>
        <c:lblAlgn val="ctr"/>
        <c:lblOffset val="100"/>
        <c:noMultiLvlLbl val="0"/>
      </c:catAx>
      <c:valAx>
        <c:axId val="1167245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5594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[vendor_cost_comparison_procurement_dataset.xlsx]Price Vs Delivery Analysis!PivotTable6</c:name>
    <c:fmtId val="5"/>
  </c:pivotSource>
  <c:chart>
    <c:title>
      <c:tx>
        <c:rich>
          <a:bodyPr/>
          <a:lstStyle/>
          <a:p>
            <a:pPr>
              <a:defRPr/>
            </a:pPr>
            <a:r>
              <a:rPr lang="en-IN" sz="1400" b="0"/>
              <a:t>Price vs</a:t>
            </a:r>
            <a:r>
              <a:rPr lang="en-IN" sz="1400" b="0" baseline="0"/>
              <a:t> Delivery Analysis</a:t>
            </a:r>
            <a:endParaRPr lang="en-IN" sz="1400" b="0"/>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1"/>
          <c:tx>
            <c:strRef>
              <c:f>'Price Vs Delivery Analysis'!$C$3</c:f>
              <c:strCache>
                <c:ptCount val="1"/>
                <c:pt idx="0">
                  <c:v>Average of Unit_Cost</c:v>
                </c:pt>
              </c:strCache>
            </c:strRef>
          </c:tx>
          <c:spPr>
            <a:solidFill>
              <a:schemeClr val="accent2"/>
            </a:solidFill>
            <a:ln>
              <a:noFill/>
            </a:ln>
            <a:effectLst/>
          </c:spPr>
          <c:invertIfNegative val="0"/>
          <c:cat>
            <c:strRef>
              <c:f>'Price Vs Delivery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'Price Vs Delivery Analysis'!$C$4:$C$12</c:f>
              <c:numCache>
                <c:formatCode>General</c:formatCode>
                <c:ptCount val="8"/>
                <c:pt idx="0">
                  <c:v>13213.402949308758</c:v>
                </c:pt>
                <c:pt idx="1">
                  <c:v>14023.39857638888</c:v>
                </c:pt>
                <c:pt idx="2">
                  <c:v>14220.712291666667</c:v>
                </c:pt>
                <c:pt idx="3">
                  <c:v>14782.904889705887</c:v>
                </c:pt>
                <c:pt idx="4">
                  <c:v>11911.189053497941</c:v>
                </c:pt>
                <c:pt idx="5">
                  <c:v>11690.950123456787</c:v>
                </c:pt>
                <c:pt idx="6">
                  <c:v>13613.072828685261</c:v>
                </c:pt>
                <c:pt idx="7">
                  <c:v>12679.279268292683</c:v>
                </c:pt>
              </c:numCache>
            </c:numRef>
          </c:val>
          <c:extLst>
            <c:ext xmlns:c16="http://schemas.microsoft.com/office/drawing/2014/chart" uri="{C3380CC4-5D6E-409C-BE32-E72D297353CC}">
              <c16:uniqueId val="{00000003-34F8-4B38-B433-6F835EB72DD1}"/>
            </c:ext>
          </c:extLst>
        </c:ser>
        <c:dLbls>
          <c:showLegendKey val="0"/>
          <c:showVal val="0"/>
          <c:showCatName val="0"/>
          <c:showSerName val="0"/>
          <c:showPercent val="0"/>
          <c:showBubbleSize val="0"/>
        </c:dLbls>
        <c:gapWidth val="219"/>
        <c:axId val="1989460271"/>
        <c:axId val="1979477375"/>
      </c:barChart>
      <c:lineChart>
        <c:grouping val="standard"/>
        <c:varyColors val="0"/>
        <c:ser>
          <c:idx val="0"/>
          <c:order val="0"/>
          <c:tx>
            <c:strRef>
              <c:f>'Price Vs Delivery Analysis'!$B$3</c:f>
              <c:strCache>
                <c:ptCount val="1"/>
                <c:pt idx="0">
                  <c:v>Average of Delivery_Days</c:v>
                </c:pt>
              </c:strCache>
            </c:strRef>
          </c:tx>
          <c:spPr>
            <a:ln w="28575" cap="rnd">
              <a:solidFill>
                <a:schemeClr val="accent1"/>
              </a:solidFill>
              <a:round/>
            </a:ln>
            <a:effectLst/>
          </c:spPr>
          <c:marker>
            <c:symbol val="none"/>
          </c:marker>
          <c:cat>
            <c:strRef>
              <c:f>'Price Vs Delivery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'Price Vs Delivery Analysis'!$B$4:$B$12</c:f>
              <c:numCache>
                <c:formatCode>General</c:formatCode>
                <c:ptCount val="8"/>
                <c:pt idx="0">
                  <c:v>16.202072538860104</c:v>
                </c:pt>
                <c:pt idx="1">
                  <c:v>16.317073170731707</c:v>
                </c:pt>
                <c:pt idx="2">
                  <c:v>15.305418719211822</c:v>
                </c:pt>
                <c:pt idx="3">
                  <c:v>16.086419753086421</c:v>
                </c:pt>
                <c:pt idx="4">
                  <c:v>17.147058823529413</c:v>
                </c:pt>
                <c:pt idx="5">
                  <c:v>15.122641509433961</c:v>
                </c:pt>
                <c:pt idx="6">
                  <c:v>16.315533980582526</c:v>
                </c:pt>
                <c:pt idx="7">
                  <c:v>16.233333333333334</c:v>
                </c:pt>
              </c:numCache>
            </c:numRef>
          </c:val>
          <c:smooth val="0"/>
          <c:extLst>
            <c:ext xmlns:c16="http://schemas.microsoft.com/office/drawing/2014/chart" uri="{C3380CC4-5D6E-409C-BE32-E72D297353CC}">
              <c16:uniqueId val="{00000005-34F8-4B38-B433-6F835EB72DD1}"/>
            </c:ext>
          </c:extLst>
        </c:ser>
        <c:dLbls>
          <c:showLegendKey val="0"/>
          <c:showVal val="0"/>
          <c:showCatName val="0"/>
          <c:showSerName val="0"/>
          <c:showPercent val="0"/>
          <c:showBubbleSize val="0"/>
        </c:dLbls>
        <c:marker val="1"/>
        <c:smooth val="0"/>
        <c:axId val="1917001583"/>
        <c:axId val="1979488415"/>
      </c:lineChart>
      <c:catAx>
        <c:axId val="198946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477375"/>
        <c:crosses val="autoZero"/>
        <c:auto val="1"/>
        <c:lblAlgn val="ctr"/>
        <c:lblOffset val="100"/>
        <c:noMultiLvlLbl val="0"/>
      </c:catAx>
      <c:valAx>
        <c:axId val="197947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460271"/>
        <c:crosses val="autoZero"/>
        <c:crossBetween val="between"/>
      </c:valAx>
      <c:valAx>
        <c:axId val="197948841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001583"/>
        <c:crosses val="max"/>
        <c:crossBetween val="between"/>
      </c:valAx>
      <c:catAx>
        <c:axId val="1917001583"/>
        <c:scaling>
          <c:orientation val="minMax"/>
        </c:scaling>
        <c:delete val="1"/>
        <c:axPos val="b"/>
        <c:numFmt formatCode="General" sourceLinked="1"/>
        <c:majorTickMark val="out"/>
        <c:minorTickMark val="none"/>
        <c:tickLblPos val="nextTo"/>
        <c:crossAx val="1979488415"/>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[vendor_cost_comparison_procurement_dataset.xlsx]Cost Saving &amp; Quality Analysis!PivotTable7</c:name>
    <c:fmtId val="13"/>
  </c:pivotSource>
  <c:chart>
    <c:title>
      <c:tx>
        <c:rich>
          <a:bodyPr/>
          <a:lstStyle/>
          <a:p>
            <a:pPr>
              <a:defRPr/>
            </a:pPr>
            <a:r>
              <a:rPr lang="en-IN" sz="1400" b="0" i="0" u="none" strike="noStrike" baseline="0"/>
              <a:t>Cost Saving &amp; Quality Analysis</a:t>
            </a:r>
            <a:r>
              <a:rPr lang="en-IN" sz="1400" b="0"/>
              <a:t> </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'Cost Saving &amp; Quality Analysis'!$B$3</c:f>
              <c:strCache>
                <c:ptCount val="1"/>
                <c:pt idx="0">
                  <c:v>Average of Price_Saving %</c:v>
                </c:pt>
              </c:strCache>
            </c:strRef>
          </c:tx>
          <c:spPr>
            <a:solidFill>
              <a:schemeClr val="accent1"/>
            </a:solidFill>
            <a:ln>
              <a:noFill/>
            </a:ln>
            <a:effectLst/>
          </c:spPr>
          <c:invertIfNegative val="0"/>
          <c:cat>
            <c:strRef>
              <c:f>'Cost Saving &amp; Quality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'Cost Saving &amp; Quality Analysis'!$B$4:$B$12</c:f>
              <c:numCache>
                <c:formatCode>0.00%</c:formatCode>
                <c:ptCount val="8"/>
                <c:pt idx="0">
                  <c:v>4.138198910568322E-2</c:v>
                </c:pt>
                <c:pt idx="1">
                  <c:v>3.2710834211505752E-2</c:v>
                </c:pt>
                <c:pt idx="2">
                  <c:v>3.7308482442884934E-2</c:v>
                </c:pt>
                <c:pt idx="3">
                  <c:v>3.2175986889751818E-2</c:v>
                </c:pt>
                <c:pt idx="4">
                  <c:v>3.7542293139953685E-2</c:v>
                </c:pt>
                <c:pt idx="5">
                  <c:v>3.1746970910098073E-2</c:v>
                </c:pt>
                <c:pt idx="6">
                  <c:v>2.9432830719788011E-2</c:v>
                </c:pt>
                <c:pt idx="7">
                  <c:v>3.475651786638409E-2</c:v>
                </c:pt>
              </c:numCache>
            </c:numRef>
          </c:val>
          <c:extLst>
            <c:ext xmlns:c16="http://schemas.microsoft.com/office/drawing/2014/chart" uri="{C3380CC4-5D6E-409C-BE32-E72D297353CC}">
              <c16:uniqueId val="{00000004-FF70-4A59-B4F6-AA991716DC01}"/>
            </c:ext>
          </c:extLst>
        </c:ser>
        <c:dLbls>
          <c:showLegendKey val="0"/>
          <c:showVal val="0"/>
          <c:showCatName val="0"/>
          <c:showSerName val="0"/>
          <c:showPercent val="0"/>
          <c:showBubbleSize val="0"/>
        </c:dLbls>
        <c:gapWidth val="219"/>
        <c:axId val="1913627279"/>
        <c:axId val="1526472031"/>
      </c:barChart>
      <c:lineChart>
        <c:grouping val="standard"/>
        <c:varyColors val="0"/>
        <c:ser>
          <c:idx val="1"/>
          <c:order val="1"/>
          <c:tx>
            <c:strRef>
              <c:f>'Cost Saving &amp; Quality Analysis'!$C$3</c:f>
              <c:strCache>
                <c:ptCount val="1"/>
                <c:pt idx="0">
                  <c:v>Average of Defect Rate</c:v>
                </c:pt>
              </c:strCache>
            </c:strRef>
          </c:tx>
          <c:spPr>
            <a:ln w="28575" cap="rnd">
              <a:solidFill>
                <a:schemeClr val="accent2"/>
              </a:solidFill>
              <a:round/>
            </a:ln>
            <a:effectLst/>
          </c:spPr>
          <c:marker>
            <c:symbol val="none"/>
          </c:marker>
          <c:cat>
            <c:strRef>
              <c:f>'Cost Saving &amp; Quality Analysis'!$A$4:$A$12</c:f>
              <c:strCache>
                <c:ptCount val="8"/>
                <c:pt idx="0">
                  <c:v>Vendor_A</c:v>
                </c:pt>
                <c:pt idx="1">
                  <c:v>Vendor_B</c:v>
                </c:pt>
                <c:pt idx="2">
                  <c:v>Vendor_C</c:v>
                </c:pt>
                <c:pt idx="3">
                  <c:v>Vendor_D</c:v>
                </c:pt>
                <c:pt idx="4">
                  <c:v>Vendor_E</c:v>
                </c:pt>
                <c:pt idx="5">
                  <c:v>Vendor_F</c:v>
                </c:pt>
                <c:pt idx="6">
                  <c:v>Vendor_G</c:v>
                </c:pt>
                <c:pt idx="7">
                  <c:v>Vendor_H</c:v>
                </c:pt>
              </c:strCache>
            </c:strRef>
          </c:cat>
          <c:val>
            <c:numRef>
              <c:f>'Cost Saving &amp; Quality Analysis'!$C$4:$C$12</c:f>
              <c:numCache>
                <c:formatCode>0.00%</c:formatCode>
                <c:ptCount val="8"/>
                <c:pt idx="0">
                  <c:v>1.1148584403364683E-2</c:v>
                </c:pt>
                <c:pt idx="1">
                  <c:v>1.1110932781723114E-2</c:v>
                </c:pt>
                <c:pt idx="2">
                  <c:v>1.3022913155948184E-2</c:v>
                </c:pt>
                <c:pt idx="3">
                  <c:v>1.1408941605989455E-2</c:v>
                </c:pt>
                <c:pt idx="4">
                  <c:v>1.1441839723828864E-2</c:v>
                </c:pt>
                <c:pt idx="5">
                  <c:v>1.2181254463393843E-2</c:v>
                </c:pt>
                <c:pt idx="6">
                  <c:v>1.1426563354105501E-2</c:v>
                </c:pt>
                <c:pt idx="7">
                  <c:v>1.0729022922596662E-2</c:v>
                </c:pt>
              </c:numCache>
            </c:numRef>
          </c:val>
          <c:smooth val="0"/>
          <c:extLst>
            <c:ext xmlns:c16="http://schemas.microsoft.com/office/drawing/2014/chart" uri="{C3380CC4-5D6E-409C-BE32-E72D297353CC}">
              <c16:uniqueId val="{00000006-FF70-4A59-B4F6-AA991716DC01}"/>
            </c:ext>
          </c:extLst>
        </c:ser>
        <c:dLbls>
          <c:showLegendKey val="0"/>
          <c:showVal val="0"/>
          <c:showCatName val="0"/>
          <c:showSerName val="0"/>
          <c:showPercent val="0"/>
          <c:showBubbleSize val="0"/>
        </c:dLbls>
        <c:marker val="1"/>
        <c:smooth val="0"/>
        <c:axId val="1976624063"/>
        <c:axId val="1851463743"/>
      </c:lineChart>
      <c:catAx>
        <c:axId val="19136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472031"/>
        <c:crosses val="autoZero"/>
        <c:auto val="1"/>
        <c:lblAlgn val="ctr"/>
        <c:lblOffset val="100"/>
        <c:noMultiLvlLbl val="0"/>
      </c:catAx>
      <c:valAx>
        <c:axId val="15264720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627279"/>
        <c:crosses val="autoZero"/>
        <c:crossBetween val="between"/>
      </c:valAx>
      <c:valAx>
        <c:axId val="185146374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624063"/>
        <c:crosses val="max"/>
        <c:crossBetween val="between"/>
      </c:valAx>
      <c:catAx>
        <c:axId val="1976624063"/>
        <c:scaling>
          <c:orientation val="minMax"/>
        </c:scaling>
        <c:delete val="1"/>
        <c:axPos val="b"/>
        <c:numFmt formatCode="General" sourceLinked="1"/>
        <c:majorTickMark val="out"/>
        <c:minorTickMark val="none"/>
        <c:tickLblPos val="nextTo"/>
        <c:crossAx val="1851463743"/>
        <c:crosses val="autoZero"/>
        <c:auto val="1"/>
        <c:lblAlgn val="ctr"/>
        <c:lblOffset val="100"/>
        <c:noMultiLvlLbl val="0"/>
      </c:cat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352425</xdr:colOff>
      <xdr:row>0</xdr:row>
      <xdr:rowOff>19051</xdr:rowOff>
    </xdr:from>
    <xdr:to>
      <xdr:col>15</xdr:col>
      <xdr:colOff>247650</xdr:colOff>
      <xdr:row>3</xdr:row>
      <xdr:rowOff>1</xdr:rowOff>
    </xdr:to>
    <xdr:sp macro="" textlink="">
      <xdr:nvSpPr>
        <xdr:cNvPr id="2" name="Rectangle: Rounded Corners 1">
          <a:extLst>
            <a:ext uri="{FF2B5EF4-FFF2-40B4-BE49-F238E27FC236}">
              <a16:creationId xmlns:a16="http://schemas.microsoft.com/office/drawing/2014/main" id="{4C2EFB14-ED3C-F931-B0CD-74F7657E9B80}"/>
            </a:ext>
          </a:extLst>
        </xdr:cNvPr>
        <xdr:cNvSpPr/>
      </xdr:nvSpPr>
      <xdr:spPr>
        <a:xfrm>
          <a:off x="2181225" y="19051"/>
          <a:ext cx="7210425" cy="5524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dk1"/>
              </a:solidFill>
              <a:effectLst/>
              <a:latin typeface="Algerian" panose="04020705040A02060702" pitchFamily="82" charset="0"/>
              <a:ea typeface="+mn-ea"/>
              <a:cs typeface="+mn-cs"/>
            </a:rPr>
            <a:t>Vendor</a:t>
          </a:r>
          <a:r>
            <a:rPr lang="en-IN" sz="1800" baseline="0">
              <a:solidFill>
                <a:schemeClr val="dk1"/>
              </a:solidFill>
              <a:effectLst/>
              <a:latin typeface="Algerian" panose="04020705040A02060702" pitchFamily="82" charset="0"/>
              <a:ea typeface="+mn-ea"/>
              <a:cs typeface="+mn-cs"/>
            </a:rPr>
            <a:t> Cost Comparison For Procurement Decisions</a:t>
          </a:r>
          <a:endParaRPr lang="en-IN" sz="1800">
            <a:effectLst/>
            <a:latin typeface="Algerian" panose="04020705040A02060702" pitchFamily="82" charset="0"/>
          </a:endParaRPr>
        </a:p>
        <a:p>
          <a:pPr algn="ctr"/>
          <a:endParaRPr lang="en-IN" sz="1800" b="1" cap="none" spc="0">
            <a:ln w="12700">
              <a:solidFill>
                <a:schemeClr val="accent5"/>
              </a:solidFill>
              <a:prstDash val="solid"/>
            </a:ln>
            <a:pattFill prst="ltDnDiag">
              <a:fgClr>
                <a:schemeClr val="accent5">
                  <a:lumMod val="60000"/>
                  <a:lumOff val="40000"/>
                </a:schemeClr>
              </a:fgClr>
              <a:bgClr>
                <a:schemeClr val="bg1"/>
              </a:bgClr>
            </a:pattFill>
            <a:effectLst/>
            <a:latin typeface="Algerian" panose="04020705040A02060702" pitchFamily="82" charset="0"/>
          </a:endParaRPr>
        </a:p>
      </xdr:txBody>
    </xdr:sp>
    <xdr:clientData/>
  </xdr:twoCellAnchor>
  <xdr:twoCellAnchor>
    <xdr:from>
      <xdr:col>17</xdr:col>
      <xdr:colOff>190499</xdr:colOff>
      <xdr:row>4</xdr:row>
      <xdr:rowOff>9524</xdr:rowOff>
    </xdr:from>
    <xdr:to>
      <xdr:col>19</xdr:col>
      <xdr:colOff>504825</xdr:colOff>
      <xdr:row>7</xdr:row>
      <xdr:rowOff>0</xdr:rowOff>
    </xdr:to>
    <xdr:sp macro="" textlink="KPIs_Pivot!D4">
      <xdr:nvSpPr>
        <xdr:cNvPr id="4" name="Rectangle: Rounded Corners 3">
          <a:extLst>
            <a:ext uri="{FF2B5EF4-FFF2-40B4-BE49-F238E27FC236}">
              <a16:creationId xmlns:a16="http://schemas.microsoft.com/office/drawing/2014/main" id="{5A71F734-4C00-8890-9E1B-0D4C2BC8257A}"/>
            </a:ext>
          </a:extLst>
        </xdr:cNvPr>
        <xdr:cNvSpPr/>
      </xdr:nvSpPr>
      <xdr:spPr>
        <a:xfrm>
          <a:off x="10553699" y="771524"/>
          <a:ext cx="1533526" cy="56197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US" sz="11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Spend</a:t>
          </a:r>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a:p>
          <a:pPr algn="ctr"/>
          <a:fld id="{14EF175A-1A80-446A-880B-6A94FC537554}"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823278.35</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9526</xdr:colOff>
      <xdr:row>3</xdr:row>
      <xdr:rowOff>142875</xdr:rowOff>
    </xdr:from>
    <xdr:to>
      <xdr:col>6</xdr:col>
      <xdr:colOff>85725</xdr:colOff>
      <xdr:row>7</xdr:row>
      <xdr:rowOff>9525</xdr:rowOff>
    </xdr:to>
    <xdr:sp macro="" textlink="KPIs_Pivot!A4">
      <xdr:nvSpPr>
        <xdr:cNvPr id="5" name="Rectangle: Rounded Corners 4">
          <a:extLst>
            <a:ext uri="{FF2B5EF4-FFF2-40B4-BE49-F238E27FC236}">
              <a16:creationId xmlns:a16="http://schemas.microsoft.com/office/drawing/2014/main" id="{EB2208D1-8F8C-4447-9F3F-B959D782D372}"/>
            </a:ext>
          </a:extLst>
        </xdr:cNvPr>
        <xdr:cNvSpPr/>
      </xdr:nvSpPr>
      <xdr:spPr>
        <a:xfrm>
          <a:off x="1838326" y="714375"/>
          <a:ext cx="1904999" cy="6286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Average of Delivery Days</a:t>
          </a:r>
        </a:p>
        <a:p>
          <a:pPr algn="ctr"/>
          <a:fld id="{F8C8A257-50BF-4DFD-A571-630C4A5A649C}" type="TxLink">
            <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16.09</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6</xdr:col>
      <xdr:colOff>190501</xdr:colOff>
      <xdr:row>3</xdr:row>
      <xdr:rowOff>133351</xdr:rowOff>
    </xdr:from>
    <xdr:to>
      <xdr:col>9</xdr:col>
      <xdr:colOff>57150</xdr:colOff>
      <xdr:row>6</xdr:row>
      <xdr:rowOff>180975</xdr:rowOff>
    </xdr:to>
    <xdr:sp macro="" textlink="KPIs_Pivot!B4">
      <xdr:nvSpPr>
        <xdr:cNvPr id="6" name="Rectangle: Rounded Corners 5">
          <a:extLst>
            <a:ext uri="{FF2B5EF4-FFF2-40B4-BE49-F238E27FC236}">
              <a16:creationId xmlns:a16="http://schemas.microsoft.com/office/drawing/2014/main" id="{AAF3DD79-9C3E-48D9-BEC8-E6D9B6F6729D}"/>
            </a:ext>
          </a:extLst>
        </xdr:cNvPr>
        <xdr:cNvSpPr/>
      </xdr:nvSpPr>
      <xdr:spPr>
        <a:xfrm>
          <a:off x="3848101" y="704851"/>
          <a:ext cx="1695449" cy="61912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 Price Savings %</a:t>
          </a:r>
        </a:p>
        <a:p>
          <a:pPr algn="ctr"/>
          <a:fld id="{16EE7598-3235-4832-B19A-CA103B8EC283}"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344.41%</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9</xdr:col>
      <xdr:colOff>133351</xdr:colOff>
      <xdr:row>3</xdr:row>
      <xdr:rowOff>161925</xdr:rowOff>
    </xdr:from>
    <xdr:to>
      <xdr:col>11</xdr:col>
      <xdr:colOff>485775</xdr:colOff>
      <xdr:row>7</xdr:row>
      <xdr:rowOff>0</xdr:rowOff>
    </xdr:to>
    <xdr:sp macro="" textlink="KPIs_Pivot!C4">
      <xdr:nvSpPr>
        <xdr:cNvPr id="7" name="Rectangle: Rounded Corners 6">
          <a:extLst>
            <a:ext uri="{FF2B5EF4-FFF2-40B4-BE49-F238E27FC236}">
              <a16:creationId xmlns:a16="http://schemas.microsoft.com/office/drawing/2014/main" id="{48771A7F-E66E-4399-B431-FE3EAF132021}"/>
            </a:ext>
          </a:extLst>
        </xdr:cNvPr>
        <xdr:cNvSpPr/>
      </xdr:nvSpPr>
      <xdr:spPr>
        <a:xfrm>
          <a:off x="5619751" y="733425"/>
          <a:ext cx="1571624" cy="600075"/>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 Defect</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Rate</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ctr"/>
          <a:fld id="{DEB1FD3D-64A4-4463-8093-00086BFD0C48}"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115.48%</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571500</xdr:colOff>
      <xdr:row>3</xdr:row>
      <xdr:rowOff>180975</xdr:rowOff>
    </xdr:from>
    <xdr:to>
      <xdr:col>14</xdr:col>
      <xdr:colOff>238125</xdr:colOff>
      <xdr:row>7</xdr:row>
      <xdr:rowOff>9525</xdr:rowOff>
    </xdr:to>
    <xdr:sp macro="" textlink="KPIs_Pivot!E4">
      <xdr:nvSpPr>
        <xdr:cNvPr id="8" name="Rectangle: Rounded Corners 7">
          <a:extLst>
            <a:ext uri="{FF2B5EF4-FFF2-40B4-BE49-F238E27FC236}">
              <a16:creationId xmlns:a16="http://schemas.microsoft.com/office/drawing/2014/main" id="{B3D8EC9C-6E58-4DF7-A5D0-7B8E57D48AEB}"/>
            </a:ext>
          </a:extLst>
        </xdr:cNvPr>
        <xdr:cNvSpPr/>
      </xdr:nvSpPr>
      <xdr:spPr>
        <a:xfrm>
          <a:off x="7277100" y="752475"/>
          <a:ext cx="1495425" cy="5905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Unit Cost</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ctr"/>
          <a:fld id="{C307D8B9-3B2B-41ED-A640-E743A2E87635}"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13305.64</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14</xdr:col>
      <xdr:colOff>276225</xdr:colOff>
      <xdr:row>3</xdr:row>
      <xdr:rowOff>180975</xdr:rowOff>
    </xdr:from>
    <xdr:to>
      <xdr:col>17</xdr:col>
      <xdr:colOff>76200</xdr:colOff>
      <xdr:row>7</xdr:row>
      <xdr:rowOff>9524</xdr:rowOff>
    </xdr:to>
    <xdr:sp macro="" textlink="KPIs_Pivot!F4">
      <xdr:nvSpPr>
        <xdr:cNvPr id="9" name="Rectangle: Rounded Corners 8">
          <a:extLst>
            <a:ext uri="{FF2B5EF4-FFF2-40B4-BE49-F238E27FC236}">
              <a16:creationId xmlns:a16="http://schemas.microsoft.com/office/drawing/2014/main" id="{15C17A4F-D157-4079-9BEF-86FEA45E428D}"/>
            </a:ext>
          </a:extLst>
        </xdr:cNvPr>
        <xdr:cNvSpPr/>
      </xdr:nvSpPr>
      <xdr:spPr>
        <a:xfrm>
          <a:off x="8810625" y="752475"/>
          <a:ext cx="1628775" cy="5905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Average</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of Quantity</a:t>
          </a:r>
          <a:endPar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endParaRPr>
        </a:p>
        <a:p>
          <a:pPr algn="ctr"/>
          <a:fld id="{94D2C6C2-2408-480F-A1BE-B1C6D8C95296}"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498542</a:t>
          </a:fld>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171449</xdr:colOff>
      <xdr:row>3</xdr:row>
      <xdr:rowOff>161924</xdr:rowOff>
    </xdr:from>
    <xdr:to>
      <xdr:col>2</xdr:col>
      <xdr:colOff>485775</xdr:colOff>
      <xdr:row>7</xdr:row>
      <xdr:rowOff>0</xdr:rowOff>
    </xdr:to>
    <xdr:sp macro="" textlink="KPIs_Pivot!A8">
      <xdr:nvSpPr>
        <xdr:cNvPr id="14" name="Rectangle: Rounded Corners 13">
          <a:extLst>
            <a:ext uri="{FF2B5EF4-FFF2-40B4-BE49-F238E27FC236}">
              <a16:creationId xmlns:a16="http://schemas.microsoft.com/office/drawing/2014/main" id="{BC866D41-A09A-45F9-AE3F-2122E1368D0E}"/>
            </a:ext>
          </a:extLst>
        </xdr:cNvPr>
        <xdr:cNvSpPr/>
      </xdr:nvSpPr>
      <xdr:spPr>
        <a:xfrm>
          <a:off x="171449" y="733424"/>
          <a:ext cx="1533526" cy="60007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Number of</a:t>
          </a:r>
          <a:r>
            <a:rPr lang="en-US" sz="1100" b="0" i="0" u="none" strike="noStrike" cap="none" spc="0" baseline="0">
              <a:ln w="0"/>
              <a:solidFill>
                <a:srgbClr val="000000"/>
              </a:solidFill>
              <a:effectLst>
                <a:outerShdw blurRad="38100" dist="19050" dir="2700000" algn="tl" rotWithShape="0">
                  <a:schemeClr val="dk1">
                    <a:alpha val="40000"/>
                  </a:schemeClr>
                </a:outerShdw>
              </a:effectLst>
              <a:latin typeface="Calibri"/>
              <a:ea typeface="Calibri"/>
              <a:cs typeface="Calibri"/>
            </a:rPr>
            <a:t> Vendors</a:t>
          </a:r>
        </a:p>
        <a:p>
          <a:pPr algn="ctr"/>
          <a:fld id="{49F71CCA-4552-4B76-9A58-0B431EA476DD}"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algn="ctr"/>
            <a:t>8</a:t>
          </a:fld>
          <a:endParaRPr lang="en-US" sz="11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editAs="oneCell">
    <xdr:from>
      <xdr:col>0</xdr:col>
      <xdr:colOff>228599</xdr:colOff>
      <xdr:row>7</xdr:row>
      <xdr:rowOff>161926</xdr:rowOff>
    </xdr:from>
    <xdr:to>
      <xdr:col>3</xdr:col>
      <xdr:colOff>257174</xdr:colOff>
      <xdr:row>11</xdr:row>
      <xdr:rowOff>28576</xdr:rowOff>
    </xdr:to>
    <mc:AlternateContent xmlns:mc="http://schemas.openxmlformats.org/markup-compatibility/2006" xmlns:a14="http://schemas.microsoft.com/office/drawing/2010/main">
      <mc:Choice Requires="a14">
        <xdr:graphicFrame macro="">
          <xdr:nvGraphicFramePr>
            <xdr:cNvPr id="15" name="Vendor_ID">
              <a:extLst>
                <a:ext uri="{FF2B5EF4-FFF2-40B4-BE49-F238E27FC236}">
                  <a16:creationId xmlns:a16="http://schemas.microsoft.com/office/drawing/2014/main" id="{1504E1F8-B845-4FC3-B530-86697F38D7E2}"/>
                </a:ext>
              </a:extLst>
            </xdr:cNvPr>
            <xdr:cNvGraphicFramePr/>
          </xdr:nvGraphicFramePr>
          <xdr:xfrm>
            <a:off x="0" y="0"/>
            <a:ext cx="0" cy="0"/>
          </xdr:xfrm>
          <a:graphic>
            <a:graphicData uri="http://schemas.microsoft.com/office/drawing/2010/slicer">
              <sle:slicer xmlns:sle="http://schemas.microsoft.com/office/drawing/2010/slicer" name="Vendor_ID"/>
            </a:graphicData>
          </a:graphic>
        </xdr:graphicFrame>
      </mc:Choice>
      <mc:Fallback xmlns="">
        <xdr:sp macro="" textlink="">
          <xdr:nvSpPr>
            <xdr:cNvPr id="0" name=""/>
            <xdr:cNvSpPr>
              <a:spLocks noTextEdit="1"/>
            </xdr:cNvSpPr>
          </xdr:nvSpPr>
          <xdr:spPr>
            <a:xfrm>
              <a:off x="228599" y="1495426"/>
              <a:ext cx="1857375" cy="628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581023</xdr:colOff>
      <xdr:row>13</xdr:row>
      <xdr:rowOff>28575</xdr:rowOff>
    </xdr:from>
    <xdr:to>
      <xdr:col>13</xdr:col>
      <xdr:colOff>581024</xdr:colOff>
      <xdr:row>27</xdr:row>
      <xdr:rowOff>171450</xdr:rowOff>
    </xdr:to>
    <xdr:graphicFrame macro="">
      <xdr:nvGraphicFramePr>
        <xdr:cNvPr id="16" name="Chart 15">
          <a:extLst>
            <a:ext uri="{FF2B5EF4-FFF2-40B4-BE49-F238E27FC236}">
              <a16:creationId xmlns:a16="http://schemas.microsoft.com/office/drawing/2014/main" id="{F073ACD4-6DAE-41BA-B107-B27AD5DBF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180975</xdr:colOff>
      <xdr:row>13</xdr:row>
      <xdr:rowOff>9525</xdr:rowOff>
    </xdr:from>
    <xdr:to>
      <xdr:col>6</xdr:col>
      <xdr:colOff>304800</xdr:colOff>
      <xdr:row>28</xdr:row>
      <xdr:rowOff>38100</xdr:rowOff>
    </xdr:to>
    <xdr:graphicFrame macro="">
      <xdr:nvGraphicFramePr>
        <xdr:cNvPr id="17" name="Chart 16">
          <a:extLst>
            <a:ext uri="{FF2B5EF4-FFF2-40B4-BE49-F238E27FC236}">
              <a16:creationId xmlns:a16="http://schemas.microsoft.com/office/drawing/2014/main" id="{08037CBA-314F-4EF4-954C-32DE06A08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47625</xdr:colOff>
      <xdr:row>8</xdr:row>
      <xdr:rowOff>0</xdr:rowOff>
    </xdr:from>
    <xdr:to>
      <xdr:col>8</xdr:col>
      <xdr:colOff>47625</xdr:colOff>
      <xdr:row>11</xdr:row>
      <xdr:rowOff>85725</xdr:rowOff>
    </xdr:to>
    <mc:AlternateContent xmlns:mc="http://schemas.openxmlformats.org/markup-compatibility/2006" xmlns:a14="http://schemas.microsoft.com/office/drawing/2010/main">
      <mc:Choice Requires="a14">
        <xdr:graphicFrame macro="">
          <xdr:nvGraphicFramePr>
            <xdr:cNvPr id="21" name="Product">
              <a:extLst>
                <a:ext uri="{FF2B5EF4-FFF2-40B4-BE49-F238E27FC236}">
                  <a16:creationId xmlns:a16="http://schemas.microsoft.com/office/drawing/2014/main" id="{16FEA622-98D4-48B7-98CD-40CB3E70D07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095625" y="1524000"/>
              <a:ext cx="1828800"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295275</xdr:colOff>
      <xdr:row>7</xdr:row>
      <xdr:rowOff>133350</xdr:rowOff>
    </xdr:from>
    <xdr:to>
      <xdr:col>13</xdr:col>
      <xdr:colOff>295275</xdr:colOff>
      <xdr:row>10</xdr:row>
      <xdr:rowOff>171450</xdr:rowOff>
    </xdr:to>
    <mc:AlternateContent xmlns:mc="http://schemas.openxmlformats.org/markup-compatibility/2006" xmlns:a14="http://schemas.microsoft.com/office/drawing/2010/main">
      <mc:Choice Requires="a14">
        <xdr:graphicFrame macro="">
          <xdr:nvGraphicFramePr>
            <xdr:cNvPr id="22" name="Order_Status">
              <a:extLst>
                <a:ext uri="{FF2B5EF4-FFF2-40B4-BE49-F238E27FC236}">
                  <a16:creationId xmlns:a16="http://schemas.microsoft.com/office/drawing/2014/main" id="{15FE7F84-D341-40FF-ACE7-D56CC389D591}"/>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6391275" y="1466850"/>
              <a:ext cx="182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485775</xdr:colOff>
      <xdr:row>7</xdr:row>
      <xdr:rowOff>152400</xdr:rowOff>
    </xdr:from>
    <xdr:to>
      <xdr:col>19</xdr:col>
      <xdr:colOff>485775</xdr:colOff>
      <xdr:row>11</xdr:row>
      <xdr:rowOff>0</xdr:rowOff>
    </xdr:to>
    <mc:AlternateContent xmlns:mc="http://schemas.openxmlformats.org/markup-compatibility/2006" xmlns:a14="http://schemas.microsoft.com/office/drawing/2010/main">
      <mc:Choice Requires="a14">
        <xdr:graphicFrame macro="">
          <xdr:nvGraphicFramePr>
            <xdr:cNvPr id="23" name="Compliance">
              <a:extLst>
                <a:ext uri="{FF2B5EF4-FFF2-40B4-BE49-F238E27FC236}">
                  <a16:creationId xmlns:a16="http://schemas.microsoft.com/office/drawing/2014/main" id="{E20D48A1-6380-4AE2-806C-E29341CC7E40}"/>
                </a:ext>
              </a:extLst>
            </xdr:cNvPr>
            <xdr:cNvGraphicFramePr/>
          </xdr:nvGraphicFramePr>
          <xdr:xfrm>
            <a:off x="0" y="0"/>
            <a:ext cx="0" cy="0"/>
          </xdr:xfrm>
          <a:graphic>
            <a:graphicData uri="http://schemas.microsoft.com/office/drawing/2010/slicer">
              <sle:slicer xmlns:sle="http://schemas.microsoft.com/office/drawing/2010/slicer" name="Compliance"/>
            </a:graphicData>
          </a:graphic>
        </xdr:graphicFrame>
      </mc:Choice>
      <mc:Fallback xmlns="">
        <xdr:sp macro="" textlink="">
          <xdr:nvSpPr>
            <xdr:cNvPr id="0" name=""/>
            <xdr:cNvSpPr>
              <a:spLocks noTextEdit="1"/>
            </xdr:cNvSpPr>
          </xdr:nvSpPr>
          <xdr:spPr>
            <a:xfrm>
              <a:off x="10239375" y="1485900"/>
              <a:ext cx="1828800"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171450</xdr:colOff>
      <xdr:row>13</xdr:row>
      <xdr:rowOff>28575</xdr:rowOff>
    </xdr:from>
    <xdr:to>
      <xdr:col>19</xdr:col>
      <xdr:colOff>409575</xdr:colOff>
      <xdr:row>28</xdr:row>
      <xdr:rowOff>28575</xdr:rowOff>
    </xdr:to>
    <xdr:graphicFrame macro="">
      <xdr:nvGraphicFramePr>
        <xdr:cNvPr id="11" name="Chart 10">
          <a:extLst>
            <a:ext uri="{FF2B5EF4-FFF2-40B4-BE49-F238E27FC236}">
              <a16:creationId xmlns:a16="http://schemas.microsoft.com/office/drawing/2014/main" id="{8A155734-650F-4DDE-A56A-085D1830F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190500</xdr:colOff>
      <xdr:row>29</xdr:row>
      <xdr:rowOff>95250</xdr:rowOff>
    </xdr:from>
    <xdr:to>
      <xdr:col>6</xdr:col>
      <xdr:colOff>314325</xdr:colOff>
      <xdr:row>42</xdr:row>
      <xdr:rowOff>23813</xdr:rowOff>
    </xdr:to>
    <xdr:graphicFrame macro="">
      <xdr:nvGraphicFramePr>
        <xdr:cNvPr id="12" name="Chart 11">
          <a:extLst>
            <a:ext uri="{FF2B5EF4-FFF2-40B4-BE49-F238E27FC236}">
              <a16:creationId xmlns:a16="http://schemas.microsoft.com/office/drawing/2014/main" id="{D34B5679-961E-4973-95C9-DFE0B2441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572471</xdr:colOff>
      <xdr:row>29</xdr:row>
      <xdr:rowOff>76589</xdr:rowOff>
    </xdr:from>
    <xdr:to>
      <xdr:col>12</xdr:col>
      <xdr:colOff>486746</xdr:colOff>
      <xdr:row>41</xdr:row>
      <xdr:rowOff>181364</xdr:rowOff>
    </xdr:to>
    <xdr:graphicFrame macro="">
      <xdr:nvGraphicFramePr>
        <xdr:cNvPr id="13" name="Chart 12">
          <a:extLst>
            <a:ext uri="{FF2B5EF4-FFF2-40B4-BE49-F238E27FC236}">
              <a16:creationId xmlns:a16="http://schemas.microsoft.com/office/drawing/2014/main" id="{36D8FF6D-23A2-4E27-916F-2E93B9801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270394</xdr:colOff>
      <xdr:row>29</xdr:row>
      <xdr:rowOff>67453</xdr:rowOff>
    </xdr:from>
    <xdr:to>
      <xdr:col>19</xdr:col>
      <xdr:colOff>441844</xdr:colOff>
      <xdr:row>41</xdr:row>
      <xdr:rowOff>145791</xdr:rowOff>
    </xdr:to>
    <xdr:graphicFrame macro="">
      <xdr:nvGraphicFramePr>
        <xdr:cNvPr id="18" name="Chart 17">
          <a:extLst>
            <a:ext uri="{FF2B5EF4-FFF2-40B4-BE49-F238E27FC236}">
              <a16:creationId xmlns:a16="http://schemas.microsoft.com/office/drawing/2014/main" id="{FB08661B-DC35-427D-809A-BA8FBA8DD4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gadharini" refreshedDate="46261.854321064813" createdVersion="8" refreshedVersion="8" minRefreshableVersion="3" recordCount="2000" xr:uid="{BFB94708-CF68-498E-B1FA-2110CC88CCC7}">
  <cacheSource type="worksheet">
    <worksheetSource name="Table1"/>
  </cacheSource>
  <cacheFields count="17">
    <cacheField name="PO_ID" numFmtId="0">
      <sharedItems/>
    </cacheField>
    <cacheField name="Vendor_ID" numFmtId="0">
      <sharedItems count="8">
        <s v="Vendor_D"/>
        <s v="Vendor_C"/>
        <s v="Vendor_A"/>
        <s v="Vendor_B"/>
        <s v="Vendor_F"/>
        <s v="Vendor_H"/>
        <s v="Vendor_G"/>
        <s v="Vendor_E"/>
      </sharedItems>
    </cacheField>
    <cacheField name="Product" numFmtId="0">
      <sharedItems count="12">
        <s v="Router"/>
        <s v="Hard Drive"/>
        <s v="Packaging Box"/>
        <s v="Monitor"/>
        <s v="Desktop"/>
        <s v="Keyboard"/>
        <s v="Mouse"/>
        <s v="Desk"/>
        <s v="Office Chair"/>
        <s v="SSD"/>
        <s v="Laptop"/>
        <s v="Printer"/>
      </sharedItems>
    </cacheField>
    <cacheField name="Order_Date" numFmtId="14">
      <sharedItems containsSemiMixedTypes="0" containsNonDate="0" containsDate="1" containsString="0" minDate="2023-01-01T00:00:00" maxDate="2024-12-31T00:00:00" count="689">
        <d v="2023-09-28T00:00:00"/>
        <d v="2024-10-23T00:00:00"/>
        <d v="2024-07-14T00:00:00"/>
        <d v="2024-07-20T00:00:00"/>
        <d v="2023-12-12T00:00:00"/>
        <d v="2024-01-23T00:00:00"/>
        <d v="2023-08-05T00:00:00"/>
        <d v="2024-04-16T00:00:00"/>
        <d v="2023-07-20T00:00:00"/>
        <d v="2024-09-04T00:00:00"/>
        <d v="2024-04-05T00:00:00"/>
        <d v="2023-02-05T00:00:00"/>
        <d v="2024-10-07T00:00:00"/>
        <d v="2023-10-10T00:00:00"/>
        <d v="2024-11-14T00:00:00"/>
        <d v="2024-01-22T00:00:00"/>
        <d v="2024-02-07T00:00:00"/>
        <d v="2024-09-01T00:00:00"/>
        <d v="2024-04-17T00:00:00"/>
        <d v="2023-10-31T00:00:00"/>
        <d v="2023-02-23T00:00:00"/>
        <d v="2023-06-02T00:00:00"/>
        <d v="2023-10-04T00:00:00"/>
        <d v="2023-01-22T00:00:00"/>
        <d v="2024-08-31T00:00:00"/>
        <d v="2023-08-08T00:00:00"/>
        <d v="2023-04-26T00:00:00"/>
        <d v="2024-11-16T00:00:00"/>
        <d v="2023-09-03T00:00:00"/>
        <d v="2024-11-15T00:00:00"/>
        <d v="2023-02-20T00:00:00"/>
        <d v="2024-03-19T00:00:00"/>
        <d v="2023-12-16T00:00:00"/>
        <d v="2023-04-30T00:00:00"/>
        <d v="2023-02-27T00:00:00"/>
        <d v="2024-03-22T00:00:00"/>
        <d v="2023-02-16T00:00:00"/>
        <d v="2024-06-05T00:00:00"/>
        <d v="2023-12-02T00:00:00"/>
        <d v="2023-02-04T00:00:00"/>
        <d v="2024-09-17T00:00:00"/>
        <d v="2023-04-09T00:00:00"/>
        <d v="2024-11-25T00:00:00"/>
        <d v="2024-09-03T00:00:00"/>
        <d v="2024-11-23T00:00:00"/>
        <d v="2023-03-15T00:00:00"/>
        <d v="2023-01-29T00:00:00"/>
        <d v="2023-03-11T00:00:00"/>
        <d v="2024-09-29T00:00:00"/>
        <d v="2024-02-13T00:00:00"/>
        <d v="2023-07-22T00:00:00"/>
        <d v="2024-07-19T00:00:00"/>
        <d v="2023-01-08T00:00:00"/>
        <d v="2023-05-25T00:00:00"/>
        <d v="2024-12-09T00:00:00"/>
        <d v="2023-08-27T00:00:00"/>
        <d v="2023-04-15T00:00:00"/>
        <d v="2024-03-12T00:00:00"/>
        <d v="2024-03-24T00:00:00"/>
        <d v="2024-03-10T00:00:00"/>
        <d v="2023-09-06T00:00:00"/>
        <d v="2024-05-22T00:00:00"/>
        <d v="2023-07-02T00:00:00"/>
        <d v="2024-11-02T00:00:00"/>
        <d v="2023-08-21T00:00:00"/>
        <d v="2023-02-25T00:00:00"/>
        <d v="2024-06-09T00:00:00"/>
        <d v="2023-12-29T00:00:00"/>
        <d v="2023-09-30T00:00:00"/>
        <d v="2023-03-08T00:00:00"/>
        <d v="2024-12-10T00:00:00"/>
        <d v="2024-06-26T00:00:00"/>
        <d v="2024-05-18T00:00:00"/>
        <d v="2024-12-24T00:00:00"/>
        <d v="2023-09-16T00:00:00"/>
        <d v="2023-11-30T00:00:00"/>
        <d v="2023-08-17T00:00:00"/>
        <d v="2024-02-06T00:00:00"/>
        <d v="2024-05-17T00:00:00"/>
        <d v="2024-05-14T00:00:00"/>
        <d v="2023-10-16T00:00:00"/>
        <d v="2023-06-08T00:00:00"/>
        <d v="2023-04-05T00:00:00"/>
        <d v="2023-01-23T00:00:00"/>
        <d v="2024-04-04T00:00:00"/>
        <d v="2023-01-01T00:00:00"/>
        <d v="2024-07-28T00:00:00"/>
        <d v="2023-06-28T00:00:00"/>
        <d v="2024-04-13T00:00:00"/>
        <d v="2023-05-21T00:00:00"/>
        <d v="2023-01-18T00:00:00"/>
        <d v="2023-09-21T00:00:00"/>
        <d v="2023-06-27T00:00:00"/>
        <d v="2024-03-27T00:00:00"/>
        <d v="2023-05-31T00:00:00"/>
        <d v="2024-01-21T00:00:00"/>
        <d v="2024-05-20T00:00:00"/>
        <d v="2023-04-25T00:00:00"/>
        <d v="2023-02-03T00:00:00"/>
        <d v="2023-06-17T00:00:00"/>
        <d v="2023-08-15T00:00:00"/>
        <d v="2023-09-01T00:00:00"/>
        <d v="2024-06-07T00:00:00"/>
        <d v="2024-10-22T00:00:00"/>
        <d v="2024-07-24T00:00:00"/>
        <d v="2023-12-01T00:00:00"/>
        <d v="2024-01-07T00:00:00"/>
        <d v="2023-06-20T00:00:00"/>
        <d v="2023-01-16T00:00:00"/>
        <d v="2024-08-30T00:00:00"/>
        <d v="2023-11-20T00:00:00"/>
        <d v="2023-12-10T00:00:00"/>
        <d v="2023-03-03T00:00:00"/>
        <d v="2023-08-14T00:00:00"/>
        <d v="2023-01-20T00:00:00"/>
        <d v="2024-09-26T00:00:00"/>
        <d v="2023-09-18T00:00:00"/>
        <d v="2024-11-18T00:00:00"/>
        <d v="2023-02-09T00:00:00"/>
        <d v="2024-06-18T00:00:00"/>
        <d v="2023-08-12T00:00:00"/>
        <d v="2024-02-18T00:00:00"/>
        <d v="2024-12-04T00:00:00"/>
        <d v="2024-07-23T00:00:00"/>
        <d v="2024-08-26T00:00:00"/>
        <d v="2024-05-21T00:00:00"/>
        <d v="2024-06-22T00:00:00"/>
        <d v="2024-06-04T00:00:00"/>
        <d v="2023-10-01T00:00:00"/>
        <d v="2023-08-02T00:00:00"/>
        <d v="2023-08-30T00:00:00"/>
        <d v="2023-03-31T00:00:00"/>
        <d v="2023-03-14T00:00:00"/>
        <d v="2023-04-21T00:00:00"/>
        <d v="2023-01-14T00:00:00"/>
        <d v="2024-09-22T00:00:00"/>
        <d v="2024-12-14T00:00:00"/>
        <d v="2024-05-30T00:00:00"/>
        <d v="2024-07-31T00:00:00"/>
        <d v="2023-08-25T00:00:00"/>
        <d v="2023-10-20T00:00:00"/>
        <d v="2023-03-25T00:00:00"/>
        <d v="2023-12-27T00:00:00"/>
        <d v="2023-07-23T00:00:00"/>
        <d v="2024-10-03T00:00:00"/>
        <d v="2024-11-21T00:00:00"/>
        <d v="2023-11-02T00:00:00"/>
        <d v="2024-01-10T00:00:00"/>
        <d v="2023-04-29T00:00:00"/>
        <d v="2024-08-07T00:00:00"/>
        <d v="2024-10-05T00:00:00"/>
        <d v="2024-08-23T00:00:00"/>
        <d v="2023-04-12T00:00:00"/>
        <d v="2024-09-20T00:00:00"/>
        <d v="2024-05-12T00:00:00"/>
        <d v="2023-06-05T00:00:00"/>
        <d v="2023-04-18T00:00:00"/>
        <d v="2024-01-20T00:00:00"/>
        <d v="2023-01-10T00:00:00"/>
        <d v="2023-03-18T00:00:00"/>
        <d v="2024-04-03T00:00:00"/>
        <d v="2023-12-19T00:00:00"/>
        <d v="2024-03-03T00:00:00"/>
        <d v="2024-12-27T00:00:00"/>
        <d v="2024-04-21T00:00:00"/>
        <d v="2024-05-29T00:00:00"/>
        <d v="2023-05-29T00:00:00"/>
        <d v="2023-06-29T00:00:00"/>
        <d v="2023-01-12T00:00:00"/>
        <d v="2023-09-10T00:00:00"/>
        <d v="2023-01-25T00:00:00"/>
        <d v="2024-04-11T00:00:00"/>
        <d v="2023-12-25T00:00:00"/>
        <d v="2024-12-03T00:00:00"/>
        <d v="2024-07-27T00:00:00"/>
        <d v="2023-01-21T00:00:00"/>
        <d v="2023-06-22T00:00:00"/>
        <d v="2024-04-27T00:00:00"/>
        <d v="2024-06-23T00:00:00"/>
        <d v="2023-08-11T00:00:00"/>
        <d v="2023-12-17T00:00:00"/>
        <d v="2023-05-04T00:00:00"/>
        <d v="2024-06-27T00:00:00"/>
        <d v="2024-10-08T00:00:00"/>
        <d v="2023-08-01T00:00:00"/>
        <d v="2024-08-06T00:00:00"/>
        <d v="2023-10-29T00:00:00"/>
        <d v="2023-07-28T00:00:00"/>
        <d v="2024-11-28T00:00:00"/>
        <d v="2023-08-09T00:00:00"/>
        <d v="2023-10-30T00:00:00"/>
        <d v="2023-03-19T00:00:00"/>
        <d v="2023-09-11T00:00:00"/>
        <d v="2023-02-18T00:00:00"/>
        <d v="2024-09-09T00:00:00"/>
        <d v="2024-03-16T00:00:00"/>
        <d v="2023-07-18T00:00:00"/>
        <d v="2023-11-01T00:00:00"/>
        <d v="2023-11-23T00:00:00"/>
        <d v="2023-02-01T00:00:00"/>
        <d v="2023-02-13T00:00:00"/>
        <d v="2024-07-07T00:00:00"/>
        <d v="2024-10-10T00:00:00"/>
        <d v="2024-12-01T00:00:00"/>
        <d v="2024-04-01T00:00:00"/>
        <d v="2024-11-05T00:00:00"/>
        <d v="2024-10-12T00:00:00"/>
        <d v="2023-11-09T00:00:00"/>
        <d v="2023-07-26T00:00:00"/>
        <d v="2024-12-02T00:00:00"/>
        <d v="2023-03-24T00:00:00"/>
        <d v="2024-09-24T00:00:00"/>
        <d v="2023-03-30T00:00:00"/>
        <d v="2024-09-28T00:00:00"/>
        <d v="2024-05-08T00:00:00"/>
        <d v="2023-01-26T00:00:00"/>
        <d v="2024-02-10T00:00:00"/>
        <d v="2024-02-28T00:00:00"/>
        <d v="2024-02-08T00:00:00"/>
        <d v="2024-07-02T00:00:00"/>
        <d v="2023-09-25T00:00:00"/>
        <d v="2023-06-23T00:00:00"/>
        <d v="2024-04-29T00:00:00"/>
        <d v="2024-03-25T00:00:00"/>
        <d v="2023-12-23T00:00:00"/>
        <d v="2024-09-02T00:00:00"/>
        <d v="2023-02-10T00:00:00"/>
        <d v="2024-10-29T00:00:00"/>
        <d v="2024-03-02T00:00:00"/>
        <d v="2024-04-30T00:00:00"/>
        <d v="2023-06-04T00:00:00"/>
        <d v="2023-05-02T00:00:00"/>
        <d v="2024-01-04T00:00:00"/>
        <d v="2024-11-04T00:00:00"/>
        <d v="2024-01-18T00:00:00"/>
        <d v="2024-10-18T00:00:00"/>
        <d v="2024-10-27T00:00:00"/>
        <d v="2024-02-03T00:00:00"/>
        <d v="2023-12-31T00:00:00"/>
        <d v="2024-03-18T00:00:00"/>
        <d v="2023-11-16T00:00:00"/>
        <d v="2023-07-07T00:00:00"/>
        <d v="2023-12-24T00:00:00"/>
        <d v="2023-03-07T00:00:00"/>
        <d v="2023-10-22T00:00:00"/>
        <d v="2023-11-17T00:00:00"/>
        <d v="2024-02-12T00:00:00"/>
        <d v="2023-10-17T00:00:00"/>
        <d v="2023-04-06T00:00:00"/>
        <d v="2024-09-15T00:00:00"/>
        <d v="2023-06-24T00:00:00"/>
        <d v="2024-03-06T00:00:00"/>
        <d v="2024-07-06T00:00:00"/>
        <d v="2023-04-10T00:00:00"/>
        <d v="2024-12-28T00:00:00"/>
        <d v="2024-03-13T00:00:00"/>
        <d v="2024-07-11T00:00:00"/>
        <d v="2023-07-01T00:00:00"/>
        <d v="2023-02-02T00:00:00"/>
        <d v="2023-06-09T00:00:00"/>
        <d v="2024-03-09T00:00:00"/>
        <d v="2024-07-17T00:00:00"/>
        <d v="2023-10-21T00:00:00"/>
        <d v="2024-05-07T00:00:00"/>
        <d v="2023-09-09T00:00:00"/>
        <d v="2023-06-03T00:00:00"/>
        <d v="2024-06-03T00:00:00"/>
        <d v="2023-04-03T00:00:00"/>
        <d v="2023-11-18T00:00:00"/>
        <d v="2023-04-24T00:00:00"/>
        <d v="2023-10-05T00:00:00"/>
        <d v="2023-01-04T00:00:00"/>
        <d v="2024-05-23T00:00:00"/>
        <d v="2023-11-13T00:00:00"/>
        <d v="2023-12-09T00:00:00"/>
        <d v="2024-07-04T00:00:00"/>
        <d v="2023-02-12T00:00:00"/>
        <d v="2023-11-11T00:00:00"/>
        <d v="2023-08-28T00:00:00"/>
        <d v="2024-01-11T00:00:00"/>
        <d v="2024-07-22T00:00:00"/>
        <d v="2024-07-12T00:00:00"/>
        <d v="2024-02-16T00:00:00"/>
        <d v="2023-12-11T00:00:00"/>
        <d v="2023-09-23T00:00:00"/>
        <d v="2023-10-28T00:00:00"/>
        <d v="2023-09-19T00:00:00"/>
        <d v="2024-01-01T00:00:00"/>
        <d v="2024-08-25T00:00:00"/>
        <d v="2024-11-10T00:00:00"/>
        <d v="2023-05-01T00:00:00"/>
        <d v="2023-03-10T00:00:00"/>
        <d v="2023-11-07T00:00:00"/>
        <d v="2023-05-17T00:00:00"/>
        <d v="2024-12-26T00:00:00"/>
        <d v="2024-08-19T00:00:00"/>
        <d v="2024-09-25T00:00:00"/>
        <d v="2023-05-27T00:00:00"/>
        <d v="2024-04-25T00:00:00"/>
        <d v="2024-06-24T00:00:00"/>
        <d v="2023-10-19T00:00:00"/>
        <d v="2023-11-19T00:00:00"/>
        <d v="2024-09-10T00:00:00"/>
        <d v="2023-05-16T00:00:00"/>
        <d v="2024-05-04T00:00:00"/>
        <d v="2024-01-06T00:00:00"/>
        <d v="2023-12-06T00:00:00"/>
        <d v="2024-05-31T00:00:00"/>
        <d v="2023-04-01T00:00:00"/>
        <d v="2024-11-29T00:00:00"/>
        <d v="2023-12-22T00:00:00"/>
        <d v="2024-07-26T00:00:00"/>
        <d v="2024-02-29T00:00:00"/>
        <d v="2023-10-23T00:00:00"/>
        <d v="2024-03-14T00:00:00"/>
        <d v="2023-08-03T00:00:00"/>
        <d v="2024-08-29T00:00:00"/>
        <d v="2024-06-06T00:00:00"/>
        <d v="2023-02-08T00:00:00"/>
        <d v="2023-08-26T00:00:00"/>
        <d v="2023-07-03T00:00:00"/>
        <d v="2024-06-08T00:00:00"/>
        <d v="2023-07-30T00:00:00"/>
        <d v="2023-03-13T00:00:00"/>
        <d v="2024-10-04T00:00:00"/>
        <d v="2024-08-18T00:00:00"/>
        <d v="2024-12-17T00:00:00"/>
        <d v="2023-11-24T00:00:00"/>
        <d v="2024-12-22T00:00:00"/>
        <d v="2023-11-04T00:00:00"/>
        <d v="2023-01-06T00:00:00"/>
        <d v="2023-08-06T00:00:00"/>
        <d v="2024-12-20T00:00:00"/>
        <d v="2024-08-01T00:00:00"/>
        <d v="2024-04-15T00:00:00"/>
        <d v="2024-09-19T00:00:00"/>
        <d v="2024-07-05T00:00:00"/>
        <d v="2023-01-30T00:00:00"/>
        <d v="2024-08-28T00:00:00"/>
        <d v="2024-11-17T00:00:00"/>
        <d v="2024-10-16T00:00:00"/>
        <d v="2024-07-09T00:00:00"/>
        <d v="2024-02-02T00:00:00"/>
        <d v="2024-08-05T00:00:00"/>
        <d v="2024-02-27T00:00:00"/>
        <d v="2023-04-16T00:00:00"/>
        <d v="2023-07-12T00:00:00"/>
        <d v="2024-08-21T00:00:00"/>
        <d v="2024-09-21T00:00:00"/>
        <d v="2023-07-14T00:00:00"/>
        <d v="2023-06-13T00:00:00"/>
        <d v="2023-01-09T00:00:00"/>
        <d v="2024-08-11T00:00:00"/>
        <d v="2023-07-08T00:00:00"/>
        <d v="2023-04-17T00:00:00"/>
        <d v="2023-11-27T00:00:00"/>
        <d v="2024-04-12T00:00:00"/>
        <d v="2024-11-01T00:00:00"/>
        <d v="2024-12-29T00:00:00"/>
        <d v="2024-06-10T00:00:00"/>
        <d v="2023-10-18T00:00:00"/>
        <d v="2024-10-02T00:00:00"/>
        <d v="2024-06-11T00:00:00"/>
        <d v="2023-04-22T00:00:00"/>
        <d v="2023-07-19T00:00:00"/>
        <d v="2023-06-18T00:00:00"/>
        <d v="2023-01-31T00:00:00"/>
        <d v="2024-01-25T00:00:00"/>
        <d v="2023-07-05T00:00:00"/>
        <d v="2023-06-21T00:00:00"/>
        <d v="2023-05-03T00:00:00"/>
        <d v="2024-05-05T00:00:00"/>
        <d v="2024-06-13T00:00:00"/>
        <d v="2024-03-04T00:00:00"/>
        <d v="2024-12-05T00:00:00"/>
        <d v="2023-11-06T00:00:00"/>
        <d v="2023-06-07T00:00:00"/>
        <d v="2023-08-13T00:00:00"/>
        <d v="2023-05-06T00:00:00"/>
        <d v="2024-10-19T00:00:00"/>
        <d v="2023-04-27T00:00:00"/>
        <d v="2023-07-25T00:00:00"/>
        <d v="2023-01-24T00:00:00"/>
        <d v="2024-08-13T00:00:00"/>
        <d v="2023-09-22T00:00:00"/>
        <d v="2023-04-07T00:00:00"/>
        <d v="2024-11-30T00:00:00"/>
        <d v="2024-12-08T00:00:00"/>
        <d v="2024-02-15T00:00:00"/>
        <d v="2023-03-02T00:00:00"/>
        <d v="2023-05-05T00:00:00"/>
        <d v="2023-02-14T00:00:00"/>
        <d v="2023-08-07T00:00:00"/>
        <d v="2023-03-20T00:00:00"/>
        <d v="2024-09-08T00:00:00"/>
        <d v="2024-12-21T00:00:00"/>
        <d v="2024-05-26T00:00:00"/>
        <d v="2024-01-03T00:00:00"/>
        <d v="2023-05-09T00:00:00"/>
        <d v="2024-05-28T00:00:00"/>
        <d v="2024-08-08T00:00:00"/>
        <d v="2024-07-29T00:00:00"/>
        <d v="2024-09-13T00:00:00"/>
        <d v="2023-06-10T00:00:00"/>
        <d v="2023-05-20T00:00:00"/>
        <d v="2023-12-05T00:00:00"/>
        <d v="2023-09-15T00:00:00"/>
        <d v="2023-12-21T00:00:00"/>
        <d v="2024-02-26T00:00:00"/>
        <d v="2023-10-08T00:00:00"/>
        <d v="2024-05-27T00:00:00"/>
        <d v="2024-02-24T00:00:00"/>
        <d v="2023-04-02T00:00:00"/>
        <d v="2024-05-11T00:00:00"/>
        <d v="2023-03-22T00:00:00"/>
        <d v="2024-10-25T00:00:00"/>
        <d v="2024-12-25T00:00:00"/>
        <d v="2024-05-25T00:00:00"/>
        <d v="2023-03-09T00:00:00"/>
        <d v="2024-02-20T00:00:00"/>
        <d v="2024-01-31T00:00:00"/>
        <d v="2024-01-09T00:00:00"/>
        <d v="2023-06-12T00:00:00"/>
        <d v="2024-07-18T00:00:00"/>
        <d v="2023-01-03T00:00:00"/>
        <d v="2023-03-17T00:00:00"/>
        <d v="2023-09-05T00:00:00"/>
        <d v="2024-05-19T00:00:00"/>
        <d v="2024-01-24T00:00:00"/>
        <d v="2024-03-01T00:00:00"/>
        <d v="2023-02-15T00:00:00"/>
        <d v="2024-04-28T00:00:00"/>
        <d v="2024-08-02T00:00:00"/>
        <d v="2024-11-06T00:00:00"/>
        <d v="2024-05-09T00:00:00"/>
        <d v="2024-03-08T00:00:00"/>
        <d v="2023-02-21T00:00:00"/>
        <d v="2023-09-12T00:00:00"/>
        <d v="2023-10-02T00:00:00"/>
        <d v="2024-02-17T00:00:00"/>
        <d v="2024-10-06T00:00:00"/>
        <d v="2024-03-21T00:00:00"/>
        <d v="2023-05-11T00:00:00"/>
        <d v="2024-02-09T00:00:00"/>
        <d v="2024-01-12T00:00:00"/>
        <d v="2023-01-13T00:00:00"/>
        <d v="2023-11-28T00:00:00"/>
        <d v="2023-11-21T00:00:00"/>
        <d v="2024-04-18T00:00:00"/>
        <d v="2023-07-21T00:00:00"/>
        <d v="2023-05-14T00:00:00"/>
        <d v="2023-04-11T00:00:00"/>
        <d v="2024-04-24T00:00:00"/>
        <d v="2023-08-31T00:00:00"/>
        <d v="2023-11-22T00:00:00"/>
        <d v="2024-04-19T00:00:00"/>
        <d v="2023-07-09T00:00:00"/>
        <d v="2024-08-12T00:00:00"/>
        <d v="2023-03-28T00:00:00"/>
        <d v="2023-06-01T00:00:00"/>
        <d v="2023-12-14T00:00:00"/>
        <d v="2024-06-28T00:00:00"/>
        <d v="2023-11-29T00:00:00"/>
        <d v="2024-08-20T00:00:00"/>
        <d v="2024-07-03T00:00:00"/>
        <d v="2023-04-13T00:00:00"/>
        <d v="2024-10-17T00:00:00"/>
        <d v="2023-05-13T00:00:00"/>
        <d v="2024-11-20T00:00:00"/>
        <d v="2024-01-14T00:00:00"/>
        <d v="2023-06-30T00:00:00"/>
        <d v="2023-05-18T00:00:00"/>
        <d v="2024-08-27T00:00:00"/>
        <d v="2023-05-08T00:00:00"/>
        <d v="2024-08-15T00:00:00"/>
        <d v="2024-06-21T00:00:00"/>
        <d v="2024-09-18T00:00:00"/>
        <d v="2024-03-23T00:00:00"/>
        <d v="2023-06-19T00:00:00"/>
        <d v="2024-12-13T00:00:00"/>
        <d v="2024-08-22T00:00:00"/>
        <d v="2023-09-27T00:00:00"/>
        <d v="2023-02-11T00:00:00"/>
        <d v="2023-04-20T00:00:00"/>
        <d v="2024-12-16T00:00:00"/>
        <d v="2024-05-01T00:00:00"/>
        <d v="2023-03-23T00:00:00"/>
        <d v="2023-06-25T00:00:00"/>
        <d v="2023-08-24T00:00:00"/>
        <d v="2023-05-10T00:00:00"/>
        <d v="2024-04-02T00:00:00"/>
        <d v="2023-06-15T00:00:00"/>
        <d v="2024-02-23T00:00:00"/>
        <d v="2024-01-13T00:00:00"/>
        <d v="2024-07-10T00:00:00"/>
        <d v="2023-02-22T00:00:00"/>
        <d v="2023-09-02T00:00:00"/>
        <d v="2024-10-01T00:00:00"/>
        <d v="2024-06-20T00:00:00"/>
        <d v="2023-09-14T00:00:00"/>
        <d v="2024-01-15T00:00:00"/>
        <d v="2023-01-17T00:00:00"/>
        <d v="2024-01-16T00:00:00"/>
        <d v="2024-04-26T00:00:00"/>
        <d v="2024-09-06T00:00:00"/>
        <d v="2024-12-18T00:00:00"/>
        <d v="2024-07-21T00:00:00"/>
        <d v="2024-07-13T00:00:00"/>
        <d v="2024-02-21T00:00:00"/>
        <d v="2024-07-08T00:00:00"/>
        <d v="2023-05-28T00:00:00"/>
        <d v="2024-01-19T00:00:00"/>
        <d v="2023-08-04T00:00:00"/>
        <d v="2024-11-03T00:00:00"/>
        <d v="2024-08-03T00:00:00"/>
        <d v="2023-07-16T00:00:00"/>
        <d v="2024-09-30T00:00:00"/>
        <d v="2023-05-26T00:00:00"/>
        <d v="2024-11-26T00:00:00"/>
        <d v="2023-01-07T00:00:00"/>
        <d v="2024-06-25T00:00:00"/>
        <d v="2024-12-23T00:00:00"/>
        <d v="2024-08-14T00:00:00"/>
        <d v="2023-09-24T00:00:00"/>
        <d v="2023-03-27T00:00:00"/>
        <d v="2023-05-24T00:00:00"/>
        <d v="2023-12-30T00:00:00"/>
        <d v="2024-12-06T00:00:00"/>
        <d v="2023-11-03T00:00:00"/>
        <d v="2024-04-08T00:00:00"/>
        <d v="2023-08-23T00:00:00"/>
        <d v="2024-04-22T00:00:00"/>
        <d v="2024-05-24T00:00:00"/>
        <d v="2024-04-14T00:00:00"/>
        <d v="2023-06-11T00:00:00"/>
        <d v="2024-06-16T00:00:00"/>
        <d v="2024-05-13T00:00:00"/>
        <d v="2023-12-20T00:00:00"/>
        <d v="2024-03-30T00:00:00"/>
        <d v="2023-05-12T00:00:00"/>
        <d v="2023-01-19T00:00:00"/>
        <d v="2024-06-12T00:00:00"/>
        <d v="2024-12-12T00:00:00"/>
        <d v="2023-05-19T00:00:00"/>
        <d v="2024-02-19T00:00:00"/>
        <d v="2024-01-08T00:00:00"/>
        <d v="2023-09-29T00:00:00"/>
        <d v="2024-05-06T00:00:00"/>
        <d v="2023-07-27T00:00:00"/>
        <d v="2023-01-05T00:00:00"/>
        <d v="2023-05-22T00:00:00"/>
        <d v="2023-05-23T00:00:00"/>
        <d v="2023-03-04T00:00:00"/>
        <d v="2024-02-22T00:00:00"/>
        <d v="2023-02-06T00:00:00"/>
        <d v="2024-06-14T00:00:00"/>
        <d v="2023-09-07T00:00:00"/>
        <d v="2023-09-20T00:00:00"/>
        <d v="2024-06-01T00:00:00"/>
        <d v="2023-02-26T00:00:00"/>
        <d v="2024-05-16T00:00:00"/>
        <d v="2024-09-14T00:00:00"/>
        <d v="2024-10-24T00:00:00"/>
        <d v="2024-01-17T00:00:00"/>
        <d v="2024-06-19T00:00:00"/>
        <d v="2024-10-20T00:00:00"/>
        <d v="2024-12-07T00:00:00"/>
        <d v="2023-10-06T00:00:00"/>
        <d v="2023-01-15T00:00:00"/>
        <d v="2023-02-19T00:00:00"/>
        <d v="2023-03-29T00:00:00"/>
        <d v="2024-03-28T00:00:00"/>
        <d v="2023-06-14T00:00:00"/>
        <d v="2024-06-30T00:00:00"/>
        <d v="2023-01-27T00:00:00"/>
        <d v="2023-11-12T00:00:00"/>
        <d v="2024-05-15T00:00:00"/>
        <d v="2024-11-22T00:00:00"/>
        <d v="2024-12-30T00:00:00"/>
        <d v="2023-02-28T00:00:00"/>
        <d v="2023-10-03T00:00:00"/>
        <d v="2023-08-22T00:00:00"/>
        <d v="2024-04-09T00:00:00"/>
        <d v="2023-08-29T00:00:00"/>
        <d v="2023-08-20T00:00:00"/>
        <d v="2023-10-27T00:00:00"/>
        <d v="2024-03-17T00:00:00"/>
        <d v="2024-09-05T00:00:00"/>
        <d v="2023-10-07T00:00:00"/>
        <d v="2024-10-30T00:00:00"/>
        <d v="2023-04-23T00:00:00"/>
        <d v="2023-10-13T00:00:00"/>
        <d v="2023-07-04T00:00:00"/>
        <d v="2023-01-28T00:00:00"/>
        <d v="2024-02-11T00:00:00"/>
        <d v="2023-11-08T00:00:00"/>
        <d v="2024-03-05T00:00:00"/>
        <d v="2023-05-07T00:00:00"/>
        <d v="2024-03-11T00:00:00"/>
        <d v="2024-12-15T00:00:00"/>
        <d v="2024-10-15T00:00:00"/>
        <d v="2023-01-11T00:00:00"/>
        <d v="2023-08-16T00:00:00"/>
        <d v="2024-11-08T00:00:00"/>
        <d v="2023-12-07T00:00:00"/>
        <d v="2024-04-23T00:00:00"/>
        <d v="2024-07-30T00:00:00"/>
        <d v="2024-10-31T00:00:00"/>
        <d v="2023-12-04T00:00:00"/>
        <d v="2024-03-07T00:00:00"/>
        <d v="2024-10-09T00:00:00"/>
        <d v="2024-03-31T00:00:00"/>
        <d v="2024-02-25T00:00:00"/>
        <d v="2024-09-11T00:00:00"/>
        <d v="2024-10-28T00:00:00"/>
        <d v="2023-04-08T00:00:00"/>
        <d v="2024-01-28T00:00:00"/>
        <d v="2024-04-07T00:00:00"/>
        <d v="2024-02-01T00:00:00"/>
        <d v="2024-06-02T00:00:00"/>
        <d v="2024-04-10T00:00:00"/>
        <d v="2024-10-11T00:00:00"/>
        <d v="2024-06-17T00:00:00"/>
        <d v="2024-11-09T00:00:00"/>
        <d v="2024-11-19T00:00:00"/>
        <d v="2024-09-16T00:00:00"/>
        <d v="2023-03-06T00:00:00"/>
        <d v="2023-06-16T00:00:00"/>
        <d v="2024-12-11T00:00:00"/>
        <d v="2023-02-17T00:00:00"/>
        <d v="2024-11-07T00:00:00"/>
        <d v="2023-07-31T00:00:00"/>
        <d v="2023-10-24T00:00:00"/>
        <d v="2023-10-09T00:00:00"/>
        <d v="2024-07-01T00:00:00"/>
        <d v="2023-10-26T00:00:00"/>
        <d v="2023-03-12T00:00:00"/>
        <d v="2024-09-27T00:00:00"/>
        <d v="2023-09-04T00:00:00"/>
        <d v="2024-02-05T00:00:00"/>
        <d v="2023-07-24T00:00:00"/>
        <d v="2023-07-10T00:00:00"/>
        <d v="2024-12-19T00:00:00"/>
        <d v="2023-02-07T00:00:00"/>
        <d v="2024-01-27T00:00:00"/>
        <d v="2023-12-26T00:00:00"/>
        <d v="2023-12-03T00:00:00"/>
        <d v="2024-07-16T00:00:00"/>
        <d v="2024-04-20T00:00:00"/>
        <d v="2024-11-24T00:00:00"/>
        <d v="2023-05-15T00:00:00"/>
        <d v="2023-11-05T00:00:00"/>
        <d v="2023-10-11T00:00:00"/>
        <d v="2024-10-14T00:00:00"/>
        <d v="2024-07-25T00:00:00"/>
        <d v="2023-03-01T00:00:00"/>
        <d v="2024-03-15T00:00:00"/>
        <d v="2023-10-14T00:00:00"/>
        <d v="2023-04-19T00:00:00"/>
        <d v="2024-08-17T00:00:00"/>
        <d v="2024-05-02T00:00:00"/>
        <d v="2024-01-02T00:00:00"/>
        <d v="2023-11-15T00:00:00"/>
        <d v="2024-11-27T00:00:00"/>
        <d v="2023-07-15T00:00:00"/>
        <d v="2024-08-10T00:00:00"/>
        <d v="2024-01-30T00:00:00"/>
        <d v="2024-02-04T00:00:00"/>
        <d v="2024-01-26T00:00:00"/>
        <d v="2023-08-18T00:00:00"/>
        <d v="2023-07-13T00:00:00"/>
        <d v="2023-02-24T00:00:00"/>
        <d v="2024-03-29T00:00:00"/>
        <d v="2024-08-04T00:00:00"/>
        <d v="2024-05-10T00:00:00"/>
        <d v="2024-09-07T00:00:00"/>
        <d v="2023-12-18T00:00:00"/>
        <d v="2023-11-10T00:00:00"/>
        <d v="2023-11-25T00:00:00"/>
        <d v="2024-02-14T00:00:00"/>
        <d v="2023-04-14T00:00:00"/>
        <d v="2023-08-19T00:00:00"/>
        <d v="2023-12-15T00:00:00"/>
        <d v="2024-06-15T00:00:00"/>
        <d v="2023-09-13T00:00:00"/>
        <d v="2024-11-13T00:00:00"/>
        <d v="2023-11-26T00:00:00"/>
        <d v="2024-01-29T00:00:00"/>
        <d v="2023-07-17T00:00:00"/>
      </sharedItems>
      <fieldGroup par="16"/>
    </cacheField>
    <cacheField name="Delivery_Date" numFmtId="0">
      <sharedItems containsDate="1" containsMixedTypes="1" minDate="2023-01-04T00:00:00" maxDate="2025-01-23T00:00:00"/>
    </cacheField>
    <cacheField name="Order_Status" numFmtId="0">
      <sharedItems count="4">
        <s v="Delivered"/>
        <s v="Cancelled"/>
        <s v="Pending"/>
        <s v="Partially Delivered"/>
      </sharedItems>
    </cacheField>
    <cacheField name="Quantity" numFmtId="0">
      <sharedItems containsSemiMixedTypes="0" containsString="0" containsNumber="1" containsInteger="1" minValue="5" maxValue="500"/>
    </cacheField>
    <cacheField name="Unit_Cost" numFmtId="0">
      <sharedItems containsSemiMixedTypes="0" containsString="0" containsNumber="1" minValue="104.01" maxValue="59335.34" count="1987">
        <n v="4558.01"/>
        <n v="5163.63"/>
        <n v="116.75"/>
        <n v="13270.55"/>
        <n v="47378.95"/>
        <n v="909.76"/>
        <n v="835"/>
        <n v="557.05999999999995"/>
        <n v="124.54"/>
        <n v="128.81"/>
        <n v="11568.65"/>
        <n v="8182.5"/>
        <n v="11276.94"/>
        <n v="6669.5"/>
        <n v="46927.92"/>
        <n v="13427.65"/>
        <n v="4103.09"/>
        <n v="47792.78"/>
        <n v="14323.95"/>
        <n v="946.37"/>
        <n v="51371.08"/>
        <n v="55568.2"/>
        <n v="941.88"/>
        <n v="5951.57"/>
        <n v="49255.06"/>
        <n v="15828.89"/>
        <n v="48483.27"/>
        <n v="57574.14"/>
        <n v="12818.97"/>
        <n v="7710.91"/>
        <n v="50236.41"/>
        <n v="6947.82"/>
        <n v="4348.2299999999996"/>
        <n v="13666.38"/>
        <n v="14698.68"/>
        <n v="11904.27"/>
        <n v="506.23"/>
        <n v="4256.3100000000004"/>
        <n v="123.87"/>
        <n v="603.63"/>
        <n v="947.98"/>
        <n v="11589.4"/>
        <n v="12093.92"/>
        <n v="8855.93"/>
        <n v="11463.87"/>
        <n v="118.52"/>
        <n v="12660.3"/>
        <n v="533.29999999999995"/>
        <n v="4394.63"/>
        <n v="116.83"/>
        <n v="45998.76"/>
        <n v="897.77"/>
        <n v="51857.41"/>
        <n v="115.59"/>
        <n v="13620.82"/>
        <n v="50764.65"/>
        <n v="114.35"/>
        <n v="10787.66"/>
        <n v="13128.76"/>
        <n v="47290.02"/>
        <n v="50709.54"/>
        <n v="522.33000000000004"/>
        <n v="853.54"/>
        <n v="50768.55"/>
        <n v="43151.17"/>
        <n v="50103.11"/>
        <n v="52779.91"/>
        <n v="6726.76"/>
        <n v="12025.32"/>
        <n v="49665.85"/>
        <n v="15015.39"/>
        <n v="4933.24"/>
        <n v="3646.29"/>
        <n v="8727.4699999999993"/>
        <n v="917.83"/>
        <n v="8551.33"/>
        <n v="13917.39"/>
        <n v="12027.72"/>
        <n v="48808.15"/>
        <n v="8041.69"/>
        <n v="877.02"/>
        <n v="57913.73"/>
        <n v="129.49"/>
        <n v="5063.7"/>
        <n v="8112.95"/>
        <n v="50180.9"/>
        <n v="8886.2000000000007"/>
        <n v="12500.51"/>
        <n v="14951.8"/>
        <n v="46170.11"/>
        <n v="14131"/>
        <n v="113.68"/>
        <n v="5696.01"/>
        <n v="15305.67"/>
        <n v="563.52"/>
        <n v="12110.7"/>
        <n v="8580.18"/>
        <n v="4152.9399999999996"/>
        <n v="5049.6099999999997"/>
        <n v="819.99"/>
        <n v="122.29"/>
        <n v="7346.4"/>
        <n v="11483.16"/>
        <n v="3802.92"/>
        <n v="12372.63"/>
        <n v="13565.62"/>
        <n v="51567.68"/>
        <n v="8868.9500000000007"/>
        <n v="854.18"/>
        <n v="13794.41"/>
        <n v="47876.77"/>
        <n v="12922.75"/>
        <n v="12238.44"/>
        <n v="51048.61"/>
        <n v="14460.95"/>
        <n v="4981.1400000000003"/>
        <n v="122.63"/>
        <n v="3971.12"/>
        <n v="51560.959999999999"/>
        <n v="44800.72"/>
        <n v="46720.68"/>
        <n v="45523.37"/>
        <n v="5635.77"/>
        <n v="4631.07"/>
        <n v="48232.23"/>
        <n v="5174.9399999999996"/>
        <n v="7722"/>
        <n v="6128.35"/>
        <n v="14418.69"/>
        <n v="4874.32"/>
        <n v="4744.59"/>
        <n v="604.84"/>
        <n v="5427.44"/>
        <n v="6587.49"/>
        <n v="12898.77"/>
        <n v="4344.1099999999997"/>
        <n v="13697.5"/>
        <n v="881.25"/>
        <n v="46644.68"/>
        <n v="11673.72"/>
        <n v="7294.56"/>
        <n v="126.39"/>
        <n v="505.88"/>
        <n v="115.09"/>
        <n v="12999.96"/>
        <n v="913.88"/>
        <n v="51329.16"/>
        <n v="4656.2700000000004"/>
        <n v="53152.73"/>
        <n v="16023.05"/>
        <n v="14108.66"/>
        <n v="826.45"/>
        <n v="7009.13"/>
        <n v="907.97"/>
        <n v="11523.96"/>
        <n v="5375.5"/>
        <n v="50308.04"/>
        <n v="114.58"/>
        <n v="49159.66"/>
        <n v="5343.24"/>
        <n v="550.95000000000005"/>
        <n v="8363.94"/>
        <n v="614.09"/>
        <n v="44325.17"/>
        <n v="51047.44"/>
        <n v="48114.44"/>
        <n v="950.75"/>
        <n v="55312.86"/>
        <n v="5256.1"/>
        <n v="15485.06"/>
        <n v="13241.03"/>
        <n v="15330.36"/>
        <n v="49390.67"/>
        <n v="43318.74"/>
        <n v="4075.22"/>
        <n v="815.26"/>
        <n v="11995.38"/>
        <n v="4699.18"/>
        <n v="14801.98"/>
        <n v="8072.88"/>
        <n v="4988.55"/>
        <n v="12678.87"/>
        <n v="5977.68"/>
        <n v="6121.01"/>
        <n v="4957.6499999999996"/>
        <n v="120.8"/>
        <n v="15077.23"/>
        <n v="561.15"/>
        <n v="118.31"/>
        <n v="6068.69"/>
        <n v="104.61"/>
        <n v="6200.47"/>
        <n v="906.67"/>
        <n v="4316.08"/>
        <n v="6481.8"/>
        <n v="5884.94"/>
        <n v="124.16"/>
        <n v="12315.3"/>
        <n v="6317.27"/>
        <n v="50283.11"/>
        <n v="588.17999999999995"/>
        <n v="4242.1400000000003"/>
        <n v="593.04"/>
        <n v="576.69000000000005"/>
        <n v="15485.87"/>
        <n v="51468.27"/>
        <n v="52016.5"/>
        <n v="11803.36"/>
        <n v="3793.61"/>
        <n v="118.92"/>
        <n v="6223.72"/>
        <n v="570.58000000000004"/>
        <n v="4690.7299999999996"/>
        <n v="13302.9"/>
        <n v="4873.6499999999996"/>
        <n v="45192.68"/>
        <n v="49541.01"/>
        <n v="8746.5499999999993"/>
        <n v="8531.11"/>
        <n v="14681.43"/>
        <n v="12204.78"/>
        <n v="517.88"/>
        <n v="4528.2299999999996"/>
        <n v="46879.95"/>
        <n v="589.74"/>
        <n v="115.96"/>
        <n v="15441.7"/>
        <n v="11206.29"/>
        <n v="541.77"/>
        <n v="4726.79"/>
        <n v="5156.18"/>
        <n v="16179.99"/>
        <n v="49150.48"/>
        <n v="5314.26"/>
        <n v="8221.82"/>
        <n v="8219.9500000000007"/>
        <n v="48279.51"/>
        <n v="49435.87"/>
        <n v="54322.13"/>
        <n v="14747.78"/>
        <n v="12336.09"/>
        <n v="11782.89"/>
        <n v="5428.69"/>
        <n v="13140.56"/>
        <n v="12859.6"/>
        <n v="962.71"/>
        <n v="539.22"/>
        <n v="53984.15"/>
        <n v="610.70000000000005"/>
        <n v="3737.5"/>
        <n v="511.31"/>
        <n v="13362.46"/>
        <n v="881.67"/>
        <n v="4054.47"/>
        <n v="135.4"/>
        <n v="52613.75"/>
        <n v="45197.51"/>
        <n v="12105.62"/>
        <n v="6468.48"/>
        <n v="6068.49"/>
        <n v="125.81"/>
        <n v="12544.28"/>
        <n v="49529.79"/>
        <n v="4761.84"/>
        <n v="6591.31"/>
        <n v="3930.9"/>
        <n v="532.04"/>
        <n v="6269.52"/>
        <n v="928.61"/>
        <n v="6704.52"/>
        <n v="13679.05"/>
        <n v="4311.6899999999996"/>
        <n v="49041.51"/>
        <n v="123.36"/>
        <n v="48839.47"/>
        <n v="107"/>
        <n v="5201.37"/>
        <n v="866.33"/>
        <n v="8284.1299999999992"/>
        <n v="112.27"/>
        <n v="6436.11"/>
        <n v="489.91"/>
        <n v="46390.1"/>
        <n v="119.41"/>
        <n v="114.25"/>
        <n v="11177.08"/>
        <n v="5623.6"/>
        <n v="937.06"/>
        <n v="13647.06"/>
        <n v="15046.41"/>
        <n v="13252.56"/>
        <n v="5392.93"/>
        <n v="812.98"/>
        <n v="13826.5"/>
        <n v="126.86"/>
        <n v="604.01"/>
        <n v="4510.93"/>
        <n v="896.61"/>
        <n v="134.63999999999999"/>
        <n v="8885.34"/>
        <n v="107.79"/>
        <n v="50504.18"/>
        <n v="4157.66"/>
        <n v="53276.84"/>
        <n v="4387.6099999999997"/>
        <n v="558.85"/>
        <n v="46918.51"/>
        <n v="125.62"/>
        <n v="552.86"/>
        <n v="13101.38"/>
        <n v="54228.49"/>
        <n v="529.14"/>
        <n v="12474.86"/>
        <n v="6422.7"/>
        <n v="5488.77"/>
        <n v="6451.97"/>
        <n v="54748.17"/>
        <n v="893.35"/>
        <n v="524.64"/>
        <n v="5574.23"/>
        <n v="836.53"/>
        <n v="12843.92"/>
        <n v="54043.54"/>
        <n v="5369.6"/>
        <n v="5449.67"/>
        <n v="914.81"/>
        <n v="533.38"/>
        <n v="48534.75"/>
        <n v="50995.58"/>
        <n v="7849.1"/>
        <n v="977.19"/>
        <n v="6115.07"/>
        <n v="5313.97"/>
        <n v="5911.52"/>
        <n v="13890.62"/>
        <n v="6282.82"/>
        <n v="15689.51"/>
        <n v="11900.48"/>
        <n v="545.41"/>
        <n v="47779.48"/>
        <n v="6213.68"/>
        <n v="126.44"/>
        <n v="46676.78"/>
        <n v="934.25"/>
        <n v="5280.45"/>
        <n v="4372.78"/>
        <n v="12234.11"/>
        <n v="50890.21"/>
        <n v="12892.81"/>
        <n v="5313.44"/>
        <n v="8471.0400000000009"/>
        <n v="8429.18"/>
        <n v="15582.72"/>
        <n v="12492.72"/>
        <n v="8595.49"/>
        <n v="121.23"/>
        <n v="8668.2900000000009"/>
        <n v="128.58000000000001"/>
        <n v="11797.68"/>
        <n v="47386.93"/>
        <n v="46200"/>
        <n v="12430.99"/>
        <n v="6909.18"/>
        <n v="12652.96"/>
        <n v="6363.67"/>
        <n v="4148.8900000000003"/>
        <n v="826.69"/>
        <n v="5239.88"/>
        <n v="51809.71"/>
        <n v="11031.3"/>
        <n v="4216.07"/>
        <n v="11685.8"/>
        <n v="15132.99"/>
        <n v="48867.48"/>
        <n v="48641.25"/>
        <n v="541.09"/>
        <n v="13049.48"/>
        <n v="5969.3"/>
        <n v="11591.83"/>
        <n v="6161.92"/>
        <n v="11608.42"/>
        <n v="8638.41"/>
        <n v="6893.56"/>
        <n v="12329.93"/>
        <n v="552.75"/>
        <n v="11125.9"/>
        <n v="50102.29"/>
        <n v="46065.67"/>
        <n v="926.77"/>
        <n v="12753.15"/>
        <n v="3995.54"/>
        <n v="12128.42"/>
        <n v="874.81"/>
        <n v="44048.67"/>
        <n v="7035.26"/>
        <n v="11076.67"/>
        <n v="14670.34"/>
        <n v="608.04999999999995"/>
        <n v="5512.24"/>
        <n v="13248.8"/>
        <n v="15216.95"/>
        <n v="966.62"/>
        <n v="12428.26"/>
        <n v="5321.09"/>
        <n v="10908.03"/>
        <n v="550.78"/>
        <n v="120.27"/>
        <n v="5345.48"/>
        <n v="5277.38"/>
        <n v="8373.02"/>
        <n v="4680.33"/>
        <n v="108.56"/>
        <n v="5189.84"/>
        <n v="133.36000000000001"/>
        <n v="12977.83"/>
        <n v="12118.14"/>
        <n v="566.99"/>
        <n v="905.54"/>
        <n v="4060.84"/>
        <n v="45241.48"/>
        <n v="550.70000000000005"/>
        <n v="51951.83"/>
        <n v="5995.51"/>
        <n v="54224.52"/>
        <n v="14037.9"/>
        <n v="11094.65"/>
        <n v="806.3"/>
        <n v="12202.65"/>
        <n v="5467.47"/>
        <n v="6603.03"/>
        <n v="534.63"/>
        <n v="923.89"/>
        <n v="830.13"/>
        <n v="6083.84"/>
        <n v="4230.53"/>
        <n v="4397.78"/>
        <n v="5481.16"/>
        <n v="115.52"/>
        <n v="3916.85"/>
        <n v="4685.3599999999997"/>
        <n v="5309.78"/>
        <n v="4020.19"/>
        <n v="4206.2"/>
        <n v="8316.0499999999993"/>
        <n v="8061.51"/>
        <n v="8986.09"/>
        <n v="4365.78"/>
        <n v="540.83000000000004"/>
        <n v="883.92"/>
        <n v="13291.02"/>
        <n v="11337.51"/>
        <n v="128.84"/>
        <n v="929.84"/>
        <n v="7366.37"/>
        <n v="13892.44"/>
        <n v="12877.38"/>
        <n v="945.78"/>
        <n v="5677.76"/>
        <n v="959.34"/>
        <n v="537.61"/>
        <n v="854.51"/>
        <n v="11551.49"/>
        <n v="7090.64"/>
        <n v="121.59"/>
        <n v="11696.79"/>
        <n v="4319.3"/>
        <n v="12162"/>
        <n v="43144.18"/>
        <n v="824.43"/>
        <n v="13159.96"/>
        <n v="8460.3799999999992"/>
        <n v="12923.44"/>
        <n v="581.21"/>
        <n v="919.05"/>
        <n v="551.70000000000005"/>
        <n v="4060.72"/>
        <n v="10395.66"/>
        <n v="12621.87"/>
        <n v="5372.05"/>
        <n v="15484.51"/>
        <n v="5064.3999999999996"/>
        <n v="858.1"/>
        <n v="11311.9"/>
        <n v="3742.72"/>
        <n v="793.61"/>
        <n v="869.85"/>
        <n v="13545.09"/>
        <n v="4525.2700000000004"/>
        <n v="113.19"/>
        <n v="543.20000000000005"/>
        <n v="45955.12"/>
        <n v="4905.58"/>
        <n v="11434.85"/>
        <n v="12722.73"/>
        <n v="8519.35"/>
        <n v="55907.55"/>
        <n v="48527.22"/>
        <n v="14932.71"/>
        <n v="15023.31"/>
        <n v="113.77"/>
        <n v="4100.45"/>
        <n v="11249.91"/>
        <n v="6508.49"/>
        <n v="55217.81"/>
        <n v="125.05"/>
        <n v="11357.07"/>
        <n v="6371.59"/>
        <n v="3710.76"/>
        <n v="127.27"/>
        <n v="5135.58"/>
        <n v="10922.77"/>
        <n v="4216.96"/>
        <n v="4500.1000000000004"/>
        <n v="4247.2700000000004"/>
        <n v="4744.0200000000004"/>
        <n v="536.13"/>
        <n v="6627.01"/>
        <n v="487.9"/>
        <n v="55177.19"/>
        <n v="51010.720000000001"/>
        <n v="6674"/>
        <n v="949.7"/>
        <n v="992.89"/>
        <n v="5779.54"/>
        <n v="6972.81"/>
        <n v="4298.6499999999996"/>
        <n v="6536.95"/>
        <n v="11084.11"/>
        <n v="46097.18"/>
        <n v="825.95"/>
        <n v="13586.33"/>
        <n v="15134.28"/>
        <n v="14425.82"/>
        <n v="5599.47"/>
        <n v="888.56"/>
        <n v="52061.69"/>
        <n v="4265.33"/>
        <n v="50671.58"/>
        <n v="5905.91"/>
        <n v="525.45000000000005"/>
        <n v="4538.8500000000004"/>
        <n v="8566.3700000000008"/>
        <n v="3847.73"/>
        <n v="4202.57"/>
        <n v="53426.39"/>
        <n v="8990.51"/>
        <n v="940.73"/>
        <n v="953.12"/>
        <n v="4344.84"/>
        <n v="50686.84"/>
        <n v="115.68"/>
        <n v="106.21"/>
        <n v="4411.96"/>
        <n v="8673.48"/>
        <n v="41721.370000000003"/>
        <n v="4303.8"/>
        <n v="7694.71"/>
        <n v="13056.21"/>
        <n v="121.67"/>
        <n v="12553.19"/>
        <n v="111.4"/>
        <n v="4548.49"/>
        <n v="49662.52"/>
        <n v="8601.36"/>
        <n v="5312.47"/>
        <n v="8799.26"/>
        <n v="53848.92"/>
        <n v="4851.49"/>
        <n v="3844.68"/>
        <n v="8283.01"/>
        <n v="8896.9599999999991"/>
        <n v="13936.99"/>
        <n v="861.99"/>
        <n v="12274.6"/>
        <n v="6840.13"/>
        <n v="13817.83"/>
        <n v="11519.41"/>
        <n v="13088.33"/>
        <n v="5316.29"/>
        <n v="14518.46"/>
        <n v="115.97"/>
        <n v="535.57000000000005"/>
        <n v="8304.4599999999991"/>
        <n v="4127.01"/>
        <n v="14462.61"/>
        <n v="8694.31"/>
        <n v="14359.3"/>
        <n v="13873.22"/>
        <n v="517.12"/>
        <n v="570.59"/>
        <n v="121.81"/>
        <n v="546.23"/>
        <n v="557.35"/>
        <n v="126.87"/>
        <n v="12428.74"/>
        <n v="15175.65"/>
        <n v="5379.54"/>
        <n v="7098.39"/>
        <n v="49922.02"/>
        <n v="47376.92"/>
        <n v="5201.21"/>
        <n v="113.01"/>
        <n v="133.13"/>
        <n v="567.88"/>
        <n v="127"/>
        <n v="8515.9"/>
        <n v="497.55"/>
        <n v="51065.11"/>
        <n v="11248.8"/>
        <n v="50465.25"/>
        <n v="6652.63"/>
        <n v="12811.86"/>
        <n v="8969.84"/>
        <n v="500.27"/>
        <n v="825.23"/>
        <n v="49511.5"/>
        <n v="889.98"/>
        <n v="13163.25"/>
        <n v="14230.36"/>
        <n v="116.58"/>
        <n v="15446.31"/>
        <n v="125.16"/>
        <n v="12282.08"/>
        <n v="590.47"/>
        <n v="5170.17"/>
        <n v="574.52"/>
        <n v="120.15"/>
        <n v="44564"/>
        <n v="9131.6200000000008"/>
        <n v="6324.24"/>
        <n v="865.9"/>
        <n v="46836.22"/>
        <n v="15487.92"/>
        <n v="46100.480000000003"/>
        <n v="13943.71"/>
        <n v="880.1"/>
        <n v="4385.62"/>
        <n v="838.22"/>
        <n v="46099.75"/>
        <n v="805.09"/>
        <n v="8696.34"/>
        <n v="521.15"/>
        <n v="546.33000000000004"/>
        <n v="11539.61"/>
        <n v="550.92999999999995"/>
        <n v="13950.59"/>
        <n v="514.32000000000005"/>
        <n v="4011.25"/>
        <n v="4203.4399999999996"/>
        <n v="4411.25"/>
        <n v="6746.97"/>
        <n v="5268.75"/>
        <n v="8400.3799999999992"/>
        <n v="12595.59"/>
        <n v="4176.25"/>
        <n v="865.53"/>
        <n v="606.86"/>
        <n v="123.42"/>
        <n v="6753.32"/>
        <n v="4437.4799999999996"/>
        <n v="912.99"/>
        <n v="8134.62"/>
        <n v="8212.59"/>
        <n v="8581.19"/>
        <n v="51874.12"/>
        <n v="11888.79"/>
        <n v="6466.46"/>
        <n v="47688.31"/>
        <n v="14134.36"/>
        <n v="55451.88"/>
        <n v="44145.5"/>
        <n v="4898.18"/>
        <n v="50407.77"/>
        <n v="121.84"/>
        <n v="46274.080000000002"/>
        <n v="52416.54"/>
        <n v="54477.49"/>
        <n v="10988.55"/>
        <n v="7961.4"/>
        <n v="47743.69"/>
        <n v="121.9"/>
        <n v="526.25"/>
        <n v="122.13"/>
        <n v="8659.39"/>
        <n v="6574.83"/>
        <n v="875.57"/>
        <n v="521.17999999999995"/>
        <n v="13273.16"/>
        <n v="991.52"/>
        <n v="12542.98"/>
        <n v="7423.47"/>
        <n v="52536.67"/>
        <n v="109.69"/>
        <n v="54947.33"/>
        <n v="12429.9"/>
        <n v="52366.54"/>
        <n v="5580.58"/>
        <n v="967.49"/>
        <n v="12110.48"/>
        <n v="50601.919999999998"/>
        <n v="58970.76"/>
        <n v="15320.29"/>
        <n v="5071.5600000000004"/>
        <n v="5478.39"/>
        <n v="793.35"/>
        <n v="995.26"/>
        <n v="11302.99"/>
        <n v="571.71"/>
        <n v="971.07"/>
        <n v="8206.51"/>
        <n v="123.45"/>
        <n v="49440.49"/>
        <n v="11597.25"/>
        <n v="15584.86"/>
        <n v="568.01"/>
        <n v="5201.72"/>
        <n v="119.9"/>
        <n v="12238.8"/>
        <n v="8215.66"/>
        <n v="125.8"/>
        <n v="6630.7"/>
        <n v="48038.16"/>
        <n v="12820.41"/>
        <n v="6862.26"/>
        <n v="107.9"/>
        <n v="508.49"/>
        <n v="15254.14"/>
        <n v="54222.18"/>
        <n v="11051.53"/>
        <n v="121.95"/>
        <n v="12240.76"/>
        <n v="4517.34"/>
        <n v="5896.31"/>
        <n v="11632.6"/>
        <n v="118.11"/>
        <n v="4360.46"/>
        <n v="5575.82"/>
        <n v="4668.75"/>
        <n v="124.28"/>
        <n v="580.15"/>
        <n v="105.3"/>
        <n v="4391.92"/>
        <n v="3917.52"/>
        <n v="12756.97"/>
        <n v="8195.14"/>
        <n v="12000.37"/>
        <n v="54015.67"/>
        <n v="8265.4500000000007"/>
        <n v="6576.45"/>
        <n v="13497.06"/>
        <n v="3920.9"/>
        <n v="15087.6"/>
        <n v="13605.32"/>
        <n v="15234.18"/>
        <n v="11872.42"/>
        <n v="951.82"/>
        <n v="53491.45"/>
        <n v="15111.08"/>
        <n v="4877.96"/>
        <n v="529.28"/>
        <n v="3828.52"/>
        <n v="4902.37"/>
        <n v="12506.42"/>
        <n v="5268.45"/>
        <n v="12144.62"/>
        <n v="836.98"/>
        <n v="4924.9399999999996"/>
        <n v="50417.21"/>
        <n v="4799.83"/>
        <n v="16001.5"/>
        <n v="8356.0499999999993"/>
        <n v="6194.19"/>
        <n v="15423.66"/>
        <n v="12739.91"/>
        <n v="994.15"/>
        <n v="5472.19"/>
        <n v="50329.07"/>
        <n v="5397.37"/>
        <n v="47311.19"/>
        <n v="933.12"/>
        <n v="48108.19"/>
        <n v="50788.79"/>
        <n v="52555.29"/>
        <n v="12659.39"/>
        <n v="851.91"/>
        <n v="4661.5"/>
        <n v="53660.35"/>
        <n v="46042.87"/>
        <n v="9095.99"/>
        <n v="3799.47"/>
        <n v="4964.59"/>
        <n v="112.85"/>
        <n v="13681.84"/>
        <n v="14584.45"/>
        <n v="45632.11"/>
        <n v="11370.68"/>
        <n v="833.78"/>
        <n v="120.95"/>
        <n v="7830.88"/>
        <n v="8922.7999999999993"/>
        <n v="47805.48"/>
        <n v="12166.84"/>
        <n v="12294.8"/>
        <n v="4296.87"/>
        <n v="5013.93"/>
        <n v="5421.28"/>
        <n v="6507.18"/>
        <n v="5355.5"/>
        <n v="4395.21"/>
        <n v="901.2"/>
        <n v="824.1"/>
        <n v="600.47"/>
        <n v="47765.84"/>
        <n v="55583.45"/>
        <n v="4395.7299999999996"/>
        <n v="8489.7000000000007"/>
        <n v="115.33"/>
        <n v="113.22"/>
        <n v="487.25"/>
        <n v="607.42999999999995"/>
        <n v="6694.22"/>
        <n v="13372.69"/>
        <n v="8111.06"/>
        <n v="49461.97"/>
        <n v="511.12"/>
        <n v="51676.86"/>
        <n v="13065.3"/>
        <n v="8323.67"/>
        <n v="6550.4"/>
        <n v="6253.6"/>
        <n v="585.66999999999996"/>
        <n v="4848.1000000000004"/>
        <n v="13197.37"/>
        <n v="50149.89"/>
        <n v="45249.31"/>
        <n v="8101.47"/>
        <n v="57764.75"/>
        <n v="5539.33"/>
        <n v="50160.05"/>
        <n v="12158.23"/>
        <n v="5268.68"/>
        <n v="114.69"/>
        <n v="45011.81"/>
        <n v="13222.06"/>
        <n v="49004.62"/>
        <n v="6123.56"/>
        <n v="12279.16"/>
        <n v="11104.5"/>
        <n v="13081.58"/>
        <n v="4988.17"/>
        <n v="121.5"/>
        <n v="12787.75"/>
        <n v="48700.34"/>
        <n v="11872.66"/>
        <n v="802.47"/>
        <n v="42877.95"/>
        <n v="593.73"/>
        <n v="12630.93"/>
        <n v="46593.2"/>
        <n v="6712.75"/>
        <n v="50215.63"/>
        <n v="3952.73"/>
        <n v="6678.91"/>
        <n v="52619.49"/>
        <n v="3912.03"/>
        <n v="50260.36"/>
        <n v="519.20000000000005"/>
        <n v="8609.56"/>
        <n v="4008.11"/>
        <n v="5107.88"/>
        <n v="6054.45"/>
        <n v="6040.1"/>
        <n v="106.78"/>
        <n v="888.3"/>
        <n v="118.39"/>
        <n v="51190.43"/>
        <n v="57307.38"/>
        <n v="12365.56"/>
        <n v="6120.15"/>
        <n v="47455.02"/>
        <n v="13699.77"/>
        <n v="6401.58"/>
        <n v="5348.1"/>
        <n v="11200.92"/>
        <n v="8770.18"/>
        <n v="5623.35"/>
        <n v="4754.43"/>
        <n v="12364.75"/>
        <n v="51979.1"/>
        <n v="861.86"/>
        <n v="3778.46"/>
        <n v="47548.15"/>
        <n v="8809.26"/>
        <n v="5615.71"/>
        <n v="6520.49"/>
        <n v="47865.58"/>
        <n v="4051.76"/>
        <n v="550.29999999999995"/>
        <n v="122.88"/>
        <n v="51546.74"/>
        <n v="134.28"/>
        <n v="48822.82"/>
        <n v="128.36000000000001"/>
        <n v="111.95"/>
        <n v="50865.79"/>
        <n v="10973.48"/>
        <n v="47381.62"/>
        <n v="5929.81"/>
        <n v="12062.78"/>
        <n v="8222.86"/>
        <n v="51164.71"/>
        <n v="7933.92"/>
        <n v="132.22999999999999"/>
        <n v="4113.57"/>
        <n v="4011.23"/>
        <n v="119.21"/>
        <n v="7504.62"/>
        <n v="9010.06"/>
        <n v="48969.67"/>
        <n v="4209.96"/>
        <n v="12334.95"/>
        <n v="11481.72"/>
        <n v="5817.83"/>
        <n v="13495.81"/>
        <n v="909.6"/>
        <n v="4312.3599999999997"/>
        <n v="6424.24"/>
        <n v="7253.52"/>
        <n v="46614.34"/>
        <n v="6735.07"/>
        <n v="933.29"/>
        <n v="9086.2000000000007"/>
        <n v="9677.31"/>
        <n v="53141.15"/>
        <n v="5301.35"/>
        <n v="910.81"/>
        <n v="7994.53"/>
        <n v="554.62"/>
        <n v="122.04"/>
        <n v="8400.83"/>
        <n v="6400.09"/>
        <n v="11867.75"/>
        <n v="12844.31"/>
        <n v="46278.03"/>
        <n v="5504.68"/>
        <n v="14643.38"/>
        <n v="8349.6"/>
        <n v="536.62"/>
        <n v="14509.34"/>
        <n v="5039.43"/>
        <n v="50013.07"/>
        <n v="12354.31"/>
        <n v="50924.57"/>
        <n v="4577.05"/>
        <n v="7645.9"/>
        <n v="44802.04"/>
        <n v="873.2"/>
        <n v="4508.6000000000004"/>
        <n v="12512.81"/>
        <n v="12968.44"/>
        <n v="529.66999999999996"/>
        <n v="9128.7800000000007"/>
        <n v="4414.0600000000004"/>
        <n v="526.29"/>
        <n v="13029.09"/>
        <n v="45330.45"/>
        <n v="11889.75"/>
        <n v="14844.04"/>
        <n v="6389.09"/>
        <n v="9222.2800000000007"/>
        <n v="51984.9"/>
        <n v="114.96"/>
        <n v="4775.75"/>
        <n v="13346.62"/>
        <n v="46747.69"/>
        <n v="6611.41"/>
        <n v="15195.2"/>
        <n v="129.35"/>
        <n v="112.66"/>
        <n v="937.89"/>
        <n v="13296.24"/>
        <n v="13952.82"/>
        <n v="119.76"/>
        <n v="3962.3"/>
        <n v="4577.8900000000003"/>
        <n v="5659.35"/>
        <n v="114.11"/>
        <n v="862.66"/>
        <n v="8869.48"/>
        <n v="46543.76"/>
        <n v="52157.87"/>
        <n v="5284.88"/>
        <n v="9597.94"/>
        <n v="3961.46"/>
        <n v="523.59"/>
        <n v="9371.92"/>
        <n v="13342.27"/>
        <n v="45644.95"/>
        <n v="49178.38"/>
        <n v="12050.37"/>
        <n v="13144.59"/>
        <n v="106.16"/>
        <n v="51298.29"/>
        <n v="12759.91"/>
        <n v="55435.42"/>
        <n v="12008.76"/>
        <n v="123.41"/>
        <n v="6357.8"/>
        <n v="3688.16"/>
        <n v="13535.54"/>
        <n v="108.92"/>
        <n v="6472.93"/>
        <n v="14056.73"/>
        <n v="963.01"/>
        <n v="8424.31"/>
        <n v="8407.6"/>
        <n v="5474.37"/>
        <n v="50381.58"/>
        <n v="14486.52"/>
        <n v="50650.49"/>
        <n v="863.41"/>
        <n v="559"/>
        <n v="5666.07"/>
        <n v="10643.66"/>
        <n v="569.32000000000005"/>
        <n v="51056.39"/>
        <n v="12646.15"/>
        <n v="44785.77"/>
        <n v="8958.14"/>
        <n v="109.82"/>
        <n v="3689.41"/>
        <n v="41843.68"/>
        <n v="16343.91"/>
        <n v="5201.66"/>
        <n v="12147.74"/>
        <n v="51845.83"/>
        <n v="11710"/>
        <n v="47943.76"/>
        <n v="867.46"/>
        <n v="872.25"/>
        <n v="13791.33"/>
        <n v="8051.65"/>
        <n v="12029.62"/>
        <n v="8626.17"/>
        <n v="8469.9599999999991"/>
        <n v="15098.44"/>
        <n v="15553.81"/>
        <n v="5631.67"/>
        <n v="55479.61"/>
        <n v="5432.19"/>
        <n v="13258.49"/>
        <n v="131.53"/>
        <n v="128.47999999999999"/>
        <n v="11872.8"/>
        <n v="9159.3700000000008"/>
        <n v="13478.16"/>
        <n v="860.04"/>
        <n v="5183.97"/>
        <n v="5539.82"/>
        <n v="47607.38"/>
        <n v="49739.09"/>
        <n v="890.63"/>
        <n v="46700.5"/>
        <n v="12591.54"/>
        <n v="818.32"/>
        <n v="4349.95"/>
        <n v="13039.81"/>
        <n v="131.69999999999999"/>
        <n v="993.86"/>
        <n v="7986.53"/>
        <n v="4740.28"/>
        <n v="6667.75"/>
        <n v="5312.08"/>
        <n v="10966.95"/>
        <n v="917.88"/>
        <n v="14286.17"/>
        <n v="496.52"/>
        <n v="8757.4500000000007"/>
        <n v="4171.3999999999996"/>
        <n v="5825.61"/>
        <n v="3988.25"/>
        <n v="948.75"/>
        <n v="8753.27"/>
        <n v="51471.88"/>
        <n v="7897.84"/>
        <n v="55564.1"/>
        <n v="4532.91"/>
        <n v="51377.68"/>
        <n v="14025.96"/>
        <n v="827.34"/>
        <n v="57250.34"/>
        <n v="876.05"/>
        <n v="522.14"/>
        <n v="10817.77"/>
        <n v="15216.45"/>
        <n v="114.7"/>
        <n v="50090.34"/>
        <n v="132.27000000000001"/>
        <n v="49698.02"/>
        <n v="4042.11"/>
        <n v="4015.58"/>
        <n v="45278.5"/>
        <n v="111.82"/>
        <n v="45264.03"/>
        <n v="13063.13"/>
        <n v="8918.65"/>
        <n v="11908.51"/>
        <n v="13498.63"/>
        <n v="485.67"/>
        <n v="12643.03"/>
        <n v="588.83000000000004"/>
        <n v="12475.39"/>
        <n v="11737.86"/>
        <n v="9529.49"/>
        <n v="4529.2700000000004"/>
        <n v="12129.83"/>
        <n v="56695.78"/>
        <n v="5087.74"/>
        <n v="11104.85"/>
        <n v="48155.23"/>
        <n v="13620.45"/>
        <n v="541.11"/>
        <n v="519.76"/>
        <n v="125.95"/>
        <n v="52090.879999999997"/>
        <n v="6162.33"/>
        <n v="595.94000000000005"/>
        <n v="4201.79"/>
        <n v="891.23"/>
        <n v="871.13"/>
        <n v="5332.47"/>
        <n v="5944.8"/>
        <n v="849.72"/>
        <n v="13761.18"/>
        <n v="875.63"/>
        <n v="6149.28"/>
        <n v="14457.62"/>
        <n v="4749.2"/>
        <n v="5509.12"/>
        <n v="8955.19"/>
        <n v="50701"/>
        <n v="13782.32"/>
        <n v="944.08"/>
        <n v="110.16"/>
        <n v="127.32"/>
        <n v="4601.26"/>
        <n v="872.92"/>
        <n v="8763.7900000000009"/>
        <n v="11029.12"/>
        <n v="8404.67"/>
        <n v="3919.06"/>
        <n v="4248.7"/>
        <n v="560.36"/>
        <n v="50402.04"/>
        <n v="4743.42"/>
        <n v="47351.98"/>
        <n v="49764.74"/>
        <n v="9311.48"/>
        <n v="11835.82"/>
        <n v="4259.18"/>
        <n v="12576.36"/>
        <n v="53402.49"/>
        <n v="817.7"/>
        <n v="47932.03"/>
        <n v="950.96"/>
        <n v="53376.59"/>
        <n v="5076.3599999999997"/>
        <n v="4766.3500000000004"/>
        <n v="8843.7800000000007"/>
        <n v="908.42"/>
        <n v="11935.72"/>
        <n v="971.78"/>
        <n v="12656.61"/>
        <n v="3861.59"/>
        <n v="54343.95"/>
        <n v="12232.19"/>
        <n v="993.1"/>
        <n v="549.16999999999996"/>
        <n v="46672.94"/>
        <n v="14945.55"/>
        <n v="893.41"/>
        <n v="5408.96"/>
        <n v="913.82"/>
        <n v="112.76"/>
        <n v="8928.8799999999992"/>
        <n v="14733.97"/>
        <n v="113.56"/>
        <n v="12824.93"/>
        <n v="545.19000000000005"/>
        <n v="46360.66"/>
        <n v="4948.3999999999996"/>
        <n v="6270.68"/>
        <n v="58324.03"/>
        <n v="4076.21"/>
        <n v="124.57"/>
        <n v="868.39"/>
        <n v="549.02"/>
        <n v="8131.62"/>
        <n v="43870.74"/>
        <n v="56733.8"/>
        <n v="12660.8"/>
        <n v="860.39"/>
        <n v="1022.28"/>
        <n v="13652.12"/>
        <n v="8300.5"/>
        <n v="4133.92"/>
        <n v="4969.1000000000004"/>
        <n v="12823.39"/>
        <n v="7736.37"/>
        <n v="10412.5"/>
        <n v="533.71"/>
        <n v="5135.6499999999996"/>
        <n v="46279.07"/>
        <n v="14317.3"/>
        <n v="854.61"/>
        <n v="11706.32"/>
        <n v="947.62"/>
        <n v="47766.16"/>
        <n v="15003.65"/>
        <n v="13040.41"/>
        <n v="15554.12"/>
        <n v="42543.67"/>
        <n v="12164.82"/>
        <n v="1011.44"/>
        <n v="574.03"/>
        <n v="6167.84"/>
        <n v="9176.39"/>
        <n v="9067.48"/>
        <n v="15124.47"/>
        <n v="131.12"/>
        <n v="4877.32"/>
        <n v="541.47"/>
        <n v="13869.09"/>
        <n v="8280.84"/>
        <n v="956.69"/>
        <n v="581.1"/>
        <n v="12836.58"/>
        <n v="6545.06"/>
        <n v="555.53"/>
        <n v="15676.75"/>
        <n v="890.34"/>
        <n v="5787.87"/>
        <n v="11757.02"/>
        <n v="12471.9"/>
        <n v="7919.71"/>
        <n v="874.68"/>
        <n v="489.69"/>
        <n v="619.28"/>
        <n v="4054.53"/>
        <n v="563.78"/>
        <n v="5181.76"/>
        <n v="54839.86"/>
        <n v="12669.16"/>
        <n v="44754.62"/>
        <n v="6625.83"/>
        <n v="11455.83"/>
        <n v="111.66"/>
        <n v="46439.13"/>
        <n v="477.21"/>
        <n v="44316.76"/>
        <n v="113.96"/>
        <n v="7646.45"/>
        <n v="8900.64"/>
        <n v="5426.01"/>
        <n v="536.79"/>
        <n v="11291.67"/>
        <n v="13037.75"/>
        <n v="11302.64"/>
        <n v="4295.22"/>
        <n v="55035.49"/>
        <n v="12818.68"/>
        <n v="8520.52"/>
        <n v="4772.38"/>
        <n v="4905.93"/>
        <n v="564.20000000000005"/>
        <n v="8163.6"/>
        <n v="5234.57"/>
        <n v="13824.3"/>
        <n v="885.12"/>
        <n v="12905.48"/>
        <n v="530.52"/>
        <n v="121.09"/>
        <n v="50065.56"/>
        <n v="4028.62"/>
        <n v="13164.57"/>
        <n v="4270.32"/>
        <n v="8861.1299999999992"/>
        <n v="10609.04"/>
        <n v="13149.1"/>
        <n v="113.57"/>
        <n v="535.63"/>
        <n v="561.91"/>
        <n v="11426.78"/>
        <n v="4621.78"/>
        <n v="46450.37"/>
        <n v="567.51"/>
        <n v="4574.2299999999996"/>
        <n v="12257.22"/>
        <n v="508"/>
        <n v="4098.0600000000004"/>
        <n v="8505.94"/>
        <n v="50636.89"/>
        <n v="45253.1"/>
        <n v="594.63"/>
        <n v="523.38"/>
        <n v="10695.72"/>
        <n v="47069.56"/>
        <n v="114.38"/>
        <n v="537.49"/>
        <n v="4284.08"/>
        <n v="45767.91"/>
        <n v="47650.37"/>
        <n v="8226.49"/>
        <n v="16097.9"/>
        <n v="13841.83"/>
        <n v="4735.7299999999996"/>
        <n v="574.11"/>
        <n v="133.25"/>
        <n v="13695.43"/>
        <n v="6754.56"/>
        <n v="990.94"/>
        <n v="52375.95"/>
        <n v="8726.2999999999993"/>
        <n v="820.59"/>
        <n v="12923.2"/>
        <n v="130.28"/>
        <n v="12187.9"/>
        <n v="880.65"/>
        <n v="5160.07"/>
        <n v="14873.04"/>
        <n v="54660.35"/>
        <n v="4516.3100000000004"/>
        <n v="504.1"/>
        <n v="502.58"/>
        <n v="789.15"/>
        <n v="843.24"/>
        <n v="7922.7"/>
        <n v="11059.8"/>
        <n v="11253.49"/>
        <n v="5665.19"/>
        <n v="8703.16"/>
        <n v="4914.4799999999996"/>
        <n v="6630.75"/>
        <n v="55037.440000000002"/>
        <n v="125.28"/>
        <n v="50251.56"/>
        <n v="6301.2"/>
        <n v="578.25"/>
        <n v="611.07000000000005"/>
        <n v="4204.38"/>
        <n v="50534.99"/>
        <n v="8596.61"/>
        <n v="541.19000000000005"/>
        <n v="12308.88"/>
        <n v="3966.49"/>
        <n v="15134.8"/>
        <n v="6150.7"/>
        <n v="12042.91"/>
        <n v="6398.89"/>
        <n v="122"/>
        <n v="850.88"/>
        <n v="12810.3"/>
        <n v="624.09"/>
        <n v="625.07000000000005"/>
        <n v="9277.7000000000007"/>
        <n v="6598.33"/>
        <n v="8518.02"/>
        <n v="44608.36"/>
        <n v="881.85"/>
        <n v="44513.39"/>
        <n v="48412.38"/>
        <n v="13427.11"/>
        <n v="12075"/>
        <n v="9059.17"/>
        <n v="823.08"/>
        <n v="5130.1400000000003"/>
        <n v="116.56"/>
        <n v="483.63"/>
        <n v="14708.08"/>
        <n v="4055.28"/>
        <n v="52602.63"/>
        <n v="119.26"/>
        <n v="120.79"/>
        <n v="44377.120000000003"/>
        <n v="8973.35"/>
        <n v="12086.72"/>
        <n v="11126.34"/>
        <n v="504.13"/>
        <n v="11693.64"/>
        <n v="8935.58"/>
        <n v="13408.76"/>
        <n v="13591.91"/>
        <n v="8009.83"/>
        <n v="6152.6"/>
        <n v="593.28"/>
        <n v="8378.1299999999992"/>
        <n v="8423.0499999999993"/>
        <n v="5354.45"/>
        <n v="4900.75"/>
        <n v="118.13"/>
        <n v="49741.29"/>
        <n v="15017.5"/>
        <n v="819.95"/>
        <n v="112.98"/>
        <n v="582.75"/>
        <n v="7903.32"/>
        <n v="5363.92"/>
        <n v="12754.51"/>
        <n v="46619.17"/>
        <n v="5492.95"/>
        <n v="12780.15"/>
        <n v="946.14"/>
        <n v="6312.47"/>
        <n v="113.97"/>
        <n v="48424.74"/>
        <n v="15049.06"/>
        <n v="15709.36"/>
        <n v="581.79999999999995"/>
        <n v="11555.06"/>
        <n v="544.70000000000005"/>
        <n v="5284.57"/>
        <n v="576.23"/>
        <n v="54784.18"/>
        <n v="11922.3"/>
        <n v="8369.92"/>
        <n v="127.64"/>
        <n v="530.44000000000005"/>
        <n v="4160.49"/>
        <n v="5256.01"/>
        <n v="596.34"/>
        <n v="546.73"/>
        <n v="12519.86"/>
        <n v="53152.09"/>
        <n v="871.57"/>
        <n v="8519.24"/>
        <n v="979.88"/>
        <n v="12816.67"/>
        <n v="968.3"/>
        <n v="14995.41"/>
        <n v="888.49"/>
        <n v="46367.79"/>
        <n v="4491.9799999999996"/>
        <n v="8265.84"/>
        <n v="48113.46"/>
        <n v="894.96"/>
        <n v="13819.1"/>
        <n v="13683.26"/>
        <n v="14652.51"/>
        <n v="5832.67"/>
        <n v="12756.04"/>
        <n v="12077.73"/>
        <n v="4187.8500000000004"/>
        <n v="805.15"/>
        <n v="57051.02"/>
        <n v="12400.48"/>
        <n v="906.99"/>
        <n v="47690.720000000001"/>
        <n v="8922.48"/>
        <n v="11497.69"/>
        <n v="116.36"/>
        <n v="16310.33"/>
        <n v="15630.88"/>
        <n v="12565.53"/>
        <n v="15964.22"/>
        <n v="54994.89"/>
        <n v="8490.2800000000007"/>
        <n v="118.53"/>
        <n v="8054.61"/>
        <n v="555.66999999999996"/>
        <n v="529.9"/>
        <n v="45722.65"/>
        <n v="4634.01"/>
        <n v="10999.43"/>
        <n v="11191.99"/>
        <n v="11436.65"/>
        <n v="535.13"/>
        <n v="910.49"/>
        <n v="11224.82"/>
        <n v="59335.34"/>
        <n v="46690.13"/>
        <n v="4526.9399999999996"/>
        <n v="13844.6"/>
        <n v="922.63"/>
        <n v="8971.6299999999992"/>
        <n v="112.72"/>
        <n v="8279.14"/>
        <n v="109.9"/>
        <n v="13921.79"/>
        <n v="6004.2"/>
        <n v="15767.76"/>
        <n v="4613.09"/>
        <n v="9728.81"/>
        <n v="4082.4"/>
        <n v="12595.89"/>
        <n v="14731.92"/>
        <n v="52341.61"/>
        <n v="889.44"/>
        <n v="497.21"/>
        <n v="520.97"/>
        <n v="50348.77"/>
        <n v="910.03"/>
        <n v="14169.78"/>
        <n v="7879.69"/>
        <n v="6847.32"/>
        <n v="8680.65"/>
        <n v="13058.85"/>
        <n v="4235.28"/>
        <n v="12080.12"/>
        <n v="13051.28"/>
        <n v="885.61"/>
        <n v="906.35"/>
        <n v="46998.22"/>
        <n v="13132.24"/>
        <n v="13802.36"/>
        <n v="45926.79"/>
        <n v="567.19000000000005"/>
        <n v="13847.77"/>
        <n v="953.94"/>
        <n v="4109.24"/>
        <n v="7547.64"/>
        <n v="8553.58"/>
        <n v="47241.26"/>
        <n v="6310.26"/>
        <n v="13723.74"/>
        <n v="5782.3"/>
        <n v="12573.45"/>
        <n v="4038.45"/>
        <n v="849.82"/>
        <n v="4362.32"/>
        <n v="4976.5200000000004"/>
        <n v="560.66999999999996"/>
        <n v="47072.800000000003"/>
        <n v="13024.65"/>
        <n v="8223.15"/>
        <n v="123.21"/>
        <n v="11196.2"/>
        <n v="8791.82"/>
        <n v="4300.6400000000003"/>
        <n v="11922.61"/>
        <n v="7571.8"/>
        <n v="49903.76"/>
        <n v="54300.77"/>
        <n v="14374.04"/>
        <n v="873.5"/>
        <n v="4964.09"/>
        <n v="7918.24"/>
        <n v="4236.41"/>
        <n v="4632.67"/>
        <n v="6602.66"/>
        <n v="958.19"/>
        <n v="12546.8"/>
        <n v="6075.02"/>
        <n v="3848.63"/>
        <n v="4645.88"/>
        <n v="6263.33"/>
        <n v="8976.1299999999992"/>
        <n v="547"/>
        <n v="5715.41"/>
        <n v="13321.5"/>
        <n v="14190.76"/>
        <n v="13748.77"/>
        <n v="4965.3100000000004"/>
        <n v="12838.7"/>
        <n v="11779.82"/>
        <n v="56695.6"/>
        <n v="594.6"/>
        <n v="8881.18"/>
        <n v="6429.73"/>
        <n v="8170.53"/>
        <n v="50519.4"/>
        <n v="5390.64"/>
        <n v="13856.44"/>
        <n v="4767.91"/>
        <n v="8204.15"/>
        <n v="5271.24"/>
        <n v="53060.68"/>
        <n v="4001.52"/>
        <n v="6102.98"/>
        <n v="16054.74"/>
        <n v="11809.13"/>
        <n v="4247.84"/>
        <n v="12499.08"/>
        <n v="9159.82"/>
        <n v="582.23"/>
        <n v="5017.42"/>
        <n v="52492.82"/>
        <n v="119.96"/>
        <n v="115.56"/>
        <n v="11240.53"/>
        <n v="6740.77"/>
        <n v="829.68"/>
        <n v="11942.2"/>
        <n v="5347.06"/>
        <n v="54662.33"/>
        <n v="3955.19"/>
        <n v="11902.88"/>
        <n v="105.15"/>
        <n v="8205.14"/>
        <n v="53791.02"/>
        <n v="12623.3"/>
        <n v="525.75"/>
        <n v="583.84"/>
        <n v="4846.5600000000004"/>
        <n v="46592.160000000003"/>
        <n v="12154.81"/>
        <n v="6440.02"/>
        <n v="122.21"/>
        <n v="884.43"/>
        <n v="553.32000000000005"/>
        <n v="11913.68"/>
        <n v="114.09"/>
        <n v="7096.16"/>
        <n v="12870.69"/>
        <n v="9139.77"/>
        <n v="49925.89"/>
        <n v="11295.85"/>
        <n v="4962.42"/>
        <n v="14700.41"/>
        <n v="7043.46"/>
        <n v="6156.18"/>
        <n v="13681.79"/>
        <n v="53050.62"/>
        <n v="49170.48"/>
        <n v="607.87"/>
        <n v="13187.08"/>
        <n v="6235.45"/>
        <n v="14078.88"/>
        <n v="11251.97"/>
        <n v="7983.87"/>
        <n v="4882.1000000000004"/>
        <n v="568.1"/>
        <n v="5806.25"/>
        <n v="8094.67"/>
        <n v="8495.26"/>
        <n v="52876.39"/>
        <n v="4296.59"/>
        <n v="113.05"/>
        <n v="4779.53"/>
        <n v="7678.83"/>
        <n v="6066.49"/>
        <n v="5732.56"/>
        <n v="12577.36"/>
        <n v="114.66"/>
        <n v="5886.33"/>
        <n v="3796.2"/>
        <n v="11341.83"/>
        <n v="4992.68"/>
        <n v="884.37"/>
        <n v="52581.8"/>
        <n v="14120.54"/>
        <n v="4445.3500000000004"/>
        <n v="49302.35"/>
        <n v="8268.16"/>
        <n v="12357.35"/>
        <n v="45078.91"/>
        <n v="7142.22"/>
        <n v="824.28"/>
        <n v="53228.160000000003"/>
        <n v="3929.16"/>
        <n v="127.14"/>
        <n v="13241.31"/>
        <n v="13241.38"/>
        <n v="13421.24"/>
        <n v="5528.25"/>
        <n v="12618.98"/>
        <n v="113.86"/>
        <n v="113.84"/>
        <n v="4052.54"/>
        <n v="50891.64"/>
        <n v="4846.87"/>
        <n v="537.96"/>
        <n v="49534.2"/>
        <n v="15108.88"/>
        <n v="121.56"/>
        <n v="7853.54"/>
        <n v="14561.08"/>
        <n v="11803.31"/>
        <n v="8500.41"/>
        <n v="43423.02"/>
        <n v="3900.57"/>
        <n v="131.82"/>
        <n v="113.02"/>
        <n v="4251.7299999999996"/>
        <n v="104.01"/>
        <n v="8461.73"/>
        <n v="12576.19"/>
        <n v="8193.0300000000007"/>
        <n v="9075.49"/>
        <n v="4678.22"/>
        <n v="4287.95"/>
        <n v="6100.98"/>
        <n v="12702.84"/>
        <n v="3956.26"/>
        <n v="3797.82"/>
        <n v="482.05"/>
        <n v="860.49"/>
        <n v="813.41"/>
        <n v="6772.92"/>
        <n v="47175.11"/>
        <n v="11685.17"/>
        <n v="4523.28"/>
        <n v="4392.87"/>
        <n v="129.83000000000001"/>
        <n v="828.76"/>
        <n v="4491.22"/>
        <n v="4292.3900000000003"/>
        <n v="11864.6"/>
        <n v="127.9"/>
        <n v="3826.86"/>
        <n v="966.12"/>
        <n v="8712.2000000000007"/>
        <n v="115.17"/>
        <n v="48998.5"/>
        <n v="4153.5200000000004"/>
        <n v="594.82000000000005"/>
        <n v="6500.92"/>
        <n v="12891.57"/>
        <n v="501.07"/>
        <n v="601.72"/>
        <n v="568.19000000000005"/>
        <n v="8972.74"/>
        <n v="12528.52"/>
        <n v="6276.67"/>
        <n v="15433.4"/>
        <n v="11090.36"/>
        <n v="935.67"/>
        <n v="47867.26"/>
        <n v="11903.81"/>
        <n v="3715.34"/>
        <n v="3991.91"/>
        <n v="3954.48"/>
        <n v="52182.13"/>
        <n v="4622.51"/>
        <n v="858.55"/>
        <n v="7479.25"/>
        <n v="4313.7299999999996"/>
        <n v="13290.28"/>
        <n v="519.12"/>
        <n v="4230.92"/>
        <n v="12947.39"/>
        <n v="49527.77"/>
        <n v="57382.54"/>
        <n v="12946.95"/>
        <n v="8773.1"/>
        <n v="50848.76"/>
        <n v="15432.06"/>
        <n v="3942.42"/>
        <n v="6565.16"/>
        <n v="958.3"/>
        <n v="132.12"/>
        <n v="5762.54"/>
        <n v="11044.26"/>
        <n v="11247.36"/>
        <n v="11694.15"/>
        <n v="12942.91"/>
        <n v="46758.48"/>
        <n v="11329.31"/>
        <n v="529.94000000000005"/>
        <n v="11144.43"/>
        <n v="49210.01"/>
        <n v="4987.1400000000003"/>
        <n v="14619.58"/>
        <n v="41597.019999999997"/>
        <n v="11538.16"/>
        <n v="9438.2000000000007"/>
        <n v="134.94"/>
        <n v="12730.92"/>
        <n v="10847.33"/>
        <n v="115.67"/>
        <n v="11418.22"/>
        <n v="4533.7700000000004"/>
        <n v="4982.5200000000004"/>
        <n v="4468.97"/>
        <n v="46340.04"/>
        <n v="5734.32"/>
        <n v="12851.29"/>
        <n v="5113.51"/>
        <n v="4759.13"/>
        <n v="45371.78"/>
        <n v="15417.48"/>
        <n v="114.5"/>
        <n v="11979.55"/>
        <n v="5075.6499999999996"/>
        <n v="47771.56"/>
        <n v="561.47"/>
        <n v="50419.01"/>
        <n v="12206.83"/>
        <n v="54979.59"/>
        <n v="49965.38"/>
        <n v="4505.37"/>
        <n v="11808.74"/>
        <n v="45193.38"/>
        <n v="12973.32"/>
        <n v="45871.8"/>
        <n v="6287.41"/>
        <n v="8631.74"/>
        <n v="862.64"/>
        <n v="4400.26"/>
        <n v="545.44000000000005"/>
        <n v="900.73"/>
        <n v="55812.959999999999"/>
        <n v="12597.33"/>
        <n v="4028.83"/>
        <n v="12112.29"/>
        <n v="511.36"/>
        <n v="13711.26"/>
        <n v="855.89"/>
        <n v="11873.15"/>
        <n v="12038.96"/>
        <n v="968.69"/>
        <n v="892.98"/>
        <n v="14006.51"/>
        <n v="109.79"/>
        <n v="6214.66"/>
        <n v="12687.56"/>
        <n v="880.24"/>
        <n v="52216.12"/>
        <n v="5702.62"/>
        <n v="14112.54"/>
        <n v="15279.88"/>
        <n v="575.86"/>
        <n v="535.72"/>
        <n v="51463.39"/>
        <n v="12698.9"/>
        <n v="588.41999999999996"/>
        <n v="932.17"/>
        <n v="49212.85"/>
        <n v="525.21"/>
        <n v="869.04"/>
        <n v="925.56"/>
        <n v="13722.43"/>
        <n v="907.68"/>
        <n v="11917.59"/>
        <n v="568.29999999999995"/>
        <n v="50735.71"/>
        <n v="55151.8"/>
        <n v="862.7"/>
        <n v="16065.43"/>
        <n v="8895.9599999999991"/>
        <n v="975.56"/>
        <n v="11212.51"/>
        <n v="15479.03"/>
        <n v="12439.73"/>
        <n v="959.24"/>
        <n v="11370.62"/>
        <n v="51793.599999999999"/>
        <n v="48253.55"/>
        <n v="43366.1"/>
        <n v="11686.51"/>
        <n v="9389.4500000000007"/>
        <n v="12603.18"/>
        <n v="8182.47"/>
        <n v="871.39"/>
        <n v="887.1"/>
        <n v="7755.77"/>
        <n v="12144.14"/>
        <n v="15155.05"/>
        <n v="889.79"/>
        <n v="526.04999999999995"/>
        <n v="6444.22"/>
        <n v="6136.72"/>
        <n v="116.38"/>
        <n v="4981.8"/>
        <n v="4785.95"/>
        <n v="4793.79"/>
        <n v="9234.7099999999991"/>
        <n v="9176.09"/>
        <n v="15869.81"/>
        <n v="56149.919999999998"/>
        <n v="53760.89"/>
        <n v="6322.52"/>
        <n v="827.76"/>
        <n v="49795.839999999997"/>
        <n v="3948.48"/>
        <n v="549.71"/>
        <n v="991.04"/>
        <n v="12109.14"/>
        <n v="4928.51"/>
        <n v="53082"/>
        <n v="53862.33"/>
        <n v="45446.68"/>
        <n v="47342.16"/>
        <n v="51441.9"/>
        <n v="574.67999999999995"/>
        <n v="986.74"/>
        <n v="8736.51"/>
        <n v="6815.97"/>
        <n v="11911.31"/>
        <n v="4353.2700000000004"/>
        <n v="123.67"/>
        <n v="8408.18"/>
        <n v="115.36"/>
        <n v="45214.33"/>
        <n v="5488.43"/>
        <n v="4351.62"/>
        <n v="127.98"/>
        <n v="14406.81"/>
        <n v="16031.81"/>
        <n v="51658.61"/>
        <n v="15273.83"/>
        <n v="6499.61"/>
        <n v="45711.05"/>
        <n v="4128.09"/>
        <n v="11693.35"/>
        <n v="913.71"/>
        <n v="12696.37"/>
        <n v="6704.96"/>
        <n v="3876.85"/>
        <n v="6249.68"/>
        <n v="11059.93"/>
        <n v="513.82000000000005"/>
        <n v="6839.24"/>
        <n v="46700.32"/>
        <n v="12170.14"/>
        <n v="4230"/>
        <n v="126.55"/>
        <n v="6836.66"/>
        <n v="4957.0600000000004"/>
        <n v="847.08"/>
        <n v="478.54"/>
        <n v="15660.79"/>
        <n v="974.84"/>
        <n v="13297.35"/>
        <n v="14245.8"/>
        <n v="45925.3"/>
        <n v="13459.44"/>
        <n v="15751.52"/>
        <n v="4066.42"/>
        <n v="543.69000000000005"/>
        <n v="132.81"/>
        <n v="936.56"/>
        <n v="13366.77"/>
        <n v="46636.5"/>
        <n v="4132.97"/>
        <n v="5827.04"/>
        <n v="12418.17"/>
        <n v="12659.6"/>
        <n v="117.81"/>
        <n v="4803.4399999999996"/>
        <n v="132.68"/>
        <n v="13078.57"/>
        <n v="4631.8"/>
        <n v="5259.86"/>
        <n v="128.85"/>
        <n v="124.97"/>
        <n v="8876.17"/>
        <n v="13917.87"/>
        <n v="869.02"/>
        <n v="51302.67"/>
        <n v="922.17"/>
        <n v="575.48"/>
        <n v="15901.48"/>
        <n v="5374.55"/>
        <n v="48086.52"/>
        <n v="510.45"/>
        <n v="109.46"/>
        <n v="5148.1499999999996"/>
        <n v="842.34"/>
        <n v="886.48"/>
        <n v="873.75"/>
        <n v="5303.95"/>
        <n v="998.42"/>
        <n v="49271.95"/>
        <n v="15196.44"/>
        <n v="541.71"/>
        <n v="6805.83"/>
        <n v="11210.05"/>
        <n v="11426.65"/>
        <n v="6630.59"/>
        <n v="3940.87"/>
        <n v="7559.42"/>
        <n v="525.29"/>
        <n v="48481.27"/>
        <n v="541.23"/>
        <n v="12664"/>
        <n v="544.89"/>
        <n v="47213.06"/>
        <n v="4157.8"/>
        <n v="3994.94"/>
        <n v="979.43"/>
        <n v="12908.37"/>
        <n v="6158.94"/>
        <n v="5140.74"/>
        <n v="50252.66"/>
        <n v="14283.58"/>
        <n v="128.07"/>
        <n v="3855.66"/>
      </sharedItems>
    </cacheField>
    <cacheField name="Negotiated_Cost" numFmtId="0">
      <sharedItems containsString="0" containsBlank="1" containsNumber="1" minValue="99.07" maxValue="58574.53"/>
    </cacheField>
    <cacheField name="Defective_Units" numFmtId="0">
      <sharedItems containsSemiMixedTypes="0" containsString="0" containsNumber="1" containsInteger="1" minValue="0" maxValue="16"/>
    </cacheField>
    <cacheField name="Compliance" numFmtId="0">
      <sharedItems count="2">
        <s v="Compliant"/>
        <s v="Non-Compliant"/>
      </sharedItems>
    </cacheField>
    <cacheField name="Delivery_Days" numFmtId="0">
      <sharedItems containsMixedTypes="1" containsNumber="1" containsInteger="1" minValue="2" maxValue="30"/>
    </cacheField>
    <cacheField name="Total Spend" numFmtId="0">
      <sharedItems containsSemiMixedTypes="0" containsString="0" containsNumber="1" minValue="0.13000000000010914" maxValue="14873.04"/>
    </cacheField>
    <cacheField name="Defect Rate" numFmtId="10">
      <sharedItems containsSemiMixedTypes="0" containsString="0" containsNumber="1" minValue="0" maxValue="0.4"/>
    </cacheField>
    <cacheField name="Price_Saving %" numFmtId="10">
      <sharedItems containsSemiMixedTypes="0" containsString="0" containsNumber="1" minValue="1.9689034419477777E-5" maxValue="1"/>
    </cacheField>
    <cacheField name="Months (Order_Date)" numFmtId="0" databaseField="0">
      <fieldGroup base="3">
        <rangePr groupBy="months" startDate="2023-01-01T00:00:00" endDate="2024-12-31T00:00:00"/>
        <groupItems count="14">
          <s v="&lt;01-01-2023"/>
          <s v="Jan"/>
          <s v="Feb"/>
          <s v="Mar"/>
          <s v="Apr"/>
          <s v="May"/>
          <s v="Jun"/>
          <s v="Jul"/>
          <s v="Aug"/>
          <s v="Sep"/>
          <s v="Oct"/>
          <s v="Nov"/>
          <s v="Dec"/>
          <s v="&gt;31-12-2024"/>
        </groupItems>
      </fieldGroup>
    </cacheField>
    <cacheField name="Years (Order_Date)" numFmtId="0" databaseField="0">
      <fieldGroup base="3">
        <rangePr groupBy="years" startDate="2023-01-01T00:00:00" endDate="2024-12-31T00:00:00"/>
        <groupItems count="4">
          <s v="&lt;01-01-2023"/>
          <s v="2023"/>
          <s v="2024"/>
          <s v="&gt;31-12-2024"/>
        </groupItems>
      </fieldGroup>
    </cacheField>
  </cacheFields>
  <extLst>
    <ext xmlns:x14="http://schemas.microsoft.com/office/spreadsheetml/2009/9/main" uri="{725AE2AE-9491-48be-B2B4-4EB974FC3084}">
      <x14:pivotCacheDefinition pivotCacheId="6899231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PO-00001"/>
    <x v="0"/>
    <x v="0"/>
    <x v="0"/>
    <d v="2023-10-25T00:00:00"/>
    <x v="0"/>
    <n v="111"/>
    <x v="0"/>
    <n v="4447.76"/>
    <n v="1"/>
    <x v="0"/>
    <n v="27"/>
    <n v="110.25"/>
    <n v="9.0090090090090089E-3"/>
    <n v="2.418818738879467E-2"/>
  </r>
  <r>
    <s v="PO-00002"/>
    <x v="1"/>
    <x v="1"/>
    <x v="1"/>
    <d v="2024-10-30T00:00:00"/>
    <x v="0"/>
    <n v="313"/>
    <x v="1"/>
    <n v="5111.72"/>
    <n v="7"/>
    <x v="0"/>
    <n v="7"/>
    <n v="51.909999999999854"/>
    <n v="2.2364217252396165E-2"/>
    <n v="1.0053005347013604E-2"/>
  </r>
  <r>
    <s v="PO-00003"/>
    <x v="2"/>
    <x v="2"/>
    <x v="2"/>
    <s v="Not Yet Delivered"/>
    <x v="1"/>
    <n v="479"/>
    <x v="2"/>
    <n v="110.72"/>
    <n v="2"/>
    <x v="0"/>
    <s v="Not Applicable"/>
    <n v="6.0300000000000011"/>
    <n v="4.1753653444676405E-3"/>
    <n v="5.1648822269807292E-2"/>
  </r>
  <r>
    <s v="PO-00004"/>
    <x v="0"/>
    <x v="3"/>
    <x v="3"/>
    <d v="2024-08-09T00:00:00"/>
    <x v="0"/>
    <n v="248"/>
    <x v="3"/>
    <n v="12511.3"/>
    <n v="0"/>
    <x v="1"/>
    <n v="20"/>
    <n v="759.25"/>
    <n v="0"/>
    <n v="5.7213152431511885E-2"/>
  </r>
  <r>
    <s v="PO-00005"/>
    <x v="3"/>
    <x v="4"/>
    <x v="4"/>
    <d v="2024-01-10T00:00:00"/>
    <x v="0"/>
    <n v="57"/>
    <x v="4"/>
    <n v="45221.39"/>
    <n v="0"/>
    <x v="0"/>
    <n v="29"/>
    <n v="2157.5599999999977"/>
    <n v="0"/>
    <n v="4.5538366721930262E-2"/>
  </r>
  <r>
    <s v="PO-00006"/>
    <x v="3"/>
    <x v="5"/>
    <x v="5"/>
    <d v="2024-01-28T00:00:00"/>
    <x v="0"/>
    <n v="6"/>
    <x v="5"/>
    <n v="866.53"/>
    <n v="0"/>
    <x v="1"/>
    <n v="5"/>
    <n v="43.230000000000018"/>
    <n v="0"/>
    <n v="4.7518026732325032E-2"/>
  </r>
  <r>
    <s v="PO-00007"/>
    <x v="4"/>
    <x v="5"/>
    <x v="0"/>
    <s v="Not Yet Delivered"/>
    <x v="2"/>
    <n v="460"/>
    <x v="6"/>
    <n v="810.99"/>
    <n v="2"/>
    <x v="0"/>
    <s v="Not Applicable"/>
    <n v="24.009999999999991"/>
    <n v="4.3478260869565218E-3"/>
    <n v="2.8754491017964061E-2"/>
  </r>
  <r>
    <s v="PO-00008"/>
    <x v="5"/>
    <x v="6"/>
    <x v="6"/>
    <d v="2023-09-04T00:00:00"/>
    <x v="3"/>
    <n v="256"/>
    <x v="7"/>
    <n v="532.86"/>
    <n v="3"/>
    <x v="0"/>
    <n v="30"/>
    <n v="24.199999999999932"/>
    <n v="1.171875E-2"/>
    <n v="4.344235809428057E-2"/>
  </r>
  <r>
    <s v="PO-00009"/>
    <x v="5"/>
    <x v="2"/>
    <x v="7"/>
    <d v="2024-04-20T00:00:00"/>
    <x v="3"/>
    <n v="67"/>
    <x v="8"/>
    <n v="122.35"/>
    <n v="2"/>
    <x v="0"/>
    <n v="4"/>
    <n v="2.1900000000000119"/>
    <n v="2.9850746268656716E-2"/>
    <n v="1.7584711739200353E-2"/>
  </r>
  <r>
    <s v="PO-00010"/>
    <x v="6"/>
    <x v="2"/>
    <x v="8"/>
    <d v="2023-08-13T00:00:00"/>
    <x v="0"/>
    <n v="332"/>
    <x v="9"/>
    <n v="121.82"/>
    <n v="3"/>
    <x v="0"/>
    <n v="24"/>
    <n v="6.9900000000000091"/>
    <n v="9.0361445783132526E-3"/>
    <n v="5.4265973138731535E-2"/>
  </r>
  <r>
    <s v="PO-00011"/>
    <x v="1"/>
    <x v="7"/>
    <x v="9"/>
    <d v="2024-10-01T00:00:00"/>
    <x v="0"/>
    <n v="435"/>
    <x v="10"/>
    <n v="11402.61"/>
    <n v="0"/>
    <x v="0"/>
    <n v="27"/>
    <n v="166.03999999999905"/>
    <n v="0"/>
    <n v="1.4352582194119371E-2"/>
  </r>
  <r>
    <s v="PO-00012"/>
    <x v="3"/>
    <x v="8"/>
    <x v="10"/>
    <d v="2024-04-26T00:00:00"/>
    <x v="0"/>
    <n v="183"/>
    <x v="11"/>
    <n v="8004"/>
    <n v="1"/>
    <x v="0"/>
    <n v="21"/>
    <n v="178.5"/>
    <n v="5.4644808743169399E-3"/>
    <n v="2.1814848762603117E-2"/>
  </r>
  <r>
    <s v="PO-00013"/>
    <x v="7"/>
    <x v="7"/>
    <x v="11"/>
    <s v="Not Yet Delivered"/>
    <x v="2"/>
    <n v="17"/>
    <x v="12"/>
    <n v="10796.37"/>
    <n v="2"/>
    <x v="0"/>
    <s v="Not Applicable"/>
    <n v="480.56999999999971"/>
    <n v="0.11764705882352941"/>
    <n v="4.2615283933407438E-2"/>
  </r>
  <r>
    <s v="PO-00014"/>
    <x v="7"/>
    <x v="9"/>
    <x v="12"/>
    <d v="2024-10-19T00:00:00"/>
    <x v="0"/>
    <n v="288"/>
    <x v="13"/>
    <n v="6343.99"/>
    <n v="0"/>
    <x v="0"/>
    <n v="12"/>
    <n v="325.51000000000022"/>
    <n v="0"/>
    <n v="4.8805757553039994E-2"/>
  </r>
  <r>
    <s v="PO-00015"/>
    <x v="2"/>
    <x v="10"/>
    <x v="13"/>
    <d v="2023-10-14T00:00:00"/>
    <x v="0"/>
    <n v="450"/>
    <x v="14"/>
    <n v="45104.959999999999"/>
    <n v="4"/>
    <x v="0"/>
    <n v="4"/>
    <n v="1822.9599999999991"/>
    <n v="8.8888888888888889E-3"/>
    <n v="3.8845957800814505E-2"/>
  </r>
  <r>
    <s v="PO-00016"/>
    <x v="3"/>
    <x v="3"/>
    <x v="14"/>
    <d v="2024-12-09T00:00:00"/>
    <x v="0"/>
    <n v="156"/>
    <x v="15"/>
    <n v="12882.38"/>
    <n v="4"/>
    <x v="1"/>
    <n v="25"/>
    <n v="545.27000000000044"/>
    <n v="2.564102564102564E-2"/>
    <n v="4.0607999165900244E-2"/>
  </r>
  <r>
    <s v="PO-00017"/>
    <x v="3"/>
    <x v="0"/>
    <x v="15"/>
    <d v="2024-02-19T00:00:00"/>
    <x v="0"/>
    <n v="117"/>
    <x v="16"/>
    <n v="4102.53"/>
    <n v="0"/>
    <x v="0"/>
    <n v="28"/>
    <n v="0.56000000000040018"/>
    <n v="0"/>
    <n v="1.3648250464903285E-4"/>
  </r>
  <r>
    <s v="PO-00018"/>
    <x v="2"/>
    <x v="10"/>
    <x v="16"/>
    <d v="2024-02-14T00:00:00"/>
    <x v="0"/>
    <n v="130"/>
    <x v="17"/>
    <n v="46328.75"/>
    <n v="3"/>
    <x v="0"/>
    <n v="7"/>
    <n v="1464.0299999999988"/>
    <n v="2.3076923076923078E-2"/>
    <n v="3.063286965102258E-2"/>
  </r>
  <r>
    <s v="PO-00019"/>
    <x v="5"/>
    <x v="11"/>
    <x v="17"/>
    <d v="2024-09-18T00:00:00"/>
    <x v="3"/>
    <n v="202"/>
    <x v="18"/>
    <n v="14166.18"/>
    <n v="0"/>
    <x v="0"/>
    <n v="17"/>
    <n v="157.77000000000044"/>
    <n v="0"/>
    <n v="1.1014419905123966E-2"/>
  </r>
  <r>
    <s v="PO-00020"/>
    <x v="0"/>
    <x v="5"/>
    <x v="16"/>
    <d v="2024-02-15T00:00:00"/>
    <x v="0"/>
    <n v="350"/>
    <x v="19"/>
    <n v="902.45"/>
    <n v="4"/>
    <x v="1"/>
    <n v="8"/>
    <n v="43.919999999999959"/>
    <n v="1.1428571428571429E-2"/>
    <n v="4.6408909834419899E-2"/>
  </r>
  <r>
    <s v="PO-00021"/>
    <x v="1"/>
    <x v="10"/>
    <x v="18"/>
    <d v="2024-04-21T00:00:00"/>
    <x v="0"/>
    <n v="438"/>
    <x v="20"/>
    <n v="50993.01"/>
    <n v="5"/>
    <x v="0"/>
    <n v="4"/>
    <n v="378.06999999999971"/>
    <n v="1.1415525114155251E-2"/>
    <n v="7.3595883131131311E-3"/>
  </r>
  <r>
    <s v="PO-00022"/>
    <x v="3"/>
    <x v="10"/>
    <x v="19"/>
    <d v="2023-11-28T00:00:00"/>
    <x v="0"/>
    <n v="258"/>
    <x v="21"/>
    <n v="55236.18"/>
    <n v="2"/>
    <x v="0"/>
    <n v="28"/>
    <n v="332.0199999999968"/>
    <n v="7.7519379844961239E-3"/>
    <n v="5.9750000899794634E-3"/>
  </r>
  <r>
    <s v="PO-00023"/>
    <x v="5"/>
    <x v="5"/>
    <x v="20"/>
    <d v="2023-03-13T00:00:00"/>
    <x v="0"/>
    <n v="124"/>
    <x v="22"/>
    <n v="933.46"/>
    <n v="2"/>
    <x v="0"/>
    <n v="18"/>
    <n v="8.4199999999999591"/>
    <n v="1.6129032258064516E-2"/>
    <n v="8.9395676731642663E-3"/>
  </r>
  <r>
    <s v="PO-00024"/>
    <x v="1"/>
    <x v="9"/>
    <x v="21"/>
    <d v="2023-06-05T00:00:00"/>
    <x v="0"/>
    <n v="353"/>
    <x v="23"/>
    <n v="5703.52"/>
    <n v="3"/>
    <x v="0"/>
    <n v="3"/>
    <n v="248.04999999999927"/>
    <n v="8.4985835694051E-3"/>
    <n v="4.1678078221376758E-2"/>
  </r>
  <r>
    <s v="PO-00025"/>
    <x v="4"/>
    <x v="10"/>
    <x v="22"/>
    <d v="2023-10-12T00:00:00"/>
    <x v="3"/>
    <n v="308"/>
    <x v="24"/>
    <n v="48219.62"/>
    <n v="2"/>
    <x v="0"/>
    <n v="8"/>
    <n v="1035.4399999999951"/>
    <n v="6.4935064935064939E-3"/>
    <n v="2.1022002612523367E-2"/>
  </r>
  <r>
    <s v="PO-00026"/>
    <x v="6"/>
    <x v="11"/>
    <x v="23"/>
    <s v="Not Yet Delivered"/>
    <x v="2"/>
    <n v="242"/>
    <x v="25"/>
    <n v="15808.84"/>
    <n v="2"/>
    <x v="0"/>
    <s v="Not Applicable"/>
    <n v="20.049999999999272"/>
    <n v="8.2644628099173556E-3"/>
    <n v="1.2666712574286177E-3"/>
  </r>
  <r>
    <s v="PO-00027"/>
    <x v="7"/>
    <x v="4"/>
    <x v="24"/>
    <d v="2024-09-29T00:00:00"/>
    <x v="3"/>
    <n v="288"/>
    <x v="26"/>
    <n v="48088.13"/>
    <n v="0"/>
    <x v="0"/>
    <n v="29"/>
    <n v="395.13999999999942"/>
    <n v="0"/>
    <n v="8.1500278343436712E-3"/>
  </r>
  <r>
    <s v="PO-00028"/>
    <x v="0"/>
    <x v="10"/>
    <x v="25"/>
    <d v="2023-08-12T00:00:00"/>
    <x v="3"/>
    <n v="162"/>
    <x v="27"/>
    <n v="57280.04"/>
    <n v="2"/>
    <x v="0"/>
    <n v="4"/>
    <n v="294.09999999999854"/>
    <n v="1.2345679012345678E-2"/>
    <n v="5.1081961450053538E-3"/>
  </r>
  <r>
    <s v="PO-00029"/>
    <x v="0"/>
    <x v="3"/>
    <x v="26"/>
    <d v="2023-04-28T00:00:00"/>
    <x v="0"/>
    <n v="195"/>
    <x v="28"/>
    <n v="12196.67"/>
    <n v="1"/>
    <x v="1"/>
    <n v="2"/>
    <n v="622.29999999999927"/>
    <n v="5.1282051282051282E-3"/>
    <n v="4.8545241934414333E-2"/>
  </r>
  <r>
    <s v="PO-00030"/>
    <x v="1"/>
    <x v="8"/>
    <x v="27"/>
    <d v="2024-12-10T00:00:00"/>
    <x v="0"/>
    <n v="284"/>
    <x v="29"/>
    <n v="7558.76"/>
    <n v="5"/>
    <x v="0"/>
    <n v="24"/>
    <n v="152.14999999999964"/>
    <n v="1.7605633802816902E-2"/>
    <n v="1.9731782630065666E-2"/>
  </r>
  <r>
    <s v="PO-00031"/>
    <x v="2"/>
    <x v="10"/>
    <x v="28"/>
    <d v="2023-09-30T00:00:00"/>
    <x v="3"/>
    <n v="180"/>
    <x v="30"/>
    <n v="48115.96"/>
    <n v="6"/>
    <x v="0"/>
    <n v="27"/>
    <n v="2120.4500000000044"/>
    <n v="3.3333333333333333E-2"/>
    <n v="4.2209425394848163E-2"/>
  </r>
  <r>
    <s v="PO-00032"/>
    <x v="0"/>
    <x v="9"/>
    <x v="29"/>
    <d v="2024-12-02T00:00:00"/>
    <x v="0"/>
    <n v="24"/>
    <x v="31"/>
    <n v="6823.58"/>
    <n v="0"/>
    <x v="0"/>
    <n v="17"/>
    <n v="124.23999999999978"/>
    <n v="0"/>
    <n v="1.7881867981611468E-2"/>
  </r>
  <r>
    <s v="PO-00033"/>
    <x v="6"/>
    <x v="0"/>
    <x v="30"/>
    <d v="2023-03-15T00:00:00"/>
    <x v="0"/>
    <n v="157"/>
    <x v="32"/>
    <n v="4343.49"/>
    <n v="0"/>
    <x v="0"/>
    <n v="23"/>
    <n v="4.7399999999997817"/>
    <n v="0"/>
    <n v="1.0900987298279488E-3"/>
  </r>
  <r>
    <s v="PO-00034"/>
    <x v="1"/>
    <x v="11"/>
    <x v="31"/>
    <s v="Not Yet Delivered"/>
    <x v="1"/>
    <n v="105"/>
    <x v="33"/>
    <n v="13477.78"/>
    <n v="2"/>
    <x v="0"/>
    <s v="Not Applicable"/>
    <n v="188.59999999999854"/>
    <n v="1.9047619047619049E-2"/>
    <n v="1.3800289469486327E-2"/>
  </r>
  <r>
    <s v="PO-00035"/>
    <x v="7"/>
    <x v="11"/>
    <x v="32"/>
    <s v="Not Yet Delivered"/>
    <x v="1"/>
    <n v="51"/>
    <x v="34"/>
    <n v="13938.78"/>
    <n v="2"/>
    <x v="0"/>
    <s v="Not Applicable"/>
    <n v="759.89999999999964"/>
    <n v="3.9215686274509803E-2"/>
    <n v="5.1698519867090079E-2"/>
  </r>
  <r>
    <s v="PO-00036"/>
    <x v="2"/>
    <x v="3"/>
    <x v="33"/>
    <d v="2023-05-27T00:00:00"/>
    <x v="0"/>
    <n v="323"/>
    <x v="35"/>
    <n v="11721.45"/>
    <n v="9"/>
    <x v="0"/>
    <n v="27"/>
    <n v="182.81999999999971"/>
    <n v="2.7863777089783281E-2"/>
    <n v="1.5357514572502111E-2"/>
  </r>
  <r>
    <s v="PO-00037"/>
    <x v="2"/>
    <x v="6"/>
    <x v="34"/>
    <d v="2023-03-22T00:00:00"/>
    <x v="0"/>
    <n v="126"/>
    <x v="36"/>
    <n v="483.46"/>
    <n v="1"/>
    <x v="1"/>
    <n v="23"/>
    <n v="22.770000000000039"/>
    <n v="7.9365079365079361E-3"/>
    <n v="4.4979554747841967E-2"/>
  </r>
  <r>
    <s v="PO-00038"/>
    <x v="5"/>
    <x v="0"/>
    <x v="35"/>
    <d v="2024-04-04T00:00:00"/>
    <x v="0"/>
    <n v="73"/>
    <x v="37"/>
    <n v="4108.09"/>
    <n v="0"/>
    <x v="0"/>
    <n v="13"/>
    <n v="148.22000000000025"/>
    <n v="0"/>
    <n v="3.482359132675962E-2"/>
  </r>
  <r>
    <s v="PO-00039"/>
    <x v="7"/>
    <x v="2"/>
    <x v="36"/>
    <d v="2023-03-01T00:00:00"/>
    <x v="0"/>
    <n v="98"/>
    <x v="38"/>
    <n v="121.67"/>
    <n v="3"/>
    <x v="0"/>
    <n v="13"/>
    <n v="2.2000000000000028"/>
    <n v="3.0612244897959183E-2"/>
    <n v="1.7760555421005915E-2"/>
  </r>
  <r>
    <s v="PO-00040"/>
    <x v="6"/>
    <x v="6"/>
    <x v="37"/>
    <d v="2024-06-16T00:00:00"/>
    <x v="0"/>
    <n v="250"/>
    <x v="39"/>
    <n v="569.04999999999995"/>
    <n v="4"/>
    <x v="0"/>
    <n v="11"/>
    <n v="34.580000000000041"/>
    <n v="1.6E-2"/>
    <n v="5.7286748504878887E-2"/>
  </r>
  <r>
    <s v="PO-00041"/>
    <x v="5"/>
    <x v="5"/>
    <x v="38"/>
    <d v="2023-12-30T00:00:00"/>
    <x v="3"/>
    <n v="251"/>
    <x v="40"/>
    <n v="940.43"/>
    <n v="4"/>
    <x v="0"/>
    <n v="28"/>
    <n v="7.5500000000000682"/>
    <n v="1.5936254980079681E-2"/>
    <n v="7.9643030443680967E-3"/>
  </r>
  <r>
    <s v="PO-00042"/>
    <x v="1"/>
    <x v="3"/>
    <x v="9"/>
    <d v="2024-09-15T00:00:00"/>
    <x v="0"/>
    <n v="272"/>
    <x v="41"/>
    <n v="11562.41"/>
    <n v="1"/>
    <x v="0"/>
    <n v="11"/>
    <n v="26.989999999999782"/>
    <n v="3.6764705882352941E-3"/>
    <n v="2.3288522270350307E-3"/>
  </r>
  <r>
    <s v="PO-00043"/>
    <x v="3"/>
    <x v="3"/>
    <x v="39"/>
    <d v="2023-03-03T00:00:00"/>
    <x v="0"/>
    <n v="219"/>
    <x v="42"/>
    <n v="11599.74"/>
    <n v="1"/>
    <x v="0"/>
    <n v="27"/>
    <n v="494.18000000000029"/>
    <n v="4.5662100456621002E-3"/>
    <n v="4.0861854551708654E-2"/>
  </r>
  <r>
    <s v="PO-00044"/>
    <x v="7"/>
    <x v="8"/>
    <x v="40"/>
    <d v="2024-10-13T00:00:00"/>
    <x v="3"/>
    <n v="497"/>
    <x v="43"/>
    <n v="8345.4"/>
    <n v="2"/>
    <x v="0"/>
    <n v="26"/>
    <n v="510.53000000000065"/>
    <n v="4.0241448692152921E-3"/>
    <n v="5.7648377979500814E-2"/>
  </r>
  <r>
    <s v="PO-00045"/>
    <x v="2"/>
    <x v="3"/>
    <x v="41"/>
    <s v="Not Yet Delivered"/>
    <x v="2"/>
    <n v="500"/>
    <x v="44"/>
    <n v="10948.01"/>
    <n v="2"/>
    <x v="0"/>
    <s v="Not Applicable"/>
    <n v="515.86000000000058"/>
    <n v="4.0000000000000001E-3"/>
    <n v="4.4998765687329023E-2"/>
  </r>
  <r>
    <s v="PO-00046"/>
    <x v="2"/>
    <x v="2"/>
    <x v="42"/>
    <d v="2024-12-13T00:00:00"/>
    <x v="0"/>
    <n v="17"/>
    <x v="45"/>
    <n v="113.1"/>
    <n v="0"/>
    <x v="0"/>
    <n v="18"/>
    <n v="5.4200000000000017"/>
    <n v="0"/>
    <n v="4.5730678366520436E-2"/>
  </r>
  <r>
    <s v="PO-00047"/>
    <x v="2"/>
    <x v="3"/>
    <x v="43"/>
    <d v="2024-09-13T00:00:00"/>
    <x v="0"/>
    <n v="400"/>
    <x v="46"/>
    <n v="12544.19"/>
    <n v="12"/>
    <x v="0"/>
    <n v="10"/>
    <n v="116.10999999999876"/>
    <n v="0.03"/>
    <n v="9.1711886764135747E-3"/>
  </r>
  <r>
    <s v="PO-00048"/>
    <x v="7"/>
    <x v="6"/>
    <x v="41"/>
    <s v="Not Yet Delivered"/>
    <x v="1"/>
    <n v="400"/>
    <x v="47"/>
    <n v="522.82000000000005"/>
    <n v="2"/>
    <x v="0"/>
    <s v="Not Applicable"/>
    <n v="10.479999999999905"/>
    <n v="5.0000000000000001E-3"/>
    <n v="1.9651228201762433E-2"/>
  </r>
  <r>
    <s v="PO-00049"/>
    <x v="7"/>
    <x v="0"/>
    <x v="44"/>
    <d v="2024-12-20T00:00:00"/>
    <x v="0"/>
    <n v="46"/>
    <x v="48"/>
    <n v="4393.5600000000004"/>
    <n v="0"/>
    <x v="0"/>
    <n v="27"/>
    <n v="1.069999999999709"/>
    <n v="0"/>
    <n v="2.4347897320131819E-4"/>
  </r>
  <r>
    <s v="PO-00050"/>
    <x v="2"/>
    <x v="2"/>
    <x v="45"/>
    <d v="2023-03-23T00:00:00"/>
    <x v="0"/>
    <n v="446"/>
    <x v="49"/>
    <n v="110.53"/>
    <n v="2"/>
    <x v="0"/>
    <n v="8"/>
    <n v="6.2999999999999972"/>
    <n v="4.4843049327354259E-3"/>
    <n v="5.3924505692031131E-2"/>
  </r>
  <r>
    <s v="PO-00051"/>
    <x v="7"/>
    <x v="4"/>
    <x v="46"/>
    <d v="2023-02-12T00:00:00"/>
    <x v="0"/>
    <n v="169"/>
    <x v="50"/>
    <n v="44843.19"/>
    <n v="6"/>
    <x v="1"/>
    <n v="14"/>
    <n v="1155.5699999999997"/>
    <n v="3.5502958579881658E-2"/>
    <n v="2.5121764151903217E-2"/>
  </r>
  <r>
    <s v="PO-00052"/>
    <x v="0"/>
    <x v="5"/>
    <x v="47"/>
    <d v="2023-04-03T00:00:00"/>
    <x v="0"/>
    <n v="256"/>
    <x v="51"/>
    <n v="885.77"/>
    <n v="1"/>
    <x v="0"/>
    <n v="23"/>
    <n v="12"/>
    <n v="3.90625E-3"/>
    <n v="1.3366452432137407E-2"/>
  </r>
  <r>
    <s v="PO-00053"/>
    <x v="0"/>
    <x v="4"/>
    <x v="48"/>
    <d v="2024-10-09T00:00:00"/>
    <x v="3"/>
    <n v="62"/>
    <x v="52"/>
    <n v="51133.05"/>
    <n v="0"/>
    <x v="0"/>
    <n v="10"/>
    <n v="724.36000000000058"/>
    <n v="0"/>
    <n v="1.3968302697724404E-2"/>
  </r>
  <r>
    <s v="PO-00054"/>
    <x v="2"/>
    <x v="2"/>
    <x v="49"/>
    <d v="2024-03-11T00:00:00"/>
    <x v="0"/>
    <n v="316"/>
    <x v="53"/>
    <n v="111.68"/>
    <n v="2"/>
    <x v="0"/>
    <n v="27"/>
    <n v="3.9099999999999966"/>
    <n v="6.3291139240506328E-3"/>
    <n v="3.3826455575741814E-2"/>
  </r>
  <r>
    <s v="PO-00055"/>
    <x v="7"/>
    <x v="11"/>
    <x v="50"/>
    <d v="2023-08-12T00:00:00"/>
    <x v="0"/>
    <n v="256"/>
    <x v="54"/>
    <n v="13256.21"/>
    <n v="0"/>
    <x v="0"/>
    <n v="21"/>
    <n v="364.61000000000058"/>
    <n v="0"/>
    <n v="2.676857927789961E-2"/>
  </r>
  <r>
    <s v="PO-00056"/>
    <x v="7"/>
    <x v="10"/>
    <x v="51"/>
    <d v="2024-07-31T00:00:00"/>
    <x v="0"/>
    <n v="378"/>
    <x v="55"/>
    <n v="49963.89"/>
    <n v="11"/>
    <x v="0"/>
    <n v="12"/>
    <n v="800.76000000000204"/>
    <n v="2.9100529100529099E-2"/>
    <n v="1.5773968696721086E-2"/>
  </r>
  <r>
    <s v="PO-00057"/>
    <x v="7"/>
    <x v="2"/>
    <x v="52"/>
    <d v="2023-02-04T00:00:00"/>
    <x v="0"/>
    <n v="126"/>
    <x v="56"/>
    <n v="110.67"/>
    <n v="0"/>
    <x v="0"/>
    <n v="27"/>
    <n v="3.6799999999999926"/>
    <n v="0"/>
    <n v="3.2181897682553501E-2"/>
  </r>
  <r>
    <s v="PO-00058"/>
    <x v="4"/>
    <x v="7"/>
    <x v="53"/>
    <d v="2023-06-23T00:00:00"/>
    <x v="0"/>
    <n v="205"/>
    <x v="57"/>
    <n v="10667.14"/>
    <n v="0"/>
    <x v="1"/>
    <n v="29"/>
    <n v="120.52000000000044"/>
    <n v="0"/>
    <n v="1.1172024331504741E-2"/>
  </r>
  <r>
    <s v="PO-00059"/>
    <x v="5"/>
    <x v="3"/>
    <x v="54"/>
    <d v="2024-12-28T00:00:00"/>
    <x v="0"/>
    <n v="307"/>
    <x v="58"/>
    <n v="12406.22"/>
    <n v="1"/>
    <x v="0"/>
    <n v="19"/>
    <n v="722.54000000000087"/>
    <n v="3.2573289902280132E-3"/>
    <n v="5.5034900478034547E-2"/>
  </r>
  <r>
    <s v="PO-00060"/>
    <x v="5"/>
    <x v="4"/>
    <x v="55"/>
    <s v="Not Yet Delivered"/>
    <x v="1"/>
    <n v="181"/>
    <x v="59"/>
    <n v="46579.47"/>
    <n v="2"/>
    <x v="0"/>
    <s v="Not Applicable"/>
    <n v="710.54999999999563"/>
    <n v="1.1049723756906077E-2"/>
    <n v="1.5025368989059333E-2"/>
  </r>
  <r>
    <s v="PO-00061"/>
    <x v="3"/>
    <x v="10"/>
    <x v="56"/>
    <s v="Not Yet Delivered"/>
    <x v="2"/>
    <n v="103"/>
    <x v="60"/>
    <n v="47708.57"/>
    <n v="2"/>
    <x v="0"/>
    <s v="Not Applicable"/>
    <n v="3000.9700000000012"/>
    <n v="1.9417475728155338E-2"/>
    <n v="5.9179594214422003E-2"/>
  </r>
  <r>
    <s v="PO-00062"/>
    <x v="4"/>
    <x v="6"/>
    <x v="57"/>
    <d v="2024-03-23T00:00:00"/>
    <x v="0"/>
    <n v="27"/>
    <x v="61"/>
    <n v="520.6"/>
    <n v="0"/>
    <x v="0"/>
    <n v="11"/>
    <n v="1.7300000000000182"/>
    <n v="0"/>
    <n v="3.3120824000153508E-3"/>
  </r>
  <r>
    <s v="PO-00063"/>
    <x v="4"/>
    <x v="5"/>
    <x v="58"/>
    <d v="2024-04-02T00:00:00"/>
    <x v="0"/>
    <n v="373"/>
    <x v="62"/>
    <n v="804.73"/>
    <n v="4"/>
    <x v="0"/>
    <n v="9"/>
    <n v="48.809999999999945"/>
    <n v="1.0723860589812333E-2"/>
    <n v="5.7185369168404464E-2"/>
  </r>
  <r>
    <s v="PO-00064"/>
    <x v="0"/>
    <x v="4"/>
    <x v="20"/>
    <d v="2023-03-21T00:00:00"/>
    <x v="0"/>
    <n v="240"/>
    <x v="63"/>
    <n v="50392.82"/>
    <n v="2"/>
    <x v="0"/>
    <n v="26"/>
    <n v="375.7300000000032"/>
    <n v="8.3333333333333332E-3"/>
    <n v="7.4008416628011473E-3"/>
  </r>
  <r>
    <s v="PO-00065"/>
    <x v="1"/>
    <x v="4"/>
    <x v="59"/>
    <d v="2024-03-17T00:00:00"/>
    <x v="0"/>
    <n v="107"/>
    <x v="64"/>
    <n v="40599.760000000002"/>
    <n v="1"/>
    <x v="0"/>
    <n v="7"/>
    <n v="2551.4099999999962"/>
    <n v="9.3457943925233638E-3"/>
    <n v="5.9127249620346246E-2"/>
  </r>
  <r>
    <s v="PO-00066"/>
    <x v="0"/>
    <x v="4"/>
    <x v="60"/>
    <d v="2023-09-30T00:00:00"/>
    <x v="0"/>
    <n v="170"/>
    <x v="65"/>
    <n v="49833.97"/>
    <n v="4"/>
    <x v="0"/>
    <n v="24"/>
    <n v="269.13999999999942"/>
    <n v="2.3529411764705882E-2"/>
    <n v="5.3717224339966006E-3"/>
  </r>
  <r>
    <s v="PO-00067"/>
    <x v="3"/>
    <x v="10"/>
    <x v="61"/>
    <d v="2024-06-13T00:00:00"/>
    <x v="0"/>
    <n v="344"/>
    <x v="66"/>
    <n v="52716.68"/>
    <n v="2"/>
    <x v="0"/>
    <n v="22"/>
    <n v="63.230000000003201"/>
    <n v="5.8139534883720929E-3"/>
    <n v="1.1979937063174833E-3"/>
  </r>
  <r>
    <s v="PO-00068"/>
    <x v="6"/>
    <x v="9"/>
    <x v="62"/>
    <d v="2023-07-11T00:00:00"/>
    <x v="0"/>
    <n v="340"/>
    <x v="67"/>
    <n v="6379.19"/>
    <n v="4"/>
    <x v="0"/>
    <n v="9"/>
    <n v="347.57000000000062"/>
    <n v="1.1764705882352941E-2"/>
    <n v="5.1669748883563647E-2"/>
  </r>
  <r>
    <s v="PO-00069"/>
    <x v="7"/>
    <x v="7"/>
    <x v="63"/>
    <d v="2024-11-24T00:00:00"/>
    <x v="0"/>
    <n v="438"/>
    <x v="68"/>
    <n v="11465.31"/>
    <n v="1"/>
    <x v="0"/>
    <n v="22"/>
    <n v="560.01000000000022"/>
    <n v="2.2831050228310501E-3"/>
    <n v="4.6569238905908555E-2"/>
  </r>
  <r>
    <s v="PO-00070"/>
    <x v="7"/>
    <x v="10"/>
    <x v="64"/>
    <d v="2023-09-05T00:00:00"/>
    <x v="0"/>
    <n v="16"/>
    <x v="69"/>
    <n v="47771.41"/>
    <n v="0"/>
    <x v="0"/>
    <n v="15"/>
    <n v="1894.4399999999951"/>
    <n v="0"/>
    <n v="3.8143714443626658E-2"/>
  </r>
  <r>
    <s v="PO-00071"/>
    <x v="6"/>
    <x v="11"/>
    <x v="65"/>
    <d v="2023-03-15T00:00:00"/>
    <x v="0"/>
    <n v="354"/>
    <x v="70"/>
    <n v="14454.37"/>
    <n v="7"/>
    <x v="0"/>
    <n v="18"/>
    <n v="561.01999999999862"/>
    <n v="1.977401129943503E-2"/>
    <n v="3.7362998896465466E-2"/>
  </r>
  <r>
    <s v="PO-00072"/>
    <x v="4"/>
    <x v="1"/>
    <x v="66"/>
    <d v="2024-06-12T00:00:00"/>
    <x v="3"/>
    <n v="478"/>
    <x v="71"/>
    <n v="4794.5"/>
    <n v="0"/>
    <x v="0"/>
    <n v="3"/>
    <n v="138.73999999999978"/>
    <n v="0"/>
    <n v="2.8123505039284485E-2"/>
  </r>
  <r>
    <s v="PO-00073"/>
    <x v="4"/>
    <x v="0"/>
    <x v="67"/>
    <d v="2024-01-05T00:00:00"/>
    <x v="0"/>
    <n v="243"/>
    <x v="72"/>
    <n v="3617.24"/>
    <n v="1"/>
    <x v="0"/>
    <n v="7"/>
    <n v="29.050000000000182"/>
    <n v="4.11522633744856E-3"/>
    <n v="7.967002076082863E-3"/>
  </r>
  <r>
    <s v="PO-00074"/>
    <x v="6"/>
    <x v="8"/>
    <x v="68"/>
    <s v="Not Yet Delivered"/>
    <x v="2"/>
    <n v="235"/>
    <x v="73"/>
    <n v="8484.15"/>
    <n v="2"/>
    <x v="0"/>
    <s v="Not Applicable"/>
    <n v="243.31999999999971"/>
    <n v="8.5106382978723406E-3"/>
    <n v="2.7879786467326698E-2"/>
  </r>
  <r>
    <s v="PO-00075"/>
    <x v="3"/>
    <x v="5"/>
    <x v="69"/>
    <d v="2023-03-24T00:00:00"/>
    <x v="3"/>
    <n v="237"/>
    <x v="74"/>
    <n v="867.55"/>
    <n v="3"/>
    <x v="0"/>
    <n v="16"/>
    <n v="50.280000000000086"/>
    <n v="1.2658227848101266E-2"/>
    <n v="5.4781386531274949E-2"/>
  </r>
  <r>
    <s v="PO-00076"/>
    <x v="2"/>
    <x v="8"/>
    <x v="9"/>
    <d v="2024-10-02T00:00:00"/>
    <x v="0"/>
    <n v="10"/>
    <x v="75"/>
    <n v="8349.9699999999993"/>
    <n v="0"/>
    <x v="0"/>
    <n v="28"/>
    <n v="201.36000000000058"/>
    <n v="0"/>
    <n v="2.3547214292981393E-2"/>
  </r>
  <r>
    <s v="PO-00077"/>
    <x v="7"/>
    <x v="11"/>
    <x v="70"/>
    <d v="2024-12-22T00:00:00"/>
    <x v="0"/>
    <n v="74"/>
    <x v="76"/>
    <n v="13216.52"/>
    <n v="0"/>
    <x v="0"/>
    <n v="12"/>
    <n v="700.86999999999898"/>
    <n v="0"/>
    <n v="5.0359298690343446E-2"/>
  </r>
  <r>
    <s v="PO-00078"/>
    <x v="1"/>
    <x v="3"/>
    <x v="71"/>
    <d v="2024-07-03T00:00:00"/>
    <x v="0"/>
    <n v="44"/>
    <x v="77"/>
    <n v="12025.74"/>
    <n v="2"/>
    <x v="0"/>
    <n v="7"/>
    <n v="1.9799999999995634"/>
    <n v="4.5454545454545456E-2"/>
    <n v="1.6461972842729658E-4"/>
  </r>
  <r>
    <s v="PO-00079"/>
    <x v="4"/>
    <x v="10"/>
    <x v="72"/>
    <d v="2024-06-03T00:00:00"/>
    <x v="0"/>
    <n v="490"/>
    <x v="78"/>
    <n v="48601.33"/>
    <n v="7"/>
    <x v="0"/>
    <n v="16"/>
    <n v="206.81999999999971"/>
    <n v="1.4285714285714285E-2"/>
    <n v="4.2374070723844217E-3"/>
  </r>
  <r>
    <s v="PO-00080"/>
    <x v="4"/>
    <x v="8"/>
    <x v="73"/>
    <d v="2024-12-26T00:00:00"/>
    <x v="0"/>
    <n v="229"/>
    <x v="79"/>
    <n v="7814.84"/>
    <n v="2"/>
    <x v="0"/>
    <n v="2"/>
    <n v="226.84999999999945"/>
    <n v="8.7336244541484712E-3"/>
    <n v="2.8209244574212568E-2"/>
  </r>
  <r>
    <s v="PO-00081"/>
    <x v="7"/>
    <x v="5"/>
    <x v="74"/>
    <d v="2023-09-22T00:00:00"/>
    <x v="0"/>
    <n v="165"/>
    <x v="80"/>
    <n v="848.3"/>
    <n v="2"/>
    <x v="0"/>
    <n v="6"/>
    <n v="28.720000000000027"/>
    <n v="1.2121212121212121E-2"/>
    <n v="3.2747257759230153E-2"/>
  </r>
  <r>
    <s v="PO-00082"/>
    <x v="6"/>
    <x v="10"/>
    <x v="9"/>
    <d v="2024-09-29T00:00:00"/>
    <x v="0"/>
    <n v="333"/>
    <x v="81"/>
    <n v="56508.65"/>
    <n v="3"/>
    <x v="0"/>
    <n v="25"/>
    <n v="1405.0800000000017"/>
    <n v="9.0090090090090089E-3"/>
    <n v="2.4261604286237505E-2"/>
  </r>
  <r>
    <s v="PO-00083"/>
    <x v="0"/>
    <x v="2"/>
    <x v="75"/>
    <d v="2023-12-13T00:00:00"/>
    <x v="0"/>
    <n v="377"/>
    <x v="82"/>
    <n v="129.01"/>
    <n v="8"/>
    <x v="0"/>
    <n v="13"/>
    <n v="0.48000000000001819"/>
    <n v="2.1220159151193633E-2"/>
    <n v="3.7068499498032139E-3"/>
  </r>
  <r>
    <s v="PO-00084"/>
    <x v="1"/>
    <x v="1"/>
    <x v="76"/>
    <d v="2023-08-23T00:00:00"/>
    <x v="3"/>
    <n v="274"/>
    <x v="83"/>
    <n v="5010.57"/>
    <n v="4"/>
    <x v="0"/>
    <n v="6"/>
    <n v="53.130000000000109"/>
    <n v="1.4598540145985401E-2"/>
    <n v="1.049232774453465E-2"/>
  </r>
  <r>
    <s v="PO-00085"/>
    <x v="2"/>
    <x v="8"/>
    <x v="77"/>
    <d v="2024-02-26T00:00:00"/>
    <x v="0"/>
    <n v="300"/>
    <x v="84"/>
    <n v="7973.63"/>
    <n v="3"/>
    <x v="0"/>
    <n v="20"/>
    <n v="139.31999999999971"/>
    <n v="0.01"/>
    <n v="1.7172545128467415E-2"/>
  </r>
  <r>
    <s v="PO-00086"/>
    <x v="2"/>
    <x v="10"/>
    <x v="78"/>
    <d v="2024-06-06T00:00:00"/>
    <x v="0"/>
    <n v="454"/>
    <x v="85"/>
    <n v="49899.3"/>
    <n v="3"/>
    <x v="0"/>
    <n v="20"/>
    <n v="281.59999999999854"/>
    <n v="6.6079295154185024E-3"/>
    <n v="5.6116968806856496E-3"/>
  </r>
  <r>
    <s v="PO-00087"/>
    <x v="5"/>
    <x v="8"/>
    <x v="79"/>
    <d v="2024-05-22T00:00:00"/>
    <x v="0"/>
    <n v="19"/>
    <x v="86"/>
    <n v="8617.17"/>
    <n v="1"/>
    <x v="0"/>
    <n v="8"/>
    <n v="269.03000000000065"/>
    <n v="5.2631578947368418E-2"/>
    <n v="3.0275033197542326E-2"/>
  </r>
  <r>
    <s v="PO-00088"/>
    <x v="6"/>
    <x v="7"/>
    <x v="80"/>
    <s v="Not Yet Delivered"/>
    <x v="2"/>
    <n v="258"/>
    <x v="87"/>
    <n v="12286.05"/>
    <n v="2"/>
    <x v="0"/>
    <s v="Not Applicable"/>
    <n v="214.46000000000095"/>
    <n v="7.7519379844961239E-3"/>
    <n v="1.7156100031118806E-2"/>
  </r>
  <r>
    <s v="PO-00089"/>
    <x v="7"/>
    <x v="11"/>
    <x v="81"/>
    <d v="2023-07-03T00:00:00"/>
    <x v="0"/>
    <n v="307"/>
    <x v="88"/>
    <n v="14169.06"/>
    <n v="3"/>
    <x v="0"/>
    <n v="25"/>
    <n v="782.73999999999978"/>
    <n v="9.7719869706840382E-3"/>
    <n v="5.2350887518559625E-2"/>
  </r>
  <r>
    <s v="PO-00090"/>
    <x v="1"/>
    <x v="4"/>
    <x v="82"/>
    <d v="2023-04-17T00:00:00"/>
    <x v="0"/>
    <n v="119"/>
    <x v="89"/>
    <n v="44903.360000000001"/>
    <n v="5"/>
    <x v="0"/>
    <n v="12"/>
    <n v="1266.75"/>
    <n v="4.2016806722689079E-2"/>
    <n v="2.7436581805847984E-2"/>
  </r>
  <r>
    <s v="PO-00091"/>
    <x v="5"/>
    <x v="11"/>
    <x v="83"/>
    <d v="2023-02-19T00:00:00"/>
    <x v="0"/>
    <n v="307"/>
    <x v="90"/>
    <n v="13804.53"/>
    <n v="4"/>
    <x v="0"/>
    <n v="27"/>
    <n v="326.46999999999935"/>
    <n v="1.3029315960912053E-2"/>
    <n v="2.3103106644964923E-2"/>
  </r>
  <r>
    <s v="PO-00092"/>
    <x v="1"/>
    <x v="2"/>
    <x v="84"/>
    <d v="2024-04-29T00:00:00"/>
    <x v="0"/>
    <n v="496"/>
    <x v="91"/>
    <n v="111.61"/>
    <n v="8"/>
    <x v="0"/>
    <n v="25"/>
    <n v="2.0700000000000074"/>
    <n v="1.6129032258064516E-2"/>
    <n v="1.8209007741027509E-2"/>
  </r>
  <r>
    <s v="PO-00093"/>
    <x v="4"/>
    <x v="9"/>
    <x v="30"/>
    <d v="2023-03-04T00:00:00"/>
    <x v="0"/>
    <n v="33"/>
    <x v="92"/>
    <n v="5641.48"/>
    <n v="1"/>
    <x v="0"/>
    <n v="12"/>
    <n v="54.530000000000655"/>
    <n v="3.0303030303030304E-2"/>
    <n v="9.5733680242837804E-3"/>
  </r>
  <r>
    <s v="PO-00094"/>
    <x v="6"/>
    <x v="11"/>
    <x v="85"/>
    <d v="2023-01-17T00:00:00"/>
    <x v="0"/>
    <n v="323"/>
    <x v="93"/>
    <n v="14596.16"/>
    <n v="0"/>
    <x v="0"/>
    <n v="16"/>
    <n v="709.51000000000022"/>
    <n v="0"/>
    <n v="4.6356023617391474E-2"/>
  </r>
  <r>
    <s v="PO-00095"/>
    <x v="3"/>
    <x v="6"/>
    <x v="86"/>
    <d v="2024-07-31T00:00:00"/>
    <x v="0"/>
    <n v="248"/>
    <x v="94"/>
    <n v="560.80999999999995"/>
    <n v="5"/>
    <x v="0"/>
    <n v="3"/>
    <n v="2.7100000000000364"/>
    <n v="2.0161290322580645E-2"/>
    <n v="4.8090573537763279E-3"/>
  </r>
  <r>
    <s v="PO-00096"/>
    <x v="0"/>
    <x v="7"/>
    <x v="87"/>
    <d v="2023-07-05T00:00:00"/>
    <x v="0"/>
    <n v="186"/>
    <x v="95"/>
    <n v="11746.19"/>
    <n v="2"/>
    <x v="0"/>
    <n v="7"/>
    <n v="364.51000000000022"/>
    <n v="1.0752688172043012E-2"/>
    <n v="3.0098177644562261E-2"/>
  </r>
  <r>
    <s v="PO-00097"/>
    <x v="0"/>
    <x v="8"/>
    <x v="88"/>
    <d v="2024-05-01T00:00:00"/>
    <x v="0"/>
    <n v="53"/>
    <x v="96"/>
    <n v="8560.14"/>
    <n v="1"/>
    <x v="0"/>
    <n v="18"/>
    <n v="20.040000000000873"/>
    <n v="1.8867924528301886E-2"/>
    <n v="2.335615336741289E-3"/>
  </r>
  <r>
    <s v="PO-00098"/>
    <x v="2"/>
    <x v="0"/>
    <x v="89"/>
    <d v="2023-06-10T00:00:00"/>
    <x v="0"/>
    <n v="482"/>
    <x v="97"/>
    <n v="3956.07"/>
    <n v="5"/>
    <x v="0"/>
    <n v="20"/>
    <n v="196.86999999999944"/>
    <n v="1.0373443983402489E-2"/>
    <n v="4.7404970936252261E-2"/>
  </r>
  <r>
    <s v="PO-00099"/>
    <x v="1"/>
    <x v="1"/>
    <x v="90"/>
    <d v="2023-01-21T00:00:00"/>
    <x v="0"/>
    <n v="261"/>
    <x v="98"/>
    <n v="4883.97"/>
    <n v="2"/>
    <x v="0"/>
    <n v="3"/>
    <n v="165.63999999999942"/>
    <n v="7.6628352490421452E-3"/>
    <n v="3.2802533264945102E-2"/>
  </r>
  <r>
    <s v="PO-00100"/>
    <x v="2"/>
    <x v="5"/>
    <x v="91"/>
    <d v="2023-10-02T00:00:00"/>
    <x v="0"/>
    <n v="417"/>
    <x v="99"/>
    <n v="807.85"/>
    <n v="5"/>
    <x v="0"/>
    <n v="11"/>
    <n v="12.139999999999986"/>
    <n v="1.1990407673860911E-2"/>
    <n v="1.4805058598275573E-2"/>
  </r>
  <r>
    <s v="PO-00101"/>
    <x v="5"/>
    <x v="2"/>
    <x v="92"/>
    <d v="2023-07-21T00:00:00"/>
    <x v="0"/>
    <n v="395"/>
    <x v="100"/>
    <n v="115.15"/>
    <n v="2"/>
    <x v="0"/>
    <n v="24"/>
    <n v="7.1400000000000006"/>
    <n v="5.0632911392405064E-3"/>
    <n v="5.838580423583286E-2"/>
  </r>
  <r>
    <s v="PO-00102"/>
    <x v="6"/>
    <x v="9"/>
    <x v="76"/>
    <d v="2023-08-26T00:00:00"/>
    <x v="0"/>
    <n v="71"/>
    <x v="101"/>
    <n v="7151.01"/>
    <n v="1"/>
    <x v="0"/>
    <n v="9"/>
    <n v="195.38999999999942"/>
    <n v="1.4084507042253521E-2"/>
    <n v="2.6596700424697733E-2"/>
  </r>
  <r>
    <s v="PO-00103"/>
    <x v="5"/>
    <x v="7"/>
    <x v="93"/>
    <s v="Not Yet Delivered"/>
    <x v="2"/>
    <n v="169"/>
    <x v="102"/>
    <n v="11074.17"/>
    <n v="2"/>
    <x v="0"/>
    <s v="Not Applicable"/>
    <n v="408.98999999999978"/>
    <n v="1.1834319526627219E-2"/>
    <n v="3.5616502774497592E-2"/>
  </r>
  <r>
    <s v="PO-00104"/>
    <x v="2"/>
    <x v="0"/>
    <x v="94"/>
    <d v="2023-06-05T00:00:00"/>
    <x v="0"/>
    <n v="89"/>
    <x v="103"/>
    <n v="3616.14"/>
    <n v="3"/>
    <x v="0"/>
    <n v="5"/>
    <n v="186.7800000000002"/>
    <n v="3.3707865168539325E-2"/>
    <n v="4.9114890662964303E-2"/>
  </r>
  <r>
    <s v="PO-00105"/>
    <x v="3"/>
    <x v="7"/>
    <x v="95"/>
    <d v="2024-01-27T00:00:00"/>
    <x v="0"/>
    <n v="199"/>
    <x v="104"/>
    <n v="11829.27"/>
    <n v="2"/>
    <x v="0"/>
    <n v="6"/>
    <n v="543.35999999999876"/>
    <n v="1.0050251256281407E-2"/>
    <n v="4.3916289422701461E-2"/>
  </r>
  <r>
    <s v="PO-00106"/>
    <x v="0"/>
    <x v="3"/>
    <x v="96"/>
    <s v="Not Yet Delivered"/>
    <x v="1"/>
    <n v="346"/>
    <x v="105"/>
    <n v="12844.67"/>
    <n v="2"/>
    <x v="0"/>
    <s v="Not Applicable"/>
    <n v="720.95000000000073"/>
    <n v="5.7803468208092483E-3"/>
    <n v="5.3145377800646099E-2"/>
  </r>
  <r>
    <s v="PO-00107"/>
    <x v="3"/>
    <x v="10"/>
    <x v="97"/>
    <d v="2023-05-09T00:00:00"/>
    <x v="0"/>
    <n v="213"/>
    <x v="106"/>
    <n v="50149.47"/>
    <n v="1"/>
    <x v="0"/>
    <n v="14"/>
    <n v="1418.2099999999991"/>
    <n v="4.6948356807511738E-3"/>
    <n v="2.7501915928736742E-2"/>
  </r>
  <r>
    <s v="PO-00108"/>
    <x v="3"/>
    <x v="8"/>
    <x v="46"/>
    <s v="Not Yet Delivered"/>
    <x v="2"/>
    <n v="113"/>
    <x v="107"/>
    <n v="8700.36"/>
    <n v="2"/>
    <x v="0"/>
    <s v="Not Applicable"/>
    <n v="168.59000000000015"/>
    <n v="1.7699115044247787E-2"/>
    <n v="1.9009014595865365E-2"/>
  </r>
  <r>
    <s v="PO-00109"/>
    <x v="2"/>
    <x v="5"/>
    <x v="98"/>
    <d v="2023-02-16T00:00:00"/>
    <x v="0"/>
    <n v="21"/>
    <x v="108"/>
    <n v="828.42"/>
    <n v="0"/>
    <x v="0"/>
    <n v="13"/>
    <n v="25.759999999999991"/>
    <n v="0"/>
    <n v="3.0157578028050285E-2"/>
  </r>
  <r>
    <s v="PO-00110"/>
    <x v="1"/>
    <x v="11"/>
    <x v="99"/>
    <d v="2023-06-25T00:00:00"/>
    <x v="0"/>
    <n v="102"/>
    <x v="109"/>
    <n v="13517.17"/>
    <n v="1"/>
    <x v="0"/>
    <n v="8"/>
    <n v="277.23999999999978"/>
    <n v="9.8039215686274508E-3"/>
    <n v="2.00979962173083E-2"/>
  </r>
  <r>
    <s v="PO-00111"/>
    <x v="0"/>
    <x v="4"/>
    <x v="67"/>
    <d v="2024-01-25T00:00:00"/>
    <x v="0"/>
    <n v="197"/>
    <x v="110"/>
    <n v="46736.78"/>
    <n v="3"/>
    <x v="0"/>
    <n v="27"/>
    <n v="1139.989999999998"/>
    <n v="1.5228426395939087E-2"/>
    <n v="2.3810921246358058E-2"/>
  </r>
  <r>
    <s v="PO-00112"/>
    <x v="6"/>
    <x v="7"/>
    <x v="100"/>
    <d v="2023-09-07T00:00:00"/>
    <x v="0"/>
    <n v="314"/>
    <x v="111"/>
    <n v="12661.97"/>
    <n v="2"/>
    <x v="0"/>
    <n v="23"/>
    <n v="260.78000000000065"/>
    <n v="6.369426751592357E-3"/>
    <n v="2.0179915265713617E-2"/>
  </r>
  <r>
    <s v="PO-00113"/>
    <x v="1"/>
    <x v="3"/>
    <x v="101"/>
    <d v="2023-09-13T00:00:00"/>
    <x v="0"/>
    <n v="495"/>
    <x v="112"/>
    <n v="12205.57"/>
    <n v="4"/>
    <x v="0"/>
    <n v="12"/>
    <n v="32.8700000000008"/>
    <n v="8.0808080808080808E-3"/>
    <n v="2.6857998241606607E-3"/>
  </r>
  <r>
    <s v="PO-00114"/>
    <x v="2"/>
    <x v="10"/>
    <x v="6"/>
    <d v="2023-08-13T00:00:00"/>
    <x v="0"/>
    <n v="65"/>
    <x v="113"/>
    <n v="49317.53"/>
    <n v="0"/>
    <x v="1"/>
    <n v="8"/>
    <n v="1731.0800000000017"/>
    <n v="0"/>
    <n v="3.3910423809776637E-2"/>
  </r>
  <r>
    <s v="PO-00115"/>
    <x v="3"/>
    <x v="11"/>
    <x v="102"/>
    <d v="2024-06-25T00:00:00"/>
    <x v="0"/>
    <n v="279"/>
    <x v="114"/>
    <n v="14293.87"/>
    <n v="5"/>
    <x v="0"/>
    <n v="18"/>
    <n v="167.07999999999993"/>
    <n v="1.7921146953405017E-2"/>
    <n v="1.1553874399676364E-2"/>
  </r>
  <r>
    <s v="PO-00116"/>
    <x v="1"/>
    <x v="1"/>
    <x v="103"/>
    <s v="Not Yet Delivered"/>
    <x v="1"/>
    <n v="85"/>
    <x v="115"/>
    <n v="4889.17"/>
    <n v="2"/>
    <x v="0"/>
    <s v="Not Applicable"/>
    <n v="91.970000000000255"/>
    <n v="2.3529411764705882E-2"/>
    <n v="1.8463644868443818E-2"/>
  </r>
  <r>
    <s v="PO-00117"/>
    <x v="6"/>
    <x v="2"/>
    <x v="104"/>
    <d v="2024-08-04T00:00:00"/>
    <x v="0"/>
    <n v="414"/>
    <x v="116"/>
    <n v="120.2"/>
    <n v="9"/>
    <x v="0"/>
    <n v="11"/>
    <n v="2.4299999999999926"/>
    <n v="2.1739130434782608E-2"/>
    <n v="1.9815705781619446E-2"/>
  </r>
  <r>
    <s v="PO-00118"/>
    <x v="4"/>
    <x v="0"/>
    <x v="105"/>
    <s v="Not Yet Delivered"/>
    <x v="1"/>
    <n v="121"/>
    <x v="117"/>
    <n v="3778.74"/>
    <n v="2"/>
    <x v="1"/>
    <s v="Not Applicable"/>
    <n v="192.38000000000011"/>
    <n v="1.6528925619834711E-2"/>
    <n v="4.8444771248413572E-2"/>
  </r>
  <r>
    <s v="PO-00119"/>
    <x v="6"/>
    <x v="4"/>
    <x v="106"/>
    <d v="2024-01-15T00:00:00"/>
    <x v="0"/>
    <n v="427"/>
    <x v="118"/>
    <n v="50083.54"/>
    <n v="4"/>
    <x v="0"/>
    <n v="8"/>
    <n v="1477.4199999999983"/>
    <n v="9.3676814988290398E-3"/>
    <n v="2.8653849734372638E-2"/>
  </r>
  <r>
    <s v="PO-00120"/>
    <x v="1"/>
    <x v="4"/>
    <x v="107"/>
    <d v="2023-06-28T00:00:00"/>
    <x v="0"/>
    <n v="428"/>
    <x v="119"/>
    <n v="43199.95"/>
    <n v="7"/>
    <x v="0"/>
    <n v="8"/>
    <n v="1600.7700000000041"/>
    <n v="1.6355140186915886E-2"/>
    <n v="3.5730898967695254E-2"/>
  </r>
  <r>
    <s v="PO-00121"/>
    <x v="2"/>
    <x v="4"/>
    <x v="108"/>
    <d v="2023-02-09T00:00:00"/>
    <x v="0"/>
    <n v="497"/>
    <x v="120"/>
    <n v="44570.48"/>
    <n v="1"/>
    <x v="0"/>
    <n v="24"/>
    <n v="2150.1999999999971"/>
    <n v="2.012072434607646E-3"/>
    <n v="4.6022446591102634E-2"/>
  </r>
  <r>
    <s v="PO-00122"/>
    <x v="5"/>
    <x v="4"/>
    <x v="109"/>
    <d v="2024-09-29T00:00:00"/>
    <x v="3"/>
    <n v="231"/>
    <x v="121"/>
    <n v="42817.88"/>
    <n v="2"/>
    <x v="0"/>
    <n v="30"/>
    <n v="2705.4900000000052"/>
    <n v="8.658008658008658E-3"/>
    <n v="5.9430793458393021E-2"/>
  </r>
  <r>
    <s v="PO-00123"/>
    <x v="0"/>
    <x v="1"/>
    <x v="55"/>
    <d v="2023-09-04T00:00:00"/>
    <x v="0"/>
    <n v="381"/>
    <x v="122"/>
    <n v="5438.89"/>
    <n v="1"/>
    <x v="0"/>
    <n v="8"/>
    <n v="196.88000000000011"/>
    <n v="2.6246719160104987E-3"/>
    <n v="3.4934001919879644E-2"/>
  </r>
  <r>
    <s v="PO-00124"/>
    <x v="4"/>
    <x v="1"/>
    <x v="110"/>
    <s v="Not Yet Delivered"/>
    <x v="2"/>
    <n v="150"/>
    <x v="123"/>
    <n v="4364.8999999999996"/>
    <n v="2"/>
    <x v="0"/>
    <s v="Not Applicable"/>
    <n v="266.17000000000007"/>
    <n v="1.3333333333333334E-2"/>
    <n v="5.747483842826822E-2"/>
  </r>
  <r>
    <s v="PO-00125"/>
    <x v="2"/>
    <x v="10"/>
    <x v="111"/>
    <d v="2024-01-09T00:00:00"/>
    <x v="0"/>
    <n v="456"/>
    <x v="124"/>
    <n v="48087.42"/>
    <n v="11"/>
    <x v="0"/>
    <n v="30"/>
    <n v="144.81000000000495"/>
    <n v="2.4122807017543858E-2"/>
    <n v="3.0023492589914447E-3"/>
  </r>
  <r>
    <s v="PO-00126"/>
    <x v="1"/>
    <x v="1"/>
    <x v="112"/>
    <d v="2023-03-08T00:00:00"/>
    <x v="0"/>
    <n v="337"/>
    <x v="125"/>
    <n v="5095.25"/>
    <n v="7"/>
    <x v="0"/>
    <n v="5"/>
    <n v="79.6899999999996"/>
    <n v="2.0771513353115726E-2"/>
    <n v="1.5399212358017601E-2"/>
  </r>
  <r>
    <s v="PO-00127"/>
    <x v="1"/>
    <x v="8"/>
    <x v="113"/>
    <d v="2023-08-18T00:00:00"/>
    <x v="3"/>
    <n v="317"/>
    <x v="126"/>
    <n v="7345.06"/>
    <n v="6"/>
    <x v="0"/>
    <n v="4"/>
    <n v="376.9399999999996"/>
    <n v="1.8927444794952682E-2"/>
    <n v="4.8813778813778762E-2"/>
  </r>
  <r>
    <s v="PO-00128"/>
    <x v="1"/>
    <x v="9"/>
    <x v="114"/>
    <d v="2023-01-24T00:00:00"/>
    <x v="3"/>
    <n v="382"/>
    <x v="127"/>
    <n v="5856.34"/>
    <n v="3"/>
    <x v="0"/>
    <n v="4"/>
    <n v="272.01000000000022"/>
    <n v="7.8534031413612562E-3"/>
    <n v="4.4385519756541356E-2"/>
  </r>
  <r>
    <s v="PO-00129"/>
    <x v="7"/>
    <x v="11"/>
    <x v="33"/>
    <s v="Not Yet Delivered"/>
    <x v="2"/>
    <n v="385"/>
    <x v="128"/>
    <n v="14066.53"/>
    <n v="2"/>
    <x v="0"/>
    <s v="Not Applicable"/>
    <n v="352.15999999999985"/>
    <n v="5.1948051948051948E-3"/>
    <n v="2.4423855426533189E-2"/>
  </r>
  <r>
    <s v="PO-00130"/>
    <x v="1"/>
    <x v="1"/>
    <x v="115"/>
    <s v="Not Yet Delivered"/>
    <x v="2"/>
    <n v="480"/>
    <x v="129"/>
    <n v="4594.84"/>
    <n v="2"/>
    <x v="0"/>
    <s v="Not Applicable"/>
    <n v="279.47999999999956"/>
    <n v="4.1666666666666666E-3"/>
    <n v="5.7337228577524574E-2"/>
  </r>
  <r>
    <s v="PO-00131"/>
    <x v="2"/>
    <x v="1"/>
    <x v="116"/>
    <d v="2023-10-04T00:00:00"/>
    <x v="0"/>
    <n v="399"/>
    <x v="130"/>
    <n v="4576.1899999999996"/>
    <n v="2"/>
    <x v="0"/>
    <n v="16"/>
    <n v="168.40000000000055"/>
    <n v="5.0125313283208017E-3"/>
    <n v="3.549305630201989E-2"/>
  </r>
  <r>
    <s v="PO-00132"/>
    <x v="0"/>
    <x v="6"/>
    <x v="117"/>
    <d v="2024-12-07T00:00:00"/>
    <x v="0"/>
    <n v="465"/>
    <x v="131"/>
    <n v="604.53"/>
    <n v="5"/>
    <x v="0"/>
    <n v="19"/>
    <n v="0.31000000000005912"/>
    <n v="1.0752688172043012E-2"/>
    <n v="5.1253223993131918E-4"/>
  </r>
  <r>
    <s v="PO-00133"/>
    <x v="5"/>
    <x v="1"/>
    <x v="118"/>
    <d v="2023-03-06T00:00:00"/>
    <x v="3"/>
    <n v="351"/>
    <x v="132"/>
    <n v="5340.79"/>
    <n v="7"/>
    <x v="0"/>
    <n v="25"/>
    <n v="86.649999999999636"/>
    <n v="1.9943019943019943E-2"/>
    <n v="1.5965169582712962E-2"/>
  </r>
  <r>
    <s v="PO-00134"/>
    <x v="7"/>
    <x v="9"/>
    <x v="67"/>
    <d v="2024-01-26T00:00:00"/>
    <x v="3"/>
    <n v="49"/>
    <x v="133"/>
    <n v="6461.07"/>
    <n v="1"/>
    <x v="0"/>
    <n v="28"/>
    <n v="126.42000000000007"/>
    <n v="2.0408163265306121E-2"/>
    <n v="1.9190920972935076E-2"/>
  </r>
  <r>
    <s v="PO-00135"/>
    <x v="6"/>
    <x v="3"/>
    <x v="119"/>
    <d v="2024-06-26T00:00:00"/>
    <x v="0"/>
    <n v="430"/>
    <x v="134"/>
    <n v="12384.2"/>
    <n v="10"/>
    <x v="0"/>
    <n v="8"/>
    <n v="514.56999999999971"/>
    <n v="2.3255813953488372E-2"/>
    <n v="3.9892951033315555E-2"/>
  </r>
  <r>
    <s v="PO-00136"/>
    <x v="3"/>
    <x v="0"/>
    <x v="120"/>
    <d v="2023-08-30T00:00:00"/>
    <x v="0"/>
    <n v="17"/>
    <x v="135"/>
    <n v="4339.21"/>
    <n v="0"/>
    <x v="0"/>
    <n v="18"/>
    <n v="4.8999999999996362"/>
    <n v="0"/>
    <n v="1.1279640708913071E-3"/>
  </r>
  <r>
    <s v="PO-00137"/>
    <x v="1"/>
    <x v="11"/>
    <x v="121"/>
    <d v="2024-03-18T00:00:00"/>
    <x v="0"/>
    <n v="459"/>
    <x v="136"/>
    <n v="13667.08"/>
    <n v="5"/>
    <x v="1"/>
    <n v="29"/>
    <n v="30.420000000000073"/>
    <n v="1.0893246187363835E-2"/>
    <n v="2.2208432195656193E-3"/>
  </r>
  <r>
    <s v="PO-00138"/>
    <x v="3"/>
    <x v="5"/>
    <x v="110"/>
    <d v="2023-12-08T00:00:00"/>
    <x v="0"/>
    <n v="223"/>
    <x v="137"/>
    <n v="869.14"/>
    <n v="2"/>
    <x v="0"/>
    <n v="18"/>
    <n v="12.110000000000014"/>
    <n v="8.9686098654708519E-3"/>
    <n v="1.3741843971631222E-2"/>
  </r>
  <r>
    <s v="PO-00139"/>
    <x v="4"/>
    <x v="4"/>
    <x v="122"/>
    <d v="2024-12-08T00:00:00"/>
    <x v="0"/>
    <n v="179"/>
    <x v="138"/>
    <n v="45944.04"/>
    <n v="0"/>
    <x v="0"/>
    <n v="4"/>
    <n v="700.63999999999942"/>
    <n v="0"/>
    <n v="1.5020791224208192E-2"/>
  </r>
  <r>
    <s v="PO-00140"/>
    <x v="1"/>
    <x v="3"/>
    <x v="123"/>
    <s v="Not Yet Delivered"/>
    <x v="1"/>
    <n v="475"/>
    <x v="139"/>
    <n v="11164.95"/>
    <n v="2"/>
    <x v="0"/>
    <s v="Not Applicable"/>
    <n v="508.76999999999862"/>
    <n v="4.2105263157894736E-3"/>
    <n v="4.3582508403490802E-2"/>
  </r>
  <r>
    <s v="PO-00141"/>
    <x v="6"/>
    <x v="9"/>
    <x v="0"/>
    <d v="2023-10-01T00:00:00"/>
    <x v="3"/>
    <n v="379"/>
    <x v="140"/>
    <n v="6987.48"/>
    <n v="1"/>
    <x v="0"/>
    <n v="3"/>
    <n v="307.08000000000084"/>
    <n v="2.6385224274406332E-3"/>
    <n v="4.2097124432453885E-2"/>
  </r>
  <r>
    <s v="PO-00142"/>
    <x v="5"/>
    <x v="2"/>
    <x v="124"/>
    <s v="Not Yet Delivered"/>
    <x v="1"/>
    <n v="481"/>
    <x v="141"/>
    <n v="121.99"/>
    <n v="2"/>
    <x v="0"/>
    <s v="Not Applicable"/>
    <n v="4.4000000000000057"/>
    <n v="4.1580041580041582E-3"/>
    <n v="3.4812880765883424E-2"/>
  </r>
  <r>
    <s v="PO-00143"/>
    <x v="1"/>
    <x v="6"/>
    <x v="125"/>
    <d v="2024-05-24T00:00:00"/>
    <x v="0"/>
    <n v="261"/>
    <x v="142"/>
    <n v="497.52"/>
    <n v="0"/>
    <x v="0"/>
    <n v="3"/>
    <n v="8.3600000000000136"/>
    <n v="0"/>
    <n v="1.6525658258875649E-2"/>
  </r>
  <r>
    <s v="PO-00144"/>
    <x v="5"/>
    <x v="2"/>
    <x v="126"/>
    <d v="2024-07-22T00:00:00"/>
    <x v="3"/>
    <n v="76"/>
    <x v="143"/>
    <n v="109.59"/>
    <n v="2"/>
    <x v="0"/>
    <n v="30"/>
    <n v="5.5"/>
    <n v="2.6315789473684209E-2"/>
    <n v="4.7788687114432182E-2"/>
  </r>
  <r>
    <s v="PO-00145"/>
    <x v="7"/>
    <x v="3"/>
    <x v="44"/>
    <d v="2024-12-08T00:00:00"/>
    <x v="0"/>
    <n v="28"/>
    <x v="144"/>
    <n v="12700.95"/>
    <n v="0"/>
    <x v="0"/>
    <n v="15"/>
    <n v="299.0099999999984"/>
    <n v="0"/>
    <n v="2.30008400025845E-2"/>
  </r>
  <r>
    <s v="PO-00146"/>
    <x v="0"/>
    <x v="5"/>
    <x v="127"/>
    <d v="2024-06-27T00:00:00"/>
    <x v="0"/>
    <n v="170"/>
    <x v="145"/>
    <n v="867.87"/>
    <n v="2"/>
    <x v="0"/>
    <n v="23"/>
    <n v="46.009999999999991"/>
    <n v="1.1764705882352941E-2"/>
    <n v="5.0345778439182379E-2"/>
  </r>
  <r>
    <s v="PO-00147"/>
    <x v="5"/>
    <x v="10"/>
    <x v="128"/>
    <d v="2023-10-08T00:00:00"/>
    <x v="0"/>
    <n v="482"/>
    <x v="146"/>
    <n v="49727.5"/>
    <n v="10"/>
    <x v="0"/>
    <n v="7"/>
    <n v="1601.6600000000035"/>
    <n v="2.0746887966804978E-2"/>
    <n v="3.1203705651914104E-2"/>
  </r>
  <r>
    <s v="PO-00148"/>
    <x v="1"/>
    <x v="1"/>
    <x v="129"/>
    <d v="2023-08-28T00:00:00"/>
    <x v="0"/>
    <n v="183"/>
    <x v="147"/>
    <n v="4444.5200000000004"/>
    <n v="0"/>
    <x v="0"/>
    <n v="26"/>
    <n v="211.75"/>
    <n v="0"/>
    <n v="4.5476314732607853E-2"/>
  </r>
  <r>
    <s v="PO-00149"/>
    <x v="3"/>
    <x v="10"/>
    <x v="130"/>
    <d v="2023-09-13T00:00:00"/>
    <x v="0"/>
    <n v="357"/>
    <x v="148"/>
    <n v="50243.79"/>
    <n v="5"/>
    <x v="0"/>
    <n v="14"/>
    <n v="2908.9400000000023"/>
    <n v="1.4005602240896359E-2"/>
    <n v="5.4727950944382389E-2"/>
  </r>
  <r>
    <s v="PO-00150"/>
    <x v="6"/>
    <x v="11"/>
    <x v="131"/>
    <d v="2023-04-11T00:00:00"/>
    <x v="0"/>
    <n v="178"/>
    <x v="149"/>
    <n v="15851.39"/>
    <n v="1"/>
    <x v="0"/>
    <n v="11"/>
    <n v="171.65999999999985"/>
    <n v="5.6179775280898875E-3"/>
    <n v="1.071331612895172E-2"/>
  </r>
  <r>
    <s v="PO-00151"/>
    <x v="2"/>
    <x v="11"/>
    <x v="132"/>
    <s v="Not Yet Delivered"/>
    <x v="2"/>
    <n v="363"/>
    <x v="150"/>
    <n v="13515.11"/>
    <n v="2"/>
    <x v="0"/>
    <s v="Not Applicable"/>
    <n v="593.54999999999927"/>
    <n v="5.5096418732782371E-3"/>
    <n v="4.2069906000995083E-2"/>
  </r>
  <r>
    <s v="PO-00152"/>
    <x v="4"/>
    <x v="5"/>
    <x v="133"/>
    <d v="2023-05-08T00:00:00"/>
    <x v="0"/>
    <n v="255"/>
    <x v="151"/>
    <n v="809.63"/>
    <n v="4"/>
    <x v="0"/>
    <n v="17"/>
    <n v="16.82000000000005"/>
    <n v="1.5686274509803921E-2"/>
    <n v="2.0352108415512191E-2"/>
  </r>
  <r>
    <s v="PO-00153"/>
    <x v="0"/>
    <x v="9"/>
    <x v="134"/>
    <d v="2023-01-27T00:00:00"/>
    <x v="0"/>
    <n v="463"/>
    <x v="152"/>
    <n v="6838.08"/>
    <n v="6"/>
    <x v="1"/>
    <n v="13"/>
    <n v="171.05000000000018"/>
    <n v="1.2958963282937365E-2"/>
    <n v="2.4403884647595377E-2"/>
  </r>
  <r>
    <s v="PO-00154"/>
    <x v="7"/>
    <x v="5"/>
    <x v="135"/>
    <d v="2024-10-11T00:00:00"/>
    <x v="0"/>
    <n v="313"/>
    <x v="153"/>
    <n v="880.63"/>
    <n v="3"/>
    <x v="0"/>
    <n v="19"/>
    <n v="27.340000000000032"/>
    <n v="9.5846645367412137E-3"/>
    <n v="3.0111127019615221E-2"/>
  </r>
  <r>
    <s v="PO-00155"/>
    <x v="1"/>
    <x v="7"/>
    <x v="136"/>
    <d v="2024-12-30T00:00:00"/>
    <x v="0"/>
    <n v="247"/>
    <x v="154"/>
    <n v="10882.44"/>
    <n v="4"/>
    <x v="0"/>
    <n v="16"/>
    <n v="641.51999999999862"/>
    <n v="1.6194331983805668E-2"/>
    <n v="5.5668363999874924E-2"/>
  </r>
  <r>
    <s v="PO-00156"/>
    <x v="0"/>
    <x v="1"/>
    <x v="137"/>
    <d v="2024-06-24T00:00:00"/>
    <x v="0"/>
    <n v="224"/>
    <x v="155"/>
    <n v="5371.52"/>
    <n v="3"/>
    <x v="0"/>
    <n v="25"/>
    <n v="3.9799999999995634"/>
    <n v="1.3392857142857142E-2"/>
    <n v="7.4039624220994572E-4"/>
  </r>
  <r>
    <s v="PO-00157"/>
    <x v="5"/>
    <x v="4"/>
    <x v="138"/>
    <s v="Not Yet Delivered"/>
    <x v="1"/>
    <n v="339"/>
    <x v="156"/>
    <n v="48562.51"/>
    <n v="2"/>
    <x v="0"/>
    <s v="Not Applicable"/>
    <n v="1745.5299999999988"/>
    <n v="5.8997050147492625E-3"/>
    <n v="3.4696839709915134E-2"/>
  </r>
  <r>
    <s v="PO-00158"/>
    <x v="1"/>
    <x v="2"/>
    <x v="139"/>
    <d v="2023-08-29T00:00:00"/>
    <x v="3"/>
    <n v="22"/>
    <x v="157"/>
    <n v="112.75"/>
    <n v="0"/>
    <x v="0"/>
    <n v="4"/>
    <n v="1.8299999999999983"/>
    <n v="0"/>
    <n v="1.597137371268981E-2"/>
  </r>
  <r>
    <s v="PO-00159"/>
    <x v="6"/>
    <x v="4"/>
    <x v="140"/>
    <s v="Not Yet Delivered"/>
    <x v="2"/>
    <n v="329"/>
    <x v="158"/>
    <n v="47499.53"/>
    <n v="2"/>
    <x v="0"/>
    <s v="Not Applicable"/>
    <n v="1660.1300000000047"/>
    <n v="6.0790273556231003E-3"/>
    <n v="3.3770168467397957E-2"/>
  </r>
  <r>
    <s v="PO-00160"/>
    <x v="6"/>
    <x v="1"/>
    <x v="141"/>
    <s v="Not Yet Delivered"/>
    <x v="1"/>
    <n v="134"/>
    <x v="159"/>
    <n v="5231.71"/>
    <n v="2"/>
    <x v="0"/>
    <s v="Not Applicable"/>
    <n v="111.52999999999975"/>
    <n v="1.4925373134328358E-2"/>
    <n v="2.0873103210785917E-2"/>
  </r>
  <r>
    <s v="PO-00161"/>
    <x v="7"/>
    <x v="6"/>
    <x v="58"/>
    <d v="2024-04-17T00:00:00"/>
    <x v="0"/>
    <n v="428"/>
    <x v="160"/>
    <n v="531.01"/>
    <n v="0"/>
    <x v="0"/>
    <n v="24"/>
    <n v="19.940000000000055"/>
    <n v="0"/>
    <n v="3.6192031944822678E-2"/>
  </r>
  <r>
    <s v="PO-00162"/>
    <x v="7"/>
    <x v="8"/>
    <x v="142"/>
    <d v="2024-01-09T00:00:00"/>
    <x v="0"/>
    <n v="261"/>
    <x v="161"/>
    <n v="8157.13"/>
    <n v="0"/>
    <x v="0"/>
    <n v="13"/>
    <n v="206.8100000000004"/>
    <n v="0"/>
    <n v="2.4726384933416595E-2"/>
  </r>
  <r>
    <s v="PO-00163"/>
    <x v="6"/>
    <x v="6"/>
    <x v="143"/>
    <d v="2023-08-17T00:00:00"/>
    <x v="0"/>
    <n v="169"/>
    <x v="162"/>
    <n v="603.23"/>
    <n v="2"/>
    <x v="0"/>
    <n v="25"/>
    <n v="10.860000000000014"/>
    <n v="1.1834319526627219E-2"/>
    <n v="1.7684704196453311E-2"/>
  </r>
  <r>
    <s v="PO-00164"/>
    <x v="4"/>
    <x v="4"/>
    <x v="144"/>
    <d v="2024-11-02T00:00:00"/>
    <x v="0"/>
    <n v="461"/>
    <x v="163"/>
    <n v="44156.57"/>
    <n v="1"/>
    <x v="0"/>
    <n v="30"/>
    <n v="168.59999999999854"/>
    <n v="2.1691973969631237E-3"/>
    <n v="3.8037079158410119E-3"/>
  </r>
  <r>
    <s v="PO-00165"/>
    <x v="2"/>
    <x v="10"/>
    <x v="145"/>
    <s v="Not Yet Delivered"/>
    <x v="1"/>
    <n v="210"/>
    <x v="164"/>
    <n v="49201.7"/>
    <n v="2"/>
    <x v="0"/>
    <s v="Not Applicable"/>
    <n v="1845.7400000000052"/>
    <n v="9.5238095238095247E-3"/>
    <n v="3.6157346969799171E-2"/>
  </r>
  <r>
    <s v="PO-00166"/>
    <x v="2"/>
    <x v="4"/>
    <x v="146"/>
    <d v="2023-11-18T00:00:00"/>
    <x v="0"/>
    <n v="289"/>
    <x v="165"/>
    <n v="46540.35"/>
    <n v="2"/>
    <x v="0"/>
    <n v="16"/>
    <n v="1574.0900000000038"/>
    <n v="6.920415224913495E-3"/>
    <n v="3.2715542361087514E-2"/>
  </r>
  <r>
    <s v="PO-00167"/>
    <x v="5"/>
    <x v="5"/>
    <x v="147"/>
    <d v="2024-01-19T00:00:00"/>
    <x v="0"/>
    <n v="12"/>
    <x v="166"/>
    <n v="899.06"/>
    <n v="1"/>
    <x v="0"/>
    <n v="9"/>
    <n v="51.690000000000055"/>
    <n v="8.3333333333333329E-2"/>
    <n v="5.4367604522745257E-2"/>
  </r>
  <r>
    <s v="PO-00168"/>
    <x v="6"/>
    <x v="10"/>
    <x v="148"/>
    <d v="2023-05-18T00:00:00"/>
    <x v="0"/>
    <n v="222"/>
    <x v="167"/>
    <n v="52052.22"/>
    <n v="4"/>
    <x v="0"/>
    <n v="19"/>
    <n v="3260.6399999999994"/>
    <n v="1.8018018018018018E-2"/>
    <n v="5.8949040060485021E-2"/>
  </r>
  <r>
    <s v="PO-00169"/>
    <x v="2"/>
    <x v="1"/>
    <x v="85"/>
    <d v="2023-01-18T00:00:00"/>
    <x v="0"/>
    <n v="151"/>
    <x v="168"/>
    <n v="5201.49"/>
    <n v="1"/>
    <x v="1"/>
    <n v="17"/>
    <n v="54.610000000000582"/>
    <n v="6.6225165562913907E-3"/>
    <n v="1.0389832765738965E-2"/>
  </r>
  <r>
    <s v="PO-00170"/>
    <x v="6"/>
    <x v="11"/>
    <x v="149"/>
    <d v="2024-08-17T00:00:00"/>
    <x v="0"/>
    <n v="165"/>
    <x v="169"/>
    <n v="15364.98"/>
    <n v="0"/>
    <x v="0"/>
    <n v="10"/>
    <n v="120.07999999999993"/>
    <n v="0"/>
    <n v="7.754571180221448E-3"/>
  </r>
  <r>
    <s v="PO-00171"/>
    <x v="4"/>
    <x v="11"/>
    <x v="150"/>
    <d v="2024-10-19T00:00:00"/>
    <x v="3"/>
    <n v="106"/>
    <x v="170"/>
    <n v="13162.68"/>
    <n v="2"/>
    <x v="0"/>
    <n v="14"/>
    <n v="78.350000000000364"/>
    <n v="1.8867924528301886E-2"/>
    <n v="5.9172133889886479E-3"/>
  </r>
  <r>
    <s v="PO-00172"/>
    <x v="6"/>
    <x v="11"/>
    <x v="151"/>
    <d v="2024-08-31T00:00:00"/>
    <x v="0"/>
    <n v="217"/>
    <x v="171"/>
    <n v="14747.62"/>
    <n v="2"/>
    <x v="0"/>
    <n v="8"/>
    <n v="582.73999999999978"/>
    <n v="9.2165898617511521E-3"/>
    <n v="3.8012153661101222E-2"/>
  </r>
  <r>
    <s v="PO-00173"/>
    <x v="1"/>
    <x v="10"/>
    <x v="152"/>
    <d v="2023-04-27T00:00:00"/>
    <x v="0"/>
    <n v="478"/>
    <x v="172"/>
    <n v="46926.400000000001"/>
    <n v="4"/>
    <x v="0"/>
    <n v="15"/>
    <n v="2464.2699999999968"/>
    <n v="8.368200836820083E-3"/>
    <n v="4.9893431289755673E-2"/>
  </r>
  <r>
    <s v="PO-00174"/>
    <x v="4"/>
    <x v="4"/>
    <x v="153"/>
    <d v="2024-09-23T00:00:00"/>
    <x v="0"/>
    <n v="225"/>
    <x v="173"/>
    <n v="41707.79"/>
    <n v="1"/>
    <x v="0"/>
    <n v="3"/>
    <n v="1610.9499999999971"/>
    <n v="4.4444444444444444E-3"/>
    <n v="3.7188293103631295E-2"/>
  </r>
  <r>
    <s v="PO-00175"/>
    <x v="4"/>
    <x v="0"/>
    <x v="154"/>
    <d v="2024-06-05T00:00:00"/>
    <x v="0"/>
    <n v="368"/>
    <x v="174"/>
    <n v="3835.16"/>
    <n v="3"/>
    <x v="1"/>
    <n v="24"/>
    <n v="240.05999999999995"/>
    <n v="8.152173913043478E-3"/>
    <n v="5.8907249179185404E-2"/>
  </r>
  <r>
    <s v="PO-00176"/>
    <x v="1"/>
    <x v="5"/>
    <x v="30"/>
    <d v="2023-03-12T00:00:00"/>
    <x v="0"/>
    <n v="275"/>
    <x v="175"/>
    <n v="789.78"/>
    <n v="2"/>
    <x v="0"/>
    <n v="20"/>
    <n v="25.480000000000018"/>
    <n v="7.2727272727272727E-3"/>
    <n v="3.1253833132988275E-2"/>
  </r>
  <r>
    <s v="PO-00177"/>
    <x v="7"/>
    <x v="7"/>
    <x v="155"/>
    <d v="2023-06-24T00:00:00"/>
    <x v="0"/>
    <n v="295"/>
    <x v="176"/>
    <n v="11340.16"/>
    <n v="8"/>
    <x v="0"/>
    <n v="19"/>
    <n v="655.21999999999935"/>
    <n v="2.7118644067796609E-2"/>
    <n v="5.4622696404782456E-2"/>
  </r>
  <r>
    <s v="PO-00178"/>
    <x v="6"/>
    <x v="0"/>
    <x v="156"/>
    <d v="2023-05-13T00:00:00"/>
    <x v="3"/>
    <n v="78"/>
    <x v="177"/>
    <n v="4469.2700000000004"/>
    <n v="1"/>
    <x v="0"/>
    <n v="25"/>
    <n v="229.90999999999985"/>
    <n v="1.282051282051282E-2"/>
    <n v="4.89255572248775E-2"/>
  </r>
  <r>
    <s v="PO-00179"/>
    <x v="6"/>
    <x v="11"/>
    <x v="157"/>
    <d v="2024-02-17T00:00:00"/>
    <x v="0"/>
    <n v="176"/>
    <x v="178"/>
    <n v="14476.17"/>
    <n v="2"/>
    <x v="0"/>
    <n v="28"/>
    <n v="325.80999999999949"/>
    <n v="1.1363636363636364E-2"/>
    <n v="2.2011244441621964E-2"/>
  </r>
  <r>
    <s v="PO-00180"/>
    <x v="2"/>
    <x v="8"/>
    <x v="158"/>
    <d v="2023-01-19T00:00:00"/>
    <x v="3"/>
    <n v="476"/>
    <x v="179"/>
    <n v="7995.31"/>
    <n v="4"/>
    <x v="0"/>
    <n v="9"/>
    <n v="77.569999999999709"/>
    <n v="8.4033613445378148E-3"/>
    <n v="9.6087146099037412E-3"/>
  </r>
  <r>
    <s v="PO-00181"/>
    <x v="1"/>
    <x v="1"/>
    <x v="43"/>
    <d v="2024-09-23T00:00:00"/>
    <x v="0"/>
    <n v="64"/>
    <x v="180"/>
    <n v="4931.54"/>
    <n v="1"/>
    <x v="0"/>
    <n v="20"/>
    <n v="57.010000000000218"/>
    <n v="1.5625E-2"/>
    <n v="1.1428170510469017E-2"/>
  </r>
  <r>
    <s v="PO-00182"/>
    <x v="0"/>
    <x v="3"/>
    <x v="113"/>
    <d v="2023-08-31T00:00:00"/>
    <x v="0"/>
    <n v="165"/>
    <x v="181"/>
    <n v="11990.95"/>
    <n v="0"/>
    <x v="0"/>
    <n v="17"/>
    <n v="687.92000000000007"/>
    <n v="0"/>
    <n v="5.4257201154361549E-2"/>
  </r>
  <r>
    <s v="PO-00183"/>
    <x v="4"/>
    <x v="9"/>
    <x v="159"/>
    <d v="2023-03-22T00:00:00"/>
    <x v="0"/>
    <n v="445"/>
    <x v="182"/>
    <n v="5973.3"/>
    <n v="6"/>
    <x v="0"/>
    <n v="4"/>
    <n v="4.3800000000001091"/>
    <n v="1.3483146067415731E-2"/>
    <n v="7.327257397518952E-4"/>
  </r>
  <r>
    <s v="PO-00184"/>
    <x v="2"/>
    <x v="9"/>
    <x v="160"/>
    <d v="2024-04-08T00:00:00"/>
    <x v="3"/>
    <n v="491"/>
    <x v="183"/>
    <n v="6054.43"/>
    <n v="4"/>
    <x v="0"/>
    <n v="5"/>
    <n v="66.579999999999927"/>
    <n v="8.1466395112016286E-3"/>
    <n v="1.087728985902652E-2"/>
  </r>
  <r>
    <s v="PO-00185"/>
    <x v="7"/>
    <x v="1"/>
    <x v="161"/>
    <d v="2024-01-16T00:00:00"/>
    <x v="0"/>
    <n v="168"/>
    <x v="184"/>
    <n v="4756.38"/>
    <n v="2"/>
    <x v="0"/>
    <n v="28"/>
    <n v="201.26999999999953"/>
    <n v="1.1904761904761904E-2"/>
    <n v="4.0597863907294696E-2"/>
  </r>
  <r>
    <s v="PO-00186"/>
    <x v="7"/>
    <x v="2"/>
    <x v="162"/>
    <d v="2024-03-12T00:00:00"/>
    <x v="0"/>
    <n v="31"/>
    <x v="185"/>
    <n v="115.52"/>
    <n v="0"/>
    <x v="0"/>
    <n v="9"/>
    <n v="5.2800000000000011"/>
    <n v="0"/>
    <n v="4.3708609271523188E-2"/>
  </r>
  <r>
    <s v="PO-00187"/>
    <x v="3"/>
    <x v="11"/>
    <x v="163"/>
    <d v="2024-12-30T00:00:00"/>
    <x v="0"/>
    <n v="176"/>
    <x v="186"/>
    <n v="14677.19"/>
    <n v="1"/>
    <x v="0"/>
    <n v="3"/>
    <n v="400.03999999999905"/>
    <n v="5.681818181818182E-3"/>
    <n v="2.6532725175645595E-2"/>
  </r>
  <r>
    <s v="PO-00188"/>
    <x v="7"/>
    <x v="6"/>
    <x v="164"/>
    <d v="2024-05-02T00:00:00"/>
    <x v="0"/>
    <n v="291"/>
    <x v="187"/>
    <n v="533.22"/>
    <n v="4"/>
    <x v="0"/>
    <n v="11"/>
    <n v="27.92999999999995"/>
    <n v="1.3745704467353952E-2"/>
    <n v="4.9772788024592271E-2"/>
  </r>
  <r>
    <s v="PO-00189"/>
    <x v="5"/>
    <x v="2"/>
    <x v="165"/>
    <d v="2024-06-18T00:00:00"/>
    <x v="0"/>
    <n v="148"/>
    <x v="188"/>
    <n v="112.06"/>
    <n v="6"/>
    <x v="0"/>
    <n v="20"/>
    <n v="6.25"/>
    <n v="4.0540540540540543E-2"/>
    <n v="5.2827318062716594E-2"/>
  </r>
  <r>
    <s v="PO-00190"/>
    <x v="4"/>
    <x v="9"/>
    <x v="166"/>
    <s v="Not Yet Delivered"/>
    <x v="2"/>
    <n v="88"/>
    <x v="189"/>
    <n v="5737.02"/>
    <n v="2"/>
    <x v="0"/>
    <s v="Not Applicable"/>
    <n v="331.66999999999916"/>
    <n v="2.2727272727272728E-2"/>
    <n v="5.4652651560715602E-2"/>
  </r>
  <r>
    <s v="PO-00191"/>
    <x v="4"/>
    <x v="2"/>
    <x v="79"/>
    <d v="2024-06-07T00:00:00"/>
    <x v="0"/>
    <n v="230"/>
    <x v="190"/>
    <n v="99.07"/>
    <n v="0"/>
    <x v="1"/>
    <n v="24"/>
    <n v="5.5400000000000063"/>
    <n v="0"/>
    <n v="5.2958608163655545E-2"/>
  </r>
  <r>
    <s v="PO-00192"/>
    <x v="2"/>
    <x v="9"/>
    <x v="167"/>
    <d v="2023-07-23T00:00:00"/>
    <x v="0"/>
    <n v="194"/>
    <x v="191"/>
    <n v="6051.88"/>
    <n v="3"/>
    <x v="0"/>
    <n v="24"/>
    <n v="148.59000000000015"/>
    <n v="1.5463917525773196E-2"/>
    <n v="2.3964312382771007E-2"/>
  </r>
  <r>
    <s v="PO-00193"/>
    <x v="3"/>
    <x v="5"/>
    <x v="168"/>
    <d v="2023-01-26T00:00:00"/>
    <x v="0"/>
    <n v="243"/>
    <x v="192"/>
    <n v="881.63"/>
    <n v="7"/>
    <x v="0"/>
    <n v="14"/>
    <n v="25.039999999999964"/>
    <n v="2.8806584362139918E-2"/>
    <n v="2.7617545523729654E-2"/>
  </r>
  <r>
    <s v="PO-00194"/>
    <x v="0"/>
    <x v="0"/>
    <x v="66"/>
    <d v="2024-07-07T00:00:00"/>
    <x v="0"/>
    <n v="77"/>
    <x v="193"/>
    <n v="4063.04"/>
    <n v="2"/>
    <x v="0"/>
    <n v="28"/>
    <n v="253.03999999999996"/>
    <n v="2.5974025974025976E-2"/>
    <n v="5.8627272895775788E-2"/>
  </r>
  <r>
    <s v="PO-00195"/>
    <x v="3"/>
    <x v="9"/>
    <x v="169"/>
    <d v="2023-09-12T00:00:00"/>
    <x v="0"/>
    <n v="314"/>
    <x v="194"/>
    <n v="6328.71"/>
    <n v="3"/>
    <x v="0"/>
    <n v="2"/>
    <n v="153.09000000000015"/>
    <n v="9.5541401273885346E-3"/>
    <n v="2.3618439322410464E-2"/>
  </r>
  <r>
    <s v="PO-00196"/>
    <x v="4"/>
    <x v="9"/>
    <x v="170"/>
    <d v="2023-01-28T00:00:00"/>
    <x v="0"/>
    <n v="145"/>
    <x v="195"/>
    <n v="5555.91"/>
    <n v="0"/>
    <x v="0"/>
    <n v="3"/>
    <n v="329.02999999999975"/>
    <n v="0"/>
    <n v="5.5910510557456793E-2"/>
  </r>
  <r>
    <s v="PO-00197"/>
    <x v="7"/>
    <x v="2"/>
    <x v="71"/>
    <d v="2024-07-03T00:00:00"/>
    <x v="0"/>
    <n v="338"/>
    <x v="196"/>
    <m/>
    <n v="0"/>
    <x v="0"/>
    <n v="7"/>
    <n v="124.16"/>
    <n v="0"/>
    <n v="1"/>
  </r>
  <r>
    <s v="PO-00198"/>
    <x v="7"/>
    <x v="3"/>
    <x v="171"/>
    <d v="2024-04-23T00:00:00"/>
    <x v="3"/>
    <n v="422"/>
    <x v="197"/>
    <n v="11619.36"/>
    <n v="4"/>
    <x v="0"/>
    <n v="12"/>
    <n v="695.93999999999869"/>
    <n v="9.4786729857819912E-3"/>
    <n v="5.6510194635940557E-2"/>
  </r>
  <r>
    <s v="PO-00199"/>
    <x v="1"/>
    <x v="9"/>
    <x v="166"/>
    <d v="2023-06-06T00:00:00"/>
    <x v="0"/>
    <n v="333"/>
    <x v="198"/>
    <n v="6038.83"/>
    <n v="1"/>
    <x v="1"/>
    <n v="8"/>
    <n v="278.44000000000051"/>
    <n v="3.003003003003003E-3"/>
    <n v="4.407600118405585E-2"/>
  </r>
  <r>
    <s v="PO-00200"/>
    <x v="7"/>
    <x v="10"/>
    <x v="172"/>
    <s v="Not Yet Delivered"/>
    <x v="2"/>
    <n v="384"/>
    <x v="199"/>
    <n v="49148.41"/>
    <n v="2"/>
    <x v="0"/>
    <s v="Not Applicable"/>
    <n v="1134.6999999999971"/>
    <n v="5.208333333333333E-3"/>
    <n v="2.2566225517872643E-2"/>
  </r>
  <r>
    <s v="PO-00201"/>
    <x v="0"/>
    <x v="6"/>
    <x v="173"/>
    <d v="2024-12-31T00:00:00"/>
    <x v="0"/>
    <n v="66"/>
    <x v="200"/>
    <n v="565.39"/>
    <n v="2"/>
    <x v="0"/>
    <n v="28"/>
    <n v="22.789999999999964"/>
    <n v="3.0303030303030304E-2"/>
    <n v="3.8746642184365271E-2"/>
  </r>
  <r>
    <s v="PO-00202"/>
    <x v="3"/>
    <x v="0"/>
    <x v="174"/>
    <d v="2024-08-18T00:00:00"/>
    <x v="3"/>
    <n v="223"/>
    <x v="201"/>
    <n v="4188.7700000000004"/>
    <n v="1"/>
    <x v="0"/>
    <n v="22"/>
    <n v="53.369999999999891"/>
    <n v="4.4843049327354259E-3"/>
    <n v="1.258091434983284E-2"/>
  </r>
  <r>
    <s v="PO-00203"/>
    <x v="3"/>
    <x v="6"/>
    <x v="130"/>
    <d v="2023-09-13T00:00:00"/>
    <x v="0"/>
    <n v="497"/>
    <x v="202"/>
    <n v="585.98"/>
    <n v="3"/>
    <x v="0"/>
    <n v="14"/>
    <n v="7.0599999999999454"/>
    <n v="6.0362173038229373E-3"/>
    <n v="1.1904761904761814E-2"/>
  </r>
  <r>
    <s v="PO-00204"/>
    <x v="0"/>
    <x v="6"/>
    <x v="62"/>
    <d v="2023-07-23T00:00:00"/>
    <x v="0"/>
    <n v="121"/>
    <x v="203"/>
    <n v="547.28"/>
    <n v="3"/>
    <x v="0"/>
    <n v="21"/>
    <n v="29.410000000000082"/>
    <n v="2.4793388429752067E-2"/>
    <n v="5.099793649967934E-2"/>
  </r>
  <r>
    <s v="PO-00205"/>
    <x v="3"/>
    <x v="11"/>
    <x v="175"/>
    <d v="2023-02-08T00:00:00"/>
    <x v="0"/>
    <n v="46"/>
    <x v="204"/>
    <n v="15444.37"/>
    <n v="2"/>
    <x v="0"/>
    <n v="18"/>
    <n v="41.5"/>
    <n v="4.3478260869565216E-2"/>
    <n v="2.6798623519376048E-3"/>
  </r>
  <r>
    <s v="PO-00206"/>
    <x v="3"/>
    <x v="10"/>
    <x v="130"/>
    <d v="2023-09-28T00:00:00"/>
    <x v="0"/>
    <n v="318"/>
    <x v="205"/>
    <n v="50792.5"/>
    <n v="7"/>
    <x v="0"/>
    <n v="29"/>
    <n v="675.7699999999968"/>
    <n v="2.20125786163522E-2"/>
    <n v="1.3129837082147832E-2"/>
  </r>
  <r>
    <s v="PO-00207"/>
    <x v="0"/>
    <x v="10"/>
    <x v="176"/>
    <d v="2023-07-16T00:00:00"/>
    <x v="0"/>
    <n v="471"/>
    <x v="206"/>
    <n v="51979.91"/>
    <n v="0"/>
    <x v="0"/>
    <n v="24"/>
    <n v="36.589999999996508"/>
    <n v="0"/>
    <n v="7.0343064220000401E-4"/>
  </r>
  <r>
    <s v="PO-00208"/>
    <x v="5"/>
    <x v="3"/>
    <x v="177"/>
    <d v="2024-05-06T00:00:00"/>
    <x v="0"/>
    <n v="156"/>
    <x v="207"/>
    <n v="11455.34"/>
    <n v="0"/>
    <x v="0"/>
    <n v="9"/>
    <n v="348.02000000000044"/>
    <n v="0"/>
    <n v="2.9484824660096821E-2"/>
  </r>
  <r>
    <s v="PO-00209"/>
    <x v="1"/>
    <x v="0"/>
    <x v="178"/>
    <d v="2024-07-16T00:00:00"/>
    <x v="3"/>
    <n v="55"/>
    <x v="208"/>
    <n v="3588.39"/>
    <n v="0"/>
    <x v="0"/>
    <n v="23"/>
    <n v="205.22000000000025"/>
    <n v="0"/>
    <n v="5.4096230239798045E-2"/>
  </r>
  <r>
    <s v="PO-00210"/>
    <x v="2"/>
    <x v="2"/>
    <x v="179"/>
    <d v="2023-08-14T00:00:00"/>
    <x v="0"/>
    <n v="140"/>
    <x v="209"/>
    <n v="116.24"/>
    <n v="0"/>
    <x v="0"/>
    <n v="3"/>
    <n v="2.6800000000000068"/>
    <n v="0"/>
    <n v="2.2536158762193129E-2"/>
  </r>
  <r>
    <s v="PO-00211"/>
    <x v="2"/>
    <x v="9"/>
    <x v="6"/>
    <d v="2023-08-16T00:00:00"/>
    <x v="3"/>
    <n v="382"/>
    <x v="210"/>
    <n v="6184.81"/>
    <n v="6"/>
    <x v="0"/>
    <n v="11"/>
    <n v="38.909999999999854"/>
    <n v="1.5706806282722512E-2"/>
    <n v="6.2518879384033752E-3"/>
  </r>
  <r>
    <s v="PO-00212"/>
    <x v="5"/>
    <x v="6"/>
    <x v="180"/>
    <d v="2023-12-29T00:00:00"/>
    <x v="0"/>
    <n v="404"/>
    <x v="211"/>
    <n v="558.82000000000005"/>
    <n v="1"/>
    <x v="0"/>
    <n v="12"/>
    <n v="11.759999999999991"/>
    <n v="2.4752475247524753E-3"/>
    <n v="2.0610606751025256E-2"/>
  </r>
  <r>
    <s v="PO-00213"/>
    <x v="1"/>
    <x v="1"/>
    <x v="181"/>
    <d v="2023-05-25T00:00:00"/>
    <x v="0"/>
    <n v="477"/>
    <x v="212"/>
    <n v="4486.34"/>
    <n v="4"/>
    <x v="0"/>
    <n v="21"/>
    <n v="204.38999999999942"/>
    <n v="8.385744234800839E-3"/>
    <n v="4.3573175177424289E-2"/>
  </r>
  <r>
    <s v="PO-00214"/>
    <x v="3"/>
    <x v="3"/>
    <x v="182"/>
    <d v="2024-07-07T00:00:00"/>
    <x v="0"/>
    <n v="226"/>
    <x v="213"/>
    <n v="13180.39"/>
    <n v="2"/>
    <x v="1"/>
    <n v="10"/>
    <n v="122.51000000000022"/>
    <n v="8.8495575221238937E-3"/>
    <n v="9.2092701591382498E-3"/>
  </r>
  <r>
    <s v="PO-00215"/>
    <x v="4"/>
    <x v="1"/>
    <x v="183"/>
    <d v="2024-10-31T00:00:00"/>
    <x v="3"/>
    <n v="155"/>
    <x v="214"/>
    <n v="4633.1099999999997"/>
    <n v="1"/>
    <x v="0"/>
    <n v="23"/>
    <n v="240.53999999999996"/>
    <n v="6.4516129032258064E-3"/>
    <n v="4.9355206057061951E-2"/>
  </r>
  <r>
    <s v="PO-00216"/>
    <x v="7"/>
    <x v="4"/>
    <x v="184"/>
    <d v="2023-08-17T00:00:00"/>
    <x v="0"/>
    <n v="467"/>
    <x v="215"/>
    <n v="45098.13"/>
    <n v="10"/>
    <x v="0"/>
    <n v="16"/>
    <n v="94.55000000000291"/>
    <n v="2.1413276231263382E-2"/>
    <n v="2.0921529769866031E-3"/>
  </r>
  <r>
    <s v="PO-00217"/>
    <x v="5"/>
    <x v="10"/>
    <x v="165"/>
    <d v="2024-06-06T00:00:00"/>
    <x v="0"/>
    <n v="195"/>
    <x v="216"/>
    <n v="47019.08"/>
    <n v="3"/>
    <x v="0"/>
    <n v="8"/>
    <n v="2521.9300000000003"/>
    <n v="1.5384615384615385E-2"/>
    <n v="5.0905906036231401E-2"/>
  </r>
  <r>
    <s v="PO-00218"/>
    <x v="5"/>
    <x v="8"/>
    <x v="185"/>
    <d v="2024-08-11T00:00:00"/>
    <x v="0"/>
    <n v="133"/>
    <x v="217"/>
    <n v="8684.34"/>
    <n v="2"/>
    <x v="0"/>
    <n v="5"/>
    <n v="62.209999999999127"/>
    <n v="1.5037593984962405E-2"/>
    <n v="7.1125186502105555E-3"/>
  </r>
  <r>
    <s v="PO-00219"/>
    <x v="7"/>
    <x v="8"/>
    <x v="186"/>
    <d v="2023-11-15T00:00:00"/>
    <x v="3"/>
    <n v="235"/>
    <x v="218"/>
    <n v="8371.35"/>
    <n v="0"/>
    <x v="0"/>
    <n v="17"/>
    <n v="159.76000000000022"/>
    <n v="0"/>
    <n v="1.872675419728502E-2"/>
  </r>
  <r>
    <s v="PO-00220"/>
    <x v="0"/>
    <x v="11"/>
    <x v="187"/>
    <d v="2023-08-23T00:00:00"/>
    <x v="0"/>
    <n v="466"/>
    <x v="219"/>
    <n v="14644.5"/>
    <n v="10"/>
    <x v="0"/>
    <n v="26"/>
    <n v="36.930000000000291"/>
    <n v="2.1459227467811159E-2"/>
    <n v="2.5154225439892632E-3"/>
  </r>
  <r>
    <s v="PO-00221"/>
    <x v="7"/>
    <x v="3"/>
    <x v="188"/>
    <s v="Not Yet Delivered"/>
    <x v="2"/>
    <n v="136"/>
    <x v="220"/>
    <n v="11943.62"/>
    <n v="2"/>
    <x v="0"/>
    <s v="Not Applicable"/>
    <n v="261.15999999999985"/>
    <n v="1.4705882352941176E-2"/>
    <n v="2.1398173502512937E-2"/>
  </r>
  <r>
    <s v="PO-00222"/>
    <x v="4"/>
    <x v="6"/>
    <x v="88"/>
    <d v="2024-04-20T00:00:00"/>
    <x v="0"/>
    <n v="314"/>
    <x v="221"/>
    <n v="486.91"/>
    <n v="1"/>
    <x v="0"/>
    <n v="7"/>
    <n v="30.96999999999997"/>
    <n v="3.1847133757961785E-3"/>
    <n v="5.9801498416621551E-2"/>
  </r>
  <r>
    <s v="PO-00223"/>
    <x v="0"/>
    <x v="0"/>
    <x v="189"/>
    <d v="2023-09-05T00:00:00"/>
    <x v="0"/>
    <n v="18"/>
    <x v="222"/>
    <n v="4284.83"/>
    <n v="0"/>
    <x v="0"/>
    <n v="27"/>
    <n v="243.39999999999964"/>
    <n v="0"/>
    <n v="5.3751686641358688E-2"/>
  </r>
  <r>
    <s v="PO-00224"/>
    <x v="1"/>
    <x v="4"/>
    <x v="81"/>
    <d v="2023-06-23T00:00:00"/>
    <x v="0"/>
    <n v="192"/>
    <x v="223"/>
    <n v="45468.65"/>
    <n v="4"/>
    <x v="1"/>
    <n v="15"/>
    <n v="1411.2999999999956"/>
    <n v="2.0833333333333332E-2"/>
    <n v="3.0104554292399964E-2"/>
  </r>
  <r>
    <s v="PO-00225"/>
    <x v="6"/>
    <x v="6"/>
    <x v="122"/>
    <d v="2024-12-28T00:00:00"/>
    <x v="3"/>
    <n v="23"/>
    <x v="224"/>
    <n v="559.57000000000005"/>
    <n v="0"/>
    <x v="0"/>
    <n v="24"/>
    <n v="30.169999999999959"/>
    <n v="0"/>
    <n v="5.1158137484315053E-2"/>
  </r>
  <r>
    <s v="PO-00226"/>
    <x v="1"/>
    <x v="2"/>
    <x v="190"/>
    <d v="2023-11-01T00:00:00"/>
    <x v="0"/>
    <n v="463"/>
    <x v="225"/>
    <n v="111.09"/>
    <n v="8"/>
    <x v="0"/>
    <n v="2"/>
    <n v="4.8699999999999903"/>
    <n v="1.7278617710583154E-2"/>
    <n v="4.1997240427733618E-2"/>
  </r>
  <r>
    <s v="PO-00227"/>
    <x v="6"/>
    <x v="11"/>
    <x v="191"/>
    <d v="2023-04-05T00:00:00"/>
    <x v="0"/>
    <n v="128"/>
    <x v="226"/>
    <n v="15045.04"/>
    <n v="4"/>
    <x v="0"/>
    <n v="17"/>
    <n v="396.65999999999985"/>
    <n v="3.125E-2"/>
    <n v="2.5687586211362728E-2"/>
  </r>
  <r>
    <s v="PO-00228"/>
    <x v="2"/>
    <x v="7"/>
    <x v="192"/>
    <d v="2023-09-25T00:00:00"/>
    <x v="3"/>
    <n v="122"/>
    <x v="227"/>
    <n v="10882.26"/>
    <n v="1"/>
    <x v="0"/>
    <n v="14"/>
    <n v="324.03000000000065"/>
    <n v="8.1967213114754103E-3"/>
    <n v="2.8915011123217465E-2"/>
  </r>
  <r>
    <s v="PO-00229"/>
    <x v="7"/>
    <x v="6"/>
    <x v="193"/>
    <d v="2023-02-25T00:00:00"/>
    <x v="0"/>
    <n v="409"/>
    <x v="228"/>
    <n v="524.96"/>
    <n v="2"/>
    <x v="0"/>
    <n v="7"/>
    <n v="16.809999999999945"/>
    <n v="4.8899755501222494E-3"/>
    <n v="3.1027926980083699E-2"/>
  </r>
  <r>
    <s v="PO-00230"/>
    <x v="2"/>
    <x v="1"/>
    <x v="43"/>
    <d v="2024-09-16T00:00:00"/>
    <x v="0"/>
    <n v="330"/>
    <x v="229"/>
    <n v="4507.0600000000004"/>
    <n v="6"/>
    <x v="1"/>
    <n v="13"/>
    <n v="219.72999999999956"/>
    <n v="1.8181818181818181E-2"/>
    <n v="4.6486093099122147E-2"/>
  </r>
  <r>
    <s v="PO-00231"/>
    <x v="0"/>
    <x v="1"/>
    <x v="194"/>
    <s v="Not Yet Delivered"/>
    <x v="2"/>
    <n v="418"/>
    <x v="230"/>
    <n v="4932.1099999999997"/>
    <n v="2"/>
    <x v="0"/>
    <s v="Not Applicable"/>
    <n v="224.07000000000062"/>
    <n v="4.7846889952153108E-3"/>
    <n v="4.3456589956130429E-2"/>
  </r>
  <r>
    <s v="PO-00232"/>
    <x v="6"/>
    <x v="11"/>
    <x v="194"/>
    <s v="Not Yet Delivered"/>
    <x v="2"/>
    <n v="221"/>
    <x v="231"/>
    <n v="15272.65"/>
    <n v="2"/>
    <x v="0"/>
    <s v="Not Applicable"/>
    <n v="907.34000000000015"/>
    <n v="9.0497737556561094E-3"/>
    <n v="5.6077908577199374E-2"/>
  </r>
  <r>
    <s v="PO-00233"/>
    <x v="3"/>
    <x v="4"/>
    <x v="195"/>
    <d v="2024-03-24T00:00:00"/>
    <x v="0"/>
    <n v="25"/>
    <x v="232"/>
    <n v="47413.78"/>
    <n v="0"/>
    <x v="0"/>
    <n v="8"/>
    <n v="1736.7000000000044"/>
    <n v="0"/>
    <n v="3.5334344649330066E-2"/>
  </r>
  <r>
    <s v="PO-00234"/>
    <x v="6"/>
    <x v="1"/>
    <x v="196"/>
    <d v="2023-08-02T00:00:00"/>
    <x v="3"/>
    <n v="409"/>
    <x v="233"/>
    <n v="5128.9399999999996"/>
    <n v="6"/>
    <x v="0"/>
    <n v="15"/>
    <n v="185.32000000000062"/>
    <n v="1.4669926650366748E-2"/>
    <n v="3.487221174726126E-2"/>
  </r>
  <r>
    <s v="PO-00235"/>
    <x v="7"/>
    <x v="8"/>
    <x v="197"/>
    <d v="2023-11-14T00:00:00"/>
    <x v="0"/>
    <n v="407"/>
    <x v="234"/>
    <n v="8195.69"/>
    <n v="0"/>
    <x v="0"/>
    <n v="13"/>
    <n v="26.1299999999992"/>
    <n v="0"/>
    <n v="3.178128443580521E-3"/>
  </r>
  <r>
    <s v="PO-00236"/>
    <x v="2"/>
    <x v="8"/>
    <x v="198"/>
    <d v="2023-12-23T00:00:00"/>
    <x v="0"/>
    <n v="90"/>
    <x v="235"/>
    <n v="7984.89"/>
    <n v="1"/>
    <x v="0"/>
    <n v="30"/>
    <n v="235.0600000000004"/>
    <n v="1.1111111111111112E-2"/>
    <n v="2.8596280999276198E-2"/>
  </r>
  <r>
    <s v="PO-00237"/>
    <x v="2"/>
    <x v="10"/>
    <x v="17"/>
    <d v="2024-09-12T00:00:00"/>
    <x v="0"/>
    <n v="458"/>
    <x v="236"/>
    <n v="47836.07"/>
    <n v="12"/>
    <x v="0"/>
    <n v="11"/>
    <n v="443.44000000000233"/>
    <n v="2.6200873362445413E-2"/>
    <n v="9.1848488106031374E-3"/>
  </r>
  <r>
    <s v="PO-00238"/>
    <x v="5"/>
    <x v="4"/>
    <x v="59"/>
    <d v="2024-03-26T00:00:00"/>
    <x v="0"/>
    <n v="129"/>
    <x v="237"/>
    <n v="47331.64"/>
    <n v="2"/>
    <x v="0"/>
    <n v="16"/>
    <n v="2104.2300000000032"/>
    <n v="1.5503875968992248E-2"/>
    <n v="4.2564842087334624E-2"/>
  </r>
  <r>
    <s v="PO-00239"/>
    <x v="5"/>
    <x v="10"/>
    <x v="199"/>
    <d v="2023-02-06T00:00:00"/>
    <x v="3"/>
    <n v="395"/>
    <x v="238"/>
    <n v="52838.64"/>
    <n v="3"/>
    <x v="0"/>
    <n v="5"/>
    <n v="1483.489999999998"/>
    <n v="7.5949367088607592E-3"/>
    <n v="2.7309127974179181E-2"/>
  </r>
  <r>
    <s v="PO-00240"/>
    <x v="0"/>
    <x v="11"/>
    <x v="124"/>
    <d v="2024-09-22T00:00:00"/>
    <x v="3"/>
    <n v="274"/>
    <x v="239"/>
    <n v="14262.2"/>
    <n v="3"/>
    <x v="0"/>
    <n v="27"/>
    <n v="485.57999999999993"/>
    <n v="1.0948905109489052E-2"/>
    <n v="3.2925633552982204E-2"/>
  </r>
  <r>
    <s v="PO-00241"/>
    <x v="5"/>
    <x v="3"/>
    <x v="200"/>
    <d v="2023-02-21T00:00:00"/>
    <x v="0"/>
    <n v="101"/>
    <x v="240"/>
    <n v="12186.83"/>
    <n v="1"/>
    <x v="0"/>
    <n v="8"/>
    <n v="149.26000000000022"/>
    <n v="9.9009900990099011E-3"/>
    <n v="1.2099457769844434E-2"/>
  </r>
  <r>
    <s v="PO-00242"/>
    <x v="1"/>
    <x v="3"/>
    <x v="72"/>
    <d v="2024-06-16T00:00:00"/>
    <x v="3"/>
    <n v="272"/>
    <x v="241"/>
    <n v="11278.92"/>
    <n v="1"/>
    <x v="0"/>
    <n v="29"/>
    <n v="503.96999999999935"/>
    <n v="3.6764705882352941E-3"/>
    <n v="4.2771340477590757E-2"/>
  </r>
  <r>
    <s v="PO-00243"/>
    <x v="3"/>
    <x v="1"/>
    <x v="201"/>
    <d v="2024-07-15T00:00:00"/>
    <x v="0"/>
    <n v="320"/>
    <x v="242"/>
    <n v="5361.35"/>
    <n v="5"/>
    <x v="0"/>
    <n v="8"/>
    <n v="67.339999999999236"/>
    <n v="1.5625E-2"/>
    <n v="1.2404465902455149E-2"/>
  </r>
  <r>
    <s v="PO-00244"/>
    <x v="2"/>
    <x v="11"/>
    <x v="25"/>
    <d v="2023-09-06T00:00:00"/>
    <x v="3"/>
    <n v="133"/>
    <x v="243"/>
    <n v="12638.87"/>
    <n v="2"/>
    <x v="1"/>
    <n v="29"/>
    <n v="501.68999999999869"/>
    <n v="1.5037593984962405E-2"/>
    <n v="3.8178738196849957E-2"/>
  </r>
  <r>
    <s v="PO-00245"/>
    <x v="5"/>
    <x v="3"/>
    <x v="202"/>
    <d v="2024-10-12T00:00:00"/>
    <x v="0"/>
    <n v="16"/>
    <x v="244"/>
    <n v="12334.67"/>
    <n v="0"/>
    <x v="0"/>
    <n v="2"/>
    <n v="524.93000000000029"/>
    <n v="0"/>
    <n v="4.0820087716569746E-2"/>
  </r>
  <r>
    <s v="PO-00246"/>
    <x v="0"/>
    <x v="5"/>
    <x v="152"/>
    <d v="2023-04-18T00:00:00"/>
    <x v="0"/>
    <n v="227"/>
    <x v="245"/>
    <n v="912.45"/>
    <n v="3"/>
    <x v="0"/>
    <n v="6"/>
    <n v="50.259999999999991"/>
    <n v="1.3215859030837005E-2"/>
    <n v="5.2206791245546412E-2"/>
  </r>
  <r>
    <s v="PO-00247"/>
    <x v="1"/>
    <x v="6"/>
    <x v="203"/>
    <d v="2024-12-20T00:00:00"/>
    <x v="0"/>
    <n v="480"/>
    <x v="246"/>
    <n v="533.37"/>
    <n v="14"/>
    <x v="0"/>
    <n v="19"/>
    <n v="5.8500000000000227"/>
    <n v="2.9166666666666667E-2"/>
    <n v="1.0849004117058015E-2"/>
  </r>
  <r>
    <s v="PO-00248"/>
    <x v="0"/>
    <x v="2"/>
    <x v="204"/>
    <d v="2024-04-14T00:00:00"/>
    <x v="0"/>
    <n v="217"/>
    <x v="100"/>
    <n v="120.96"/>
    <n v="1"/>
    <x v="0"/>
    <n v="13"/>
    <n v="1.3300000000000125"/>
    <n v="4.608294930875576E-3"/>
    <n v="1.0875787063537595E-2"/>
  </r>
  <r>
    <s v="PO-00249"/>
    <x v="7"/>
    <x v="10"/>
    <x v="205"/>
    <d v="2024-11-24T00:00:00"/>
    <x v="3"/>
    <n v="184"/>
    <x v="247"/>
    <n v="53140.93"/>
    <n v="3"/>
    <x v="0"/>
    <n v="19"/>
    <n v="843.22000000000116"/>
    <n v="1.6304347826086956E-2"/>
    <n v="1.5619769876899075E-2"/>
  </r>
  <r>
    <s v="PO-00250"/>
    <x v="0"/>
    <x v="6"/>
    <x v="206"/>
    <d v="2024-11-02T00:00:00"/>
    <x v="3"/>
    <n v="354"/>
    <x v="248"/>
    <n v="597.29"/>
    <n v="0"/>
    <x v="0"/>
    <n v="21"/>
    <n v="13.410000000000082"/>
    <n v="0"/>
    <n v="2.1958408383821976E-2"/>
  </r>
  <r>
    <s v="PO-00251"/>
    <x v="4"/>
    <x v="0"/>
    <x v="8"/>
    <d v="2023-08-13T00:00:00"/>
    <x v="0"/>
    <n v="152"/>
    <x v="249"/>
    <n v="3700.96"/>
    <n v="2"/>
    <x v="0"/>
    <n v="24"/>
    <n v="36.539999999999964"/>
    <n v="1.3157894736842105E-2"/>
    <n v="9.7765886287625326E-3"/>
  </r>
  <r>
    <s v="PO-00252"/>
    <x v="1"/>
    <x v="6"/>
    <x v="207"/>
    <s v="Not Yet Delivered"/>
    <x v="2"/>
    <n v="121"/>
    <x v="250"/>
    <n v="503.92"/>
    <n v="2"/>
    <x v="0"/>
    <s v="Not Applicable"/>
    <n v="7.3899999999999864"/>
    <n v="1.6528925619834711E-2"/>
    <n v="1.445307152216852E-2"/>
  </r>
  <r>
    <s v="PO-00253"/>
    <x v="0"/>
    <x v="3"/>
    <x v="208"/>
    <d v="2023-08-23T00:00:00"/>
    <x v="0"/>
    <n v="214"/>
    <x v="251"/>
    <n v="13261.62"/>
    <n v="0"/>
    <x v="0"/>
    <n v="28"/>
    <n v="100.83999999999833"/>
    <n v="0"/>
    <n v="7.5465146387714791E-3"/>
  </r>
  <r>
    <s v="PO-00254"/>
    <x v="7"/>
    <x v="5"/>
    <x v="209"/>
    <d v="2024-12-30T00:00:00"/>
    <x v="0"/>
    <n v="39"/>
    <x v="252"/>
    <n v="871.21"/>
    <n v="0"/>
    <x v="0"/>
    <n v="28"/>
    <n v="10.459999999999923"/>
    <n v="0"/>
    <n v="1.1863849286013955E-2"/>
  </r>
  <r>
    <s v="PO-00255"/>
    <x v="4"/>
    <x v="0"/>
    <x v="210"/>
    <d v="2023-04-03T00:00:00"/>
    <x v="3"/>
    <n v="114"/>
    <x v="253"/>
    <n v="3994.62"/>
    <n v="3"/>
    <x v="0"/>
    <n v="10"/>
    <n v="59.849999999999909"/>
    <n v="2.6315789473684209E-2"/>
    <n v="1.4761485471590593E-2"/>
  </r>
  <r>
    <s v="PO-00256"/>
    <x v="6"/>
    <x v="2"/>
    <x v="211"/>
    <d v="2024-10-01T00:00:00"/>
    <x v="0"/>
    <n v="279"/>
    <x v="254"/>
    <n v="128.19"/>
    <n v="0"/>
    <x v="0"/>
    <n v="7"/>
    <n v="7.210000000000008"/>
    <n v="0"/>
    <n v="5.3249630723781444E-2"/>
  </r>
  <r>
    <s v="PO-00257"/>
    <x v="5"/>
    <x v="10"/>
    <x v="212"/>
    <d v="2023-04-27T00:00:00"/>
    <x v="3"/>
    <n v="146"/>
    <x v="255"/>
    <n v="50395.25"/>
    <n v="0"/>
    <x v="0"/>
    <n v="28"/>
    <n v="2218.5"/>
    <n v="0"/>
    <n v="4.2165783659214556E-2"/>
  </r>
  <r>
    <s v="PO-00258"/>
    <x v="2"/>
    <x v="4"/>
    <x v="213"/>
    <d v="2024-10-22T00:00:00"/>
    <x v="0"/>
    <n v="114"/>
    <x v="256"/>
    <n v="45167.76"/>
    <n v="1"/>
    <x v="0"/>
    <n v="24"/>
    <n v="29.75"/>
    <n v="8.771929824561403E-3"/>
    <n v="6.5822210117327253E-4"/>
  </r>
  <r>
    <s v="PO-00259"/>
    <x v="5"/>
    <x v="7"/>
    <x v="214"/>
    <d v="2024-05-25T00:00:00"/>
    <x v="3"/>
    <n v="54"/>
    <x v="257"/>
    <n v="11857.81"/>
    <n v="0"/>
    <x v="0"/>
    <n v="17"/>
    <n v="247.81000000000131"/>
    <n v="0"/>
    <n v="2.0470657430185425E-2"/>
  </r>
  <r>
    <s v="PO-00260"/>
    <x v="0"/>
    <x v="9"/>
    <x v="39"/>
    <d v="2023-02-13T00:00:00"/>
    <x v="0"/>
    <n v="469"/>
    <x v="258"/>
    <n v="6451.34"/>
    <n v="3"/>
    <x v="0"/>
    <n v="9"/>
    <n v="17.139999999999418"/>
    <n v="6.3965884861407248E-3"/>
    <n v="2.6497724349459871E-3"/>
  </r>
  <r>
    <s v="PO-00261"/>
    <x v="1"/>
    <x v="9"/>
    <x v="215"/>
    <d v="2023-02-15T00:00:00"/>
    <x v="0"/>
    <n v="312"/>
    <x v="259"/>
    <n v="5925.43"/>
    <n v="6"/>
    <x v="0"/>
    <n v="20"/>
    <n v="143.05999999999949"/>
    <n v="1.9230769230769232E-2"/>
    <n v="2.357423345840555E-2"/>
  </r>
  <r>
    <s v="PO-00262"/>
    <x v="0"/>
    <x v="2"/>
    <x v="216"/>
    <d v="2024-02-13T00:00:00"/>
    <x v="0"/>
    <n v="80"/>
    <x v="260"/>
    <n v="123.18"/>
    <n v="3"/>
    <x v="0"/>
    <n v="3"/>
    <n v="2.6299999999999955"/>
    <n v="3.7499999999999999E-2"/>
    <n v="2.0904538589937169E-2"/>
  </r>
  <r>
    <s v="PO-00263"/>
    <x v="4"/>
    <x v="11"/>
    <x v="129"/>
    <d v="2023-08-09T00:00:00"/>
    <x v="0"/>
    <n v="157"/>
    <x v="261"/>
    <n v="11821.55"/>
    <n v="0"/>
    <x v="1"/>
    <n v="7"/>
    <n v="722.73000000000138"/>
    <n v="0"/>
    <n v="5.7614307078604855E-2"/>
  </r>
  <r>
    <s v="PO-00264"/>
    <x v="1"/>
    <x v="10"/>
    <x v="217"/>
    <d v="2024-03-24T00:00:00"/>
    <x v="0"/>
    <n v="146"/>
    <x v="262"/>
    <n v="47392.13"/>
    <n v="3"/>
    <x v="0"/>
    <n v="25"/>
    <n v="2137.6600000000035"/>
    <n v="2.0547945205479451E-2"/>
    <n v="4.3159076588049405E-2"/>
  </r>
  <r>
    <s v="PO-00265"/>
    <x v="1"/>
    <x v="1"/>
    <x v="218"/>
    <d v="2024-03-01T00:00:00"/>
    <x v="0"/>
    <n v="384"/>
    <x v="263"/>
    <n v="4608.37"/>
    <n v="3"/>
    <x v="1"/>
    <n v="22"/>
    <n v="153.47000000000025"/>
    <n v="7.8125E-3"/>
    <n v="3.2229138316281151E-2"/>
  </r>
  <r>
    <s v="PO-00266"/>
    <x v="5"/>
    <x v="9"/>
    <x v="219"/>
    <s v="Not Yet Delivered"/>
    <x v="2"/>
    <n v="309"/>
    <x v="264"/>
    <n v="6240.85"/>
    <n v="2"/>
    <x v="0"/>
    <s v="Not Applicable"/>
    <n v="350.46000000000004"/>
    <n v="6.4724919093851136E-3"/>
    <n v="5.3170007176115218E-2"/>
  </r>
  <r>
    <s v="PO-00267"/>
    <x v="7"/>
    <x v="0"/>
    <x v="122"/>
    <d v="2024-12-19T00:00:00"/>
    <x v="0"/>
    <n v="271"/>
    <x v="265"/>
    <n v="3801.32"/>
    <n v="3"/>
    <x v="0"/>
    <n v="15"/>
    <n v="129.57999999999993"/>
    <n v="1.107011070110701E-2"/>
    <n v="3.2964461064896061E-2"/>
  </r>
  <r>
    <s v="PO-00268"/>
    <x v="7"/>
    <x v="6"/>
    <x v="220"/>
    <s v="Not Yet Delivered"/>
    <x v="1"/>
    <n v="449"/>
    <x v="266"/>
    <n v="526.41"/>
    <n v="2"/>
    <x v="0"/>
    <s v="Not Applicable"/>
    <n v="5.6299999999999955"/>
    <n v="4.4543429844097994E-3"/>
    <n v="1.0581911134501158E-2"/>
  </r>
  <r>
    <s v="PO-00269"/>
    <x v="1"/>
    <x v="9"/>
    <x v="221"/>
    <d v="2023-07-11T00:00:00"/>
    <x v="0"/>
    <n v="347"/>
    <x v="267"/>
    <n v="6205.42"/>
    <n v="2"/>
    <x v="0"/>
    <n v="18"/>
    <n v="64.100000000000364"/>
    <n v="5.763688760806916E-3"/>
    <n v="1.0224068190228336E-2"/>
  </r>
  <r>
    <s v="PO-00270"/>
    <x v="3"/>
    <x v="5"/>
    <x v="222"/>
    <d v="2024-05-17T00:00:00"/>
    <x v="0"/>
    <n v="151"/>
    <x v="268"/>
    <n v="903.51"/>
    <n v="0"/>
    <x v="1"/>
    <n v="18"/>
    <n v="25.100000000000023"/>
    <n v="0"/>
    <n v="2.7029646460839343E-2"/>
  </r>
  <r>
    <s v="PO-00271"/>
    <x v="3"/>
    <x v="9"/>
    <x v="223"/>
    <d v="2024-04-13T00:00:00"/>
    <x v="0"/>
    <n v="311"/>
    <x v="269"/>
    <n v="6306.32"/>
    <n v="0"/>
    <x v="0"/>
    <n v="19"/>
    <n v="398.20000000000073"/>
    <n v="0"/>
    <n v="5.9392767864067927E-2"/>
  </r>
  <r>
    <s v="PO-00272"/>
    <x v="1"/>
    <x v="11"/>
    <x v="153"/>
    <d v="2024-09-29T00:00:00"/>
    <x v="3"/>
    <n v="6"/>
    <x v="270"/>
    <n v="13538.72"/>
    <n v="0"/>
    <x v="0"/>
    <n v="9"/>
    <n v="140.32999999999993"/>
    <n v="0"/>
    <n v="1.0258753349099531E-2"/>
  </r>
  <r>
    <s v="PO-00273"/>
    <x v="7"/>
    <x v="0"/>
    <x v="224"/>
    <d v="2024-01-18T00:00:00"/>
    <x v="3"/>
    <n v="217"/>
    <x v="271"/>
    <n v="4108.88"/>
    <n v="5"/>
    <x v="0"/>
    <n v="26"/>
    <n v="202.80999999999949"/>
    <n v="2.3041474654377881E-2"/>
    <n v="4.703724061794784E-2"/>
  </r>
  <r>
    <s v="PO-00274"/>
    <x v="0"/>
    <x v="4"/>
    <x v="225"/>
    <d v="2024-09-29T00:00:00"/>
    <x v="0"/>
    <n v="433"/>
    <x v="272"/>
    <n v="47000.34"/>
    <n v="2"/>
    <x v="0"/>
    <n v="27"/>
    <n v="2041.1700000000055"/>
    <n v="4.6189376443418013E-3"/>
    <n v="4.1621271449431417E-2"/>
  </r>
  <r>
    <s v="PO-00275"/>
    <x v="6"/>
    <x v="2"/>
    <x v="226"/>
    <d v="2023-03-09T00:00:00"/>
    <x v="0"/>
    <n v="67"/>
    <x v="273"/>
    <n v="122.54"/>
    <n v="0"/>
    <x v="0"/>
    <n v="27"/>
    <n v="0.81999999999999318"/>
    <n v="0"/>
    <n v="6.6472114137483239E-3"/>
  </r>
  <r>
    <s v="PO-00276"/>
    <x v="5"/>
    <x v="4"/>
    <x v="227"/>
    <d v="2024-10-31T00:00:00"/>
    <x v="0"/>
    <n v="425"/>
    <x v="274"/>
    <n v="46040.32"/>
    <n v="0"/>
    <x v="0"/>
    <n v="2"/>
    <n v="2799.1500000000015"/>
    <n v="0"/>
    <n v="5.7313275512613088E-2"/>
  </r>
  <r>
    <s v="PO-00277"/>
    <x v="1"/>
    <x v="2"/>
    <x v="228"/>
    <d v="2024-03-20T00:00:00"/>
    <x v="0"/>
    <n v="499"/>
    <x v="275"/>
    <n v="103.21"/>
    <n v="9"/>
    <x v="0"/>
    <n v="18"/>
    <n v="3.7900000000000063"/>
    <n v="1.8036072144288578E-2"/>
    <n v="3.5420560747663608E-2"/>
  </r>
  <r>
    <s v="PO-00278"/>
    <x v="0"/>
    <x v="1"/>
    <x v="229"/>
    <d v="2024-05-19T00:00:00"/>
    <x v="0"/>
    <n v="325"/>
    <x v="276"/>
    <n v="4941.5200000000004"/>
    <n v="0"/>
    <x v="1"/>
    <n v="19"/>
    <n v="259.84999999999945"/>
    <n v="0"/>
    <n v="4.9957991836765976E-2"/>
  </r>
  <r>
    <s v="PO-00279"/>
    <x v="3"/>
    <x v="5"/>
    <x v="230"/>
    <d v="2023-06-15T00:00:00"/>
    <x v="0"/>
    <n v="434"/>
    <x v="277"/>
    <n v="834.52"/>
    <n v="1"/>
    <x v="0"/>
    <n v="11"/>
    <n v="31.810000000000059"/>
    <n v="2.304147465437788E-3"/>
    <n v="3.6718109727240267E-2"/>
  </r>
  <r>
    <s v="PO-00280"/>
    <x v="7"/>
    <x v="8"/>
    <x v="231"/>
    <s v="Not Yet Delivered"/>
    <x v="2"/>
    <n v="129"/>
    <x v="278"/>
    <n v="7973.38"/>
    <n v="2"/>
    <x v="0"/>
    <s v="Not Applicable"/>
    <n v="310.74999999999909"/>
    <n v="1.5503875968992248E-2"/>
    <n v="3.7511482799038535E-2"/>
  </r>
  <r>
    <s v="PO-00281"/>
    <x v="2"/>
    <x v="2"/>
    <x v="232"/>
    <d v="2024-01-25T00:00:00"/>
    <x v="0"/>
    <n v="289"/>
    <x v="279"/>
    <n v="112.01"/>
    <n v="7"/>
    <x v="1"/>
    <n v="21"/>
    <n v="0.25999999999999091"/>
    <n v="2.4221453287197232E-2"/>
    <n v="2.315845729045969E-3"/>
  </r>
  <r>
    <s v="PO-00282"/>
    <x v="2"/>
    <x v="9"/>
    <x v="233"/>
    <d v="2024-11-24T00:00:00"/>
    <x v="0"/>
    <n v="369"/>
    <x v="280"/>
    <m/>
    <n v="7"/>
    <x v="0"/>
    <n v="20"/>
    <n v="6436.11"/>
    <n v="1.8970189701897018E-2"/>
    <n v="1"/>
  </r>
  <r>
    <s v="PO-00283"/>
    <x v="4"/>
    <x v="6"/>
    <x v="234"/>
    <d v="2024-01-23T00:00:00"/>
    <x v="0"/>
    <n v="496"/>
    <x v="281"/>
    <n v="484.93"/>
    <n v="3"/>
    <x v="0"/>
    <n v="5"/>
    <n v="4.9800000000000182"/>
    <n v="6.0483870967741934E-3"/>
    <n v="1.0165132371251899E-2"/>
  </r>
  <r>
    <s v="PO-00284"/>
    <x v="1"/>
    <x v="4"/>
    <x v="59"/>
    <d v="2024-04-02T00:00:00"/>
    <x v="0"/>
    <n v="277"/>
    <x v="282"/>
    <n v="44443.08"/>
    <n v="2"/>
    <x v="0"/>
    <n v="23"/>
    <n v="1947.0199999999968"/>
    <n v="7.2202166064981952E-3"/>
    <n v="4.1970592863563493E-2"/>
  </r>
  <r>
    <s v="PO-00285"/>
    <x v="7"/>
    <x v="2"/>
    <x v="235"/>
    <s v="Not Yet Delivered"/>
    <x v="2"/>
    <n v="105"/>
    <x v="283"/>
    <n v="113.88"/>
    <n v="2"/>
    <x v="0"/>
    <s v="Not Applicable"/>
    <n v="5.5300000000000011"/>
    <n v="1.9047619047619049E-2"/>
    <n v="4.6311029227032924E-2"/>
  </r>
  <r>
    <s v="PO-00286"/>
    <x v="4"/>
    <x v="2"/>
    <x v="103"/>
    <d v="2024-11-09T00:00:00"/>
    <x v="0"/>
    <n v="250"/>
    <x v="284"/>
    <n v="108.25"/>
    <n v="0"/>
    <x v="1"/>
    <n v="18"/>
    <n v="6"/>
    <n v="0"/>
    <n v="5.2516411378555797E-2"/>
  </r>
  <r>
    <s v="PO-00287"/>
    <x v="1"/>
    <x v="3"/>
    <x v="236"/>
    <d v="2024-11-03T00:00:00"/>
    <x v="0"/>
    <n v="308"/>
    <x v="285"/>
    <n v="11012.52"/>
    <n v="2"/>
    <x v="0"/>
    <n v="7"/>
    <n v="164.55999999999949"/>
    <n v="6.4935064935064939E-3"/>
    <n v="1.4722986683462898E-2"/>
  </r>
  <r>
    <s v="PO-00288"/>
    <x v="6"/>
    <x v="1"/>
    <x v="237"/>
    <d v="2024-02-22T00:00:00"/>
    <x v="3"/>
    <n v="415"/>
    <x v="286"/>
    <n v="5452.3"/>
    <n v="7"/>
    <x v="0"/>
    <n v="19"/>
    <n v="171.30000000000018"/>
    <n v="1.6867469879518072E-2"/>
    <n v="3.0460914716551706E-2"/>
  </r>
  <r>
    <s v="PO-00289"/>
    <x v="6"/>
    <x v="5"/>
    <x v="238"/>
    <d v="2024-01-21T00:00:00"/>
    <x v="0"/>
    <n v="167"/>
    <x v="287"/>
    <n v="886.98"/>
    <n v="1"/>
    <x v="0"/>
    <n v="21"/>
    <n v="50.079999999999927"/>
    <n v="5.9880239520958087E-3"/>
    <n v="5.3443749599812101E-2"/>
  </r>
  <r>
    <s v="PO-00290"/>
    <x v="1"/>
    <x v="11"/>
    <x v="239"/>
    <d v="2024-04-11T00:00:00"/>
    <x v="0"/>
    <n v="329"/>
    <x v="288"/>
    <n v="13341.31"/>
    <n v="4"/>
    <x v="0"/>
    <n v="24"/>
    <n v="305.75"/>
    <n v="1.2158054711246201E-2"/>
    <n v="2.240409289619889E-2"/>
  </r>
  <r>
    <s v="PO-00291"/>
    <x v="3"/>
    <x v="11"/>
    <x v="240"/>
    <d v="2023-11-26T00:00:00"/>
    <x v="0"/>
    <n v="130"/>
    <x v="289"/>
    <n v="14883.73"/>
    <n v="2"/>
    <x v="0"/>
    <n v="10"/>
    <n v="162.68000000000029"/>
    <n v="1.5384615384615385E-2"/>
    <n v="1.0811881372367249E-2"/>
  </r>
  <r>
    <s v="PO-00292"/>
    <x v="3"/>
    <x v="3"/>
    <x v="91"/>
    <d v="2023-09-29T00:00:00"/>
    <x v="0"/>
    <n v="286"/>
    <x v="290"/>
    <n v="12691.67"/>
    <n v="2"/>
    <x v="0"/>
    <n v="8"/>
    <n v="560.88999999999942"/>
    <n v="6.993006993006993E-3"/>
    <n v="4.2323143603952701E-2"/>
  </r>
  <r>
    <s v="PO-00293"/>
    <x v="5"/>
    <x v="1"/>
    <x v="241"/>
    <d v="2023-07-11T00:00:00"/>
    <x v="0"/>
    <n v="132"/>
    <x v="291"/>
    <n v="5355.53"/>
    <n v="0"/>
    <x v="0"/>
    <n v="4"/>
    <n v="37.400000000000546"/>
    <n v="0"/>
    <n v="6.9350056462814356E-3"/>
  </r>
  <r>
    <s v="PO-00294"/>
    <x v="4"/>
    <x v="5"/>
    <x v="242"/>
    <d v="2024-01-22T00:00:00"/>
    <x v="0"/>
    <n v="79"/>
    <x v="292"/>
    <n v="769.62"/>
    <n v="0"/>
    <x v="0"/>
    <n v="29"/>
    <n v="43.360000000000014"/>
    <n v="0"/>
    <n v="5.3334645378730117E-2"/>
  </r>
  <r>
    <s v="PO-00295"/>
    <x v="5"/>
    <x v="11"/>
    <x v="243"/>
    <d v="2023-04-05T00:00:00"/>
    <x v="0"/>
    <n v="428"/>
    <x v="293"/>
    <n v="13695.49"/>
    <n v="0"/>
    <x v="0"/>
    <n v="29"/>
    <n v="131.01000000000022"/>
    <n v="0"/>
    <n v="9.4752829711062247E-3"/>
  </r>
  <r>
    <s v="PO-00296"/>
    <x v="3"/>
    <x v="2"/>
    <x v="244"/>
    <s v="Not Yet Delivered"/>
    <x v="2"/>
    <n v="455"/>
    <x v="294"/>
    <n v="126.32"/>
    <n v="2"/>
    <x v="0"/>
    <s v="Not Applicable"/>
    <n v="0.54000000000000625"/>
    <n v="4.3956043956043956E-3"/>
    <n v="4.25666088601613E-3"/>
  </r>
  <r>
    <s v="PO-00297"/>
    <x v="6"/>
    <x v="6"/>
    <x v="245"/>
    <d v="2023-12-09T00:00:00"/>
    <x v="0"/>
    <n v="405"/>
    <x v="295"/>
    <n v="603.25"/>
    <n v="5"/>
    <x v="0"/>
    <n v="22"/>
    <n v="0.75999999999999091"/>
    <n v="1.2345679012345678E-2"/>
    <n v="1.2582573136206204E-3"/>
  </r>
  <r>
    <s v="PO-00298"/>
    <x v="6"/>
    <x v="0"/>
    <x v="182"/>
    <d v="2024-07-20T00:00:00"/>
    <x v="0"/>
    <n v="450"/>
    <x v="296"/>
    <n v="4462.6000000000004"/>
    <n v="4"/>
    <x v="0"/>
    <n v="23"/>
    <n v="48.329999999999927"/>
    <n v="8.8888888888888889E-3"/>
    <n v="1.0713976940453503E-2"/>
  </r>
  <r>
    <s v="PO-00299"/>
    <x v="7"/>
    <x v="5"/>
    <x v="246"/>
    <s v="Not Yet Delivered"/>
    <x v="2"/>
    <n v="339"/>
    <x v="297"/>
    <n v="870.8"/>
    <n v="2"/>
    <x v="0"/>
    <s v="Not Applicable"/>
    <n v="25.810000000000059"/>
    <n v="5.8997050147492625E-3"/>
    <n v="2.8786205819698707E-2"/>
  </r>
  <r>
    <s v="PO-00300"/>
    <x v="6"/>
    <x v="2"/>
    <x v="247"/>
    <d v="2023-10-27T00:00:00"/>
    <x v="3"/>
    <n v="342"/>
    <x v="298"/>
    <n v="132.38999999999999"/>
    <n v="0"/>
    <x v="0"/>
    <n v="10"/>
    <n v="2.25"/>
    <n v="0"/>
    <n v="1.6711229946524065E-2"/>
  </r>
  <r>
    <s v="PO-00301"/>
    <x v="3"/>
    <x v="8"/>
    <x v="248"/>
    <d v="2023-04-25T00:00:00"/>
    <x v="0"/>
    <n v="218"/>
    <x v="299"/>
    <n v="8385.64"/>
    <n v="4"/>
    <x v="0"/>
    <n v="19"/>
    <n v="499.70000000000073"/>
    <n v="1.834862385321101E-2"/>
    <n v="5.6238703302293525E-2"/>
  </r>
  <r>
    <s v="PO-00302"/>
    <x v="1"/>
    <x v="2"/>
    <x v="211"/>
    <d v="2024-09-27T00:00:00"/>
    <x v="0"/>
    <n v="69"/>
    <x v="300"/>
    <n v="104.98"/>
    <n v="2"/>
    <x v="0"/>
    <n v="3"/>
    <n v="2.8100000000000023"/>
    <n v="2.8985507246376812E-2"/>
    <n v="2.6069208646442174E-2"/>
  </r>
  <r>
    <s v="PO-00303"/>
    <x v="4"/>
    <x v="10"/>
    <x v="249"/>
    <d v="2024-10-12T00:00:00"/>
    <x v="0"/>
    <n v="60"/>
    <x v="301"/>
    <n v="47744.5"/>
    <n v="2"/>
    <x v="0"/>
    <n v="27"/>
    <n v="2759.6800000000003"/>
    <n v="3.3333333333333333E-2"/>
    <n v="5.4642605819953921E-2"/>
  </r>
  <r>
    <s v="PO-00304"/>
    <x v="3"/>
    <x v="0"/>
    <x v="250"/>
    <s v="Not Yet Delivered"/>
    <x v="1"/>
    <n v="27"/>
    <x v="302"/>
    <n v="4126.6099999999997"/>
    <n v="2"/>
    <x v="0"/>
    <s v="Not Applicable"/>
    <n v="31.050000000000182"/>
    <n v="7.407407407407407E-2"/>
    <n v="7.4681431382075938E-3"/>
  </r>
  <r>
    <s v="PO-00305"/>
    <x v="0"/>
    <x v="10"/>
    <x v="251"/>
    <d v="2024-03-26T00:00:00"/>
    <x v="0"/>
    <n v="285"/>
    <x v="303"/>
    <n v="50417.04"/>
    <n v="3"/>
    <x v="0"/>
    <n v="20"/>
    <n v="2859.7999999999956"/>
    <n v="1.0526315789473684E-2"/>
    <n v="5.3678108536467171E-2"/>
  </r>
  <r>
    <s v="PO-00306"/>
    <x v="0"/>
    <x v="0"/>
    <x v="252"/>
    <d v="2024-07-21T00:00:00"/>
    <x v="3"/>
    <n v="359"/>
    <x v="304"/>
    <n v="4179.34"/>
    <n v="1"/>
    <x v="0"/>
    <n v="15"/>
    <n v="208.26999999999953"/>
    <n v="2.7855153203342618E-3"/>
    <n v="4.7467755794156623E-2"/>
  </r>
  <r>
    <s v="PO-00307"/>
    <x v="7"/>
    <x v="6"/>
    <x v="253"/>
    <d v="2023-04-17T00:00:00"/>
    <x v="0"/>
    <n v="35"/>
    <x v="305"/>
    <n v="537.76"/>
    <n v="0"/>
    <x v="0"/>
    <n v="7"/>
    <n v="21.090000000000032"/>
    <n v="0"/>
    <n v="3.77382124004653E-2"/>
  </r>
  <r>
    <s v="PO-00308"/>
    <x v="2"/>
    <x v="4"/>
    <x v="254"/>
    <s v="Not Yet Delivered"/>
    <x v="1"/>
    <n v="268"/>
    <x v="306"/>
    <n v="46182.63"/>
    <n v="2"/>
    <x v="0"/>
    <s v="Not Applicable"/>
    <n v="735.88000000000466"/>
    <n v="7.462686567164179E-3"/>
    <n v="1.5684215035814322E-2"/>
  </r>
  <r>
    <s v="PO-00309"/>
    <x v="5"/>
    <x v="2"/>
    <x v="255"/>
    <d v="2024-03-17T00:00:00"/>
    <x v="0"/>
    <n v="69"/>
    <x v="307"/>
    <n v="120.25"/>
    <n v="2"/>
    <x v="0"/>
    <n v="4"/>
    <n v="5.3700000000000045"/>
    <n v="2.8985507246376812E-2"/>
    <n v="4.274797006846047E-2"/>
  </r>
  <r>
    <s v="PO-00310"/>
    <x v="3"/>
    <x v="6"/>
    <x v="256"/>
    <d v="2024-08-03T00:00:00"/>
    <x v="0"/>
    <n v="17"/>
    <x v="308"/>
    <n v="530.88"/>
    <n v="0"/>
    <x v="0"/>
    <n v="23"/>
    <n v="21.980000000000018"/>
    <n v="0"/>
    <n v="3.9756900481134498E-2"/>
  </r>
  <r>
    <s v="PO-00311"/>
    <x v="2"/>
    <x v="11"/>
    <x v="257"/>
    <d v="2023-07-06T00:00:00"/>
    <x v="0"/>
    <n v="376"/>
    <x v="309"/>
    <n v="12680.11"/>
    <n v="4"/>
    <x v="0"/>
    <n v="5"/>
    <n v="421.26999999999862"/>
    <n v="1.0638297872340425E-2"/>
    <n v="3.2154627985754067E-2"/>
  </r>
  <r>
    <s v="PO-00312"/>
    <x v="5"/>
    <x v="10"/>
    <x v="124"/>
    <d v="2024-09-06T00:00:00"/>
    <x v="3"/>
    <n v="190"/>
    <x v="310"/>
    <n v="52846.82"/>
    <n v="1"/>
    <x v="0"/>
    <n v="11"/>
    <n v="1381.6699999999983"/>
    <n v="5.263157894736842E-3"/>
    <n v="2.547867366397254E-2"/>
  </r>
  <r>
    <s v="PO-00313"/>
    <x v="2"/>
    <x v="6"/>
    <x v="258"/>
    <d v="2023-02-15T00:00:00"/>
    <x v="0"/>
    <n v="59"/>
    <x v="311"/>
    <n v="508.44"/>
    <n v="0"/>
    <x v="1"/>
    <n v="13"/>
    <n v="20.699999999999989"/>
    <n v="0"/>
    <n v="3.9120081641909492E-2"/>
  </r>
  <r>
    <s v="PO-00314"/>
    <x v="2"/>
    <x v="3"/>
    <x v="259"/>
    <d v="2023-07-04T00:00:00"/>
    <x v="0"/>
    <n v="335"/>
    <x v="312"/>
    <n v="12180.06"/>
    <n v="2"/>
    <x v="0"/>
    <n v="25"/>
    <n v="294.80000000000109"/>
    <n v="5.9701492537313433E-3"/>
    <n v="2.3631527728567782E-2"/>
  </r>
  <r>
    <s v="PO-00315"/>
    <x v="7"/>
    <x v="9"/>
    <x v="17"/>
    <d v="2024-09-25T00:00:00"/>
    <x v="0"/>
    <n v="230"/>
    <x v="313"/>
    <n v="6325.37"/>
    <n v="7"/>
    <x v="0"/>
    <n v="24"/>
    <n v="97.329999999999927"/>
    <n v="3.0434782608695653E-2"/>
    <n v="1.5154062933034384E-2"/>
  </r>
  <r>
    <s v="PO-00316"/>
    <x v="5"/>
    <x v="1"/>
    <x v="260"/>
    <d v="2024-03-19T00:00:00"/>
    <x v="0"/>
    <n v="335"/>
    <x v="314"/>
    <n v="5184.34"/>
    <n v="5"/>
    <x v="0"/>
    <n v="10"/>
    <n v="304.43000000000029"/>
    <n v="1.4925373134328358E-2"/>
    <n v="5.5464156814732678E-2"/>
  </r>
  <r>
    <s v="PO-00317"/>
    <x v="3"/>
    <x v="9"/>
    <x v="125"/>
    <d v="2024-05-30T00:00:00"/>
    <x v="0"/>
    <n v="305"/>
    <x v="315"/>
    <n v="6444.87"/>
    <n v="3"/>
    <x v="0"/>
    <n v="9"/>
    <n v="7.1000000000003638"/>
    <n v="9.8360655737704927E-3"/>
    <n v="1.1004390906963863E-3"/>
  </r>
  <r>
    <s v="PO-00318"/>
    <x v="6"/>
    <x v="10"/>
    <x v="261"/>
    <d v="2024-08-02T00:00:00"/>
    <x v="0"/>
    <n v="106"/>
    <x v="316"/>
    <n v="53007.14"/>
    <n v="2"/>
    <x v="1"/>
    <n v="16"/>
    <n v="1741.0299999999988"/>
    <n v="1.8867924528301886E-2"/>
    <n v="3.1800697630623979E-2"/>
  </r>
  <r>
    <s v="PO-00319"/>
    <x v="0"/>
    <x v="5"/>
    <x v="142"/>
    <d v="2024-01-03T00:00:00"/>
    <x v="0"/>
    <n v="463"/>
    <x v="317"/>
    <n v="862.03"/>
    <n v="2"/>
    <x v="0"/>
    <n v="7"/>
    <n v="31.32000000000005"/>
    <n v="4.3196544276457886E-3"/>
    <n v="3.5059047405832038E-2"/>
  </r>
  <r>
    <s v="PO-00320"/>
    <x v="4"/>
    <x v="6"/>
    <x v="262"/>
    <d v="2023-11-01T00:00:00"/>
    <x v="0"/>
    <n v="66"/>
    <x v="318"/>
    <n v="507.63"/>
    <n v="1"/>
    <x v="0"/>
    <n v="11"/>
    <n v="17.009999999999991"/>
    <n v="1.5151515151515152E-2"/>
    <n v="3.2422232387923133E-2"/>
  </r>
  <r>
    <s v="PO-00321"/>
    <x v="0"/>
    <x v="1"/>
    <x v="263"/>
    <d v="2024-05-19T00:00:00"/>
    <x v="3"/>
    <n v="239"/>
    <x v="319"/>
    <n v="5285.6"/>
    <n v="3"/>
    <x v="1"/>
    <n v="12"/>
    <n v="288.6299999999992"/>
    <n v="1.2552301255230125E-2"/>
    <n v="5.1779348896618768E-2"/>
  </r>
  <r>
    <s v="PO-00322"/>
    <x v="1"/>
    <x v="5"/>
    <x v="264"/>
    <d v="2023-10-05T00:00:00"/>
    <x v="0"/>
    <n v="52"/>
    <x v="320"/>
    <n v="834.17"/>
    <n v="2"/>
    <x v="0"/>
    <n v="26"/>
    <n v="2.3600000000000136"/>
    <n v="3.8461538461538464E-2"/>
    <n v="2.8211779613403149E-3"/>
  </r>
  <r>
    <s v="PO-00323"/>
    <x v="4"/>
    <x v="11"/>
    <x v="265"/>
    <d v="2023-07-01T00:00:00"/>
    <x v="0"/>
    <n v="394"/>
    <x v="321"/>
    <n v="12684.09"/>
    <n v="5"/>
    <x v="1"/>
    <n v="28"/>
    <n v="159.82999999999993"/>
    <n v="1.2690355329949238E-2"/>
    <n v="1.2444020205669291E-2"/>
  </r>
  <r>
    <s v="PO-00324"/>
    <x v="6"/>
    <x v="4"/>
    <x v="266"/>
    <d v="2024-06-08T00:00:00"/>
    <x v="0"/>
    <n v="145"/>
    <x v="322"/>
    <n v="53307.76"/>
    <n v="2"/>
    <x v="0"/>
    <n v="5"/>
    <n v="735.77999999999884"/>
    <n v="1.3793103448275862E-2"/>
    <n v="1.3614578171600136E-2"/>
  </r>
  <r>
    <s v="PO-00325"/>
    <x v="3"/>
    <x v="1"/>
    <x v="267"/>
    <d v="2023-04-08T00:00:00"/>
    <x v="0"/>
    <n v="90"/>
    <x v="323"/>
    <n v="5316.57"/>
    <n v="1"/>
    <x v="0"/>
    <n v="5"/>
    <n v="53.030000000000655"/>
    <n v="1.1111111111111112E-2"/>
    <n v="9.875968414779621E-3"/>
  </r>
  <r>
    <s v="PO-00326"/>
    <x v="3"/>
    <x v="1"/>
    <x v="268"/>
    <d v="2023-11-24T00:00:00"/>
    <x v="0"/>
    <n v="59"/>
    <x v="324"/>
    <n v="5153.88"/>
    <n v="1"/>
    <x v="0"/>
    <n v="6"/>
    <n v="295.78999999999996"/>
    <n v="1.6949152542372881E-2"/>
    <n v="5.427668097334333E-2"/>
  </r>
  <r>
    <s v="PO-00327"/>
    <x v="2"/>
    <x v="5"/>
    <x v="255"/>
    <d v="2024-03-15T00:00:00"/>
    <x v="0"/>
    <n v="252"/>
    <x v="325"/>
    <n v="912.33"/>
    <n v="3"/>
    <x v="0"/>
    <n v="2"/>
    <n v="2.4799999999999045"/>
    <n v="1.1904761904761904E-2"/>
    <n v="2.7109454422228709E-3"/>
  </r>
  <r>
    <s v="PO-00328"/>
    <x v="4"/>
    <x v="6"/>
    <x v="205"/>
    <d v="2024-11-20T00:00:00"/>
    <x v="0"/>
    <n v="103"/>
    <x v="326"/>
    <n v="519.85"/>
    <n v="1"/>
    <x v="0"/>
    <n v="15"/>
    <n v="13.529999999999973"/>
    <n v="9.7087378640776691E-3"/>
    <n v="2.5366530428587448E-2"/>
  </r>
  <r>
    <s v="PO-00329"/>
    <x v="0"/>
    <x v="4"/>
    <x v="269"/>
    <d v="2023-05-15T00:00:00"/>
    <x v="0"/>
    <n v="261"/>
    <x v="327"/>
    <n v="48296.66"/>
    <n v="6"/>
    <x v="0"/>
    <n v="21"/>
    <n v="238.08999999999651"/>
    <n v="2.2988505747126436E-2"/>
    <n v="4.9055573583874747E-3"/>
  </r>
  <r>
    <s v="PO-00330"/>
    <x v="2"/>
    <x v="10"/>
    <x v="270"/>
    <d v="2023-10-10T00:00:00"/>
    <x v="0"/>
    <n v="358"/>
    <x v="328"/>
    <n v="48623.95"/>
    <n v="4"/>
    <x v="0"/>
    <n v="5"/>
    <n v="2371.6300000000047"/>
    <n v="1.11731843575419E-2"/>
    <n v="4.6506579589839052E-2"/>
  </r>
  <r>
    <s v="PO-00331"/>
    <x v="1"/>
    <x v="8"/>
    <x v="16"/>
    <s v="Not Yet Delivered"/>
    <x v="2"/>
    <n v="113"/>
    <x v="329"/>
    <n v="7799.22"/>
    <n v="2"/>
    <x v="0"/>
    <s v="Not Applicable"/>
    <n v="49.880000000000109"/>
    <n v="1.7699115044247787E-2"/>
    <n v="6.3548687110624282E-3"/>
  </r>
  <r>
    <s v="PO-00332"/>
    <x v="6"/>
    <x v="5"/>
    <x v="141"/>
    <d v="2023-04-03T00:00:00"/>
    <x v="0"/>
    <n v="403"/>
    <x v="330"/>
    <n v="930.55"/>
    <n v="5"/>
    <x v="0"/>
    <n v="9"/>
    <n v="46.6400000000001"/>
    <n v="1.2406947890818859E-2"/>
    <n v="4.7728691452020688E-2"/>
  </r>
  <r>
    <s v="PO-00333"/>
    <x v="1"/>
    <x v="9"/>
    <x v="0"/>
    <d v="2023-10-23T00:00:00"/>
    <x v="3"/>
    <n v="487"/>
    <x v="331"/>
    <n v="5898.38"/>
    <n v="1"/>
    <x v="0"/>
    <n v="25"/>
    <n v="216.6899999999996"/>
    <n v="2.0533880903490761E-3"/>
    <n v="3.5435407934823249E-2"/>
  </r>
  <r>
    <s v="PO-00334"/>
    <x v="3"/>
    <x v="1"/>
    <x v="271"/>
    <d v="2023-01-26T00:00:00"/>
    <x v="0"/>
    <n v="327"/>
    <x v="332"/>
    <n v="5142.8500000000004"/>
    <n v="0"/>
    <x v="0"/>
    <n v="22"/>
    <n v="171.11999999999989"/>
    <n v="0"/>
    <n v="3.2201913070642081E-2"/>
  </r>
  <r>
    <s v="PO-00335"/>
    <x v="2"/>
    <x v="9"/>
    <x v="272"/>
    <s v="Not Yet Delivered"/>
    <x v="1"/>
    <n v="253"/>
    <x v="333"/>
    <n v="5685.29"/>
    <n v="2"/>
    <x v="0"/>
    <s v="Not Applicable"/>
    <n v="226.23000000000047"/>
    <n v="7.9051383399209481E-3"/>
    <n v="3.8269345278371801E-2"/>
  </r>
  <r>
    <s v="PO-00336"/>
    <x v="7"/>
    <x v="11"/>
    <x v="273"/>
    <d v="2023-11-29T00:00:00"/>
    <x v="0"/>
    <n v="216"/>
    <x v="334"/>
    <n v="13058.41"/>
    <n v="2"/>
    <x v="0"/>
    <n v="16"/>
    <n v="832.21000000000095"/>
    <n v="9.2592592592592587E-3"/>
    <n v="5.991165261161855E-2"/>
  </r>
  <r>
    <s v="PO-00337"/>
    <x v="7"/>
    <x v="9"/>
    <x v="274"/>
    <d v="2024-01-04T00:00:00"/>
    <x v="0"/>
    <n v="318"/>
    <x v="335"/>
    <n v="6028.48"/>
    <n v="0"/>
    <x v="0"/>
    <n v="26"/>
    <n v="254.34000000000015"/>
    <n v="0"/>
    <n v="4.0481821857064212E-2"/>
  </r>
  <r>
    <s v="PO-00338"/>
    <x v="0"/>
    <x v="11"/>
    <x v="275"/>
    <d v="2024-07-26T00:00:00"/>
    <x v="0"/>
    <n v="20"/>
    <x v="336"/>
    <n v="15118.28"/>
    <n v="0"/>
    <x v="0"/>
    <n v="22"/>
    <n v="571.22999999999956"/>
    <n v="0"/>
    <n v="3.6408402811814997E-2"/>
  </r>
  <r>
    <s v="PO-00339"/>
    <x v="3"/>
    <x v="7"/>
    <x v="192"/>
    <d v="2023-10-04T00:00:00"/>
    <x v="0"/>
    <n v="13"/>
    <x v="337"/>
    <n v="11635.17"/>
    <n v="0"/>
    <x v="0"/>
    <n v="23"/>
    <n v="265.30999999999949"/>
    <n v="0"/>
    <n v="2.22940587270429E-2"/>
  </r>
  <r>
    <s v="PO-00340"/>
    <x v="7"/>
    <x v="6"/>
    <x v="152"/>
    <s v="Not Yet Delivered"/>
    <x v="1"/>
    <n v="245"/>
    <x v="338"/>
    <n v="529.34"/>
    <n v="2"/>
    <x v="0"/>
    <s v="Not Applicable"/>
    <n v="16.069999999999936"/>
    <n v="8.1632653061224497E-3"/>
    <n v="2.946407289928666E-2"/>
  </r>
  <r>
    <s v="PO-00341"/>
    <x v="5"/>
    <x v="4"/>
    <x v="248"/>
    <d v="2023-04-30T00:00:00"/>
    <x v="0"/>
    <n v="427"/>
    <x v="339"/>
    <n v="47552.99"/>
    <n v="6"/>
    <x v="0"/>
    <n v="24"/>
    <n v="226.49000000000524"/>
    <n v="1.405152224824356E-2"/>
    <n v="4.7403194844315016E-3"/>
  </r>
  <r>
    <s v="PO-00342"/>
    <x v="7"/>
    <x v="9"/>
    <x v="132"/>
    <s v="Not Yet Delivered"/>
    <x v="2"/>
    <n v="145"/>
    <x v="340"/>
    <n v="6088.84"/>
    <n v="2"/>
    <x v="0"/>
    <s v="Not Applicable"/>
    <n v="124.84000000000015"/>
    <n v="1.3793103448275862E-2"/>
    <n v="2.0091153712453833E-2"/>
  </r>
  <r>
    <s v="PO-00343"/>
    <x v="5"/>
    <x v="2"/>
    <x v="250"/>
    <d v="2023-06-28T00:00:00"/>
    <x v="0"/>
    <n v="113"/>
    <x v="341"/>
    <n v="122.62"/>
    <n v="1"/>
    <x v="0"/>
    <n v="4"/>
    <n v="3.8199999999999932"/>
    <n v="8.8495575221238937E-3"/>
    <n v="3.0211958241062903E-2"/>
  </r>
  <r>
    <s v="PO-00344"/>
    <x v="1"/>
    <x v="10"/>
    <x v="276"/>
    <s v="Not Yet Delivered"/>
    <x v="1"/>
    <n v="376"/>
    <x v="342"/>
    <n v="46109.79"/>
    <n v="2"/>
    <x v="0"/>
    <s v="Not Applicable"/>
    <n v="566.98999999999796"/>
    <n v="5.3191489361702126E-3"/>
    <n v="1.2147153252645062E-2"/>
  </r>
  <r>
    <s v="PO-00345"/>
    <x v="5"/>
    <x v="5"/>
    <x v="277"/>
    <d v="2023-11-29T00:00:00"/>
    <x v="0"/>
    <n v="417"/>
    <x v="343"/>
    <n v="908.83"/>
    <n v="3"/>
    <x v="0"/>
    <n v="18"/>
    <n v="25.419999999999959"/>
    <n v="7.1942446043165471E-3"/>
    <n v="2.7208991169387166E-2"/>
  </r>
  <r>
    <s v="PO-00346"/>
    <x v="7"/>
    <x v="1"/>
    <x v="278"/>
    <d v="2023-09-14T00:00:00"/>
    <x v="0"/>
    <n v="324"/>
    <x v="344"/>
    <n v="5265.39"/>
    <n v="3"/>
    <x v="0"/>
    <n v="17"/>
    <n v="15.059999999999491"/>
    <n v="9.2592592592592587E-3"/>
    <n v="2.8520296565632645E-3"/>
  </r>
  <r>
    <s v="PO-00347"/>
    <x v="3"/>
    <x v="0"/>
    <x v="279"/>
    <d v="2024-01-19T00:00:00"/>
    <x v="0"/>
    <n v="26"/>
    <x v="345"/>
    <n v="4319.4399999999996"/>
    <n v="1"/>
    <x v="1"/>
    <n v="8"/>
    <n v="53.340000000000146"/>
    <n v="3.8461538461538464E-2"/>
    <n v="1.2198189709978583E-2"/>
  </r>
  <r>
    <s v="PO-00348"/>
    <x v="3"/>
    <x v="3"/>
    <x v="79"/>
    <d v="2024-05-27T00:00:00"/>
    <x v="0"/>
    <n v="468"/>
    <x v="346"/>
    <n v="11637.27"/>
    <n v="2"/>
    <x v="0"/>
    <n v="13"/>
    <n v="596.84000000000015"/>
    <n v="4.2735042735042739E-3"/>
    <n v="4.8784913655345596E-2"/>
  </r>
  <r>
    <s v="PO-00349"/>
    <x v="7"/>
    <x v="10"/>
    <x v="280"/>
    <d v="2024-08-19T00:00:00"/>
    <x v="0"/>
    <n v="416"/>
    <x v="347"/>
    <n v="48045.51"/>
    <n v="0"/>
    <x v="0"/>
    <n v="28"/>
    <n v="2844.6999999999971"/>
    <n v="0"/>
    <n v="5.5898767169559667E-2"/>
  </r>
  <r>
    <s v="PO-00350"/>
    <x v="3"/>
    <x v="7"/>
    <x v="281"/>
    <d v="2024-08-04T00:00:00"/>
    <x v="3"/>
    <n v="171"/>
    <x v="348"/>
    <n v="12615.67"/>
    <n v="1"/>
    <x v="0"/>
    <n v="23"/>
    <n v="277.13999999999942"/>
    <n v="5.8479532163742687E-3"/>
    <n v="2.1495701867940305E-2"/>
  </r>
  <r>
    <s v="PO-00351"/>
    <x v="0"/>
    <x v="1"/>
    <x v="46"/>
    <d v="2023-02-24T00:00:00"/>
    <x v="0"/>
    <n v="284"/>
    <x v="349"/>
    <n v="5132.3599999999997"/>
    <n v="6"/>
    <x v="0"/>
    <n v="26"/>
    <n v="181.07999999999993"/>
    <n v="2.1126760563380281E-2"/>
    <n v="3.4079616971302948E-2"/>
  </r>
  <r>
    <s v="PO-00352"/>
    <x v="7"/>
    <x v="8"/>
    <x v="282"/>
    <d v="2024-03-08T00:00:00"/>
    <x v="0"/>
    <n v="322"/>
    <x v="350"/>
    <n v="8059.25"/>
    <n v="2"/>
    <x v="0"/>
    <n v="21"/>
    <n v="411.79000000000087"/>
    <n v="6.2111801242236021E-3"/>
    <n v="4.8611504608643191E-2"/>
  </r>
  <r>
    <s v="PO-00353"/>
    <x v="3"/>
    <x v="8"/>
    <x v="283"/>
    <d v="2023-12-22T00:00:00"/>
    <x v="0"/>
    <n v="295"/>
    <x v="351"/>
    <n v="8068.81"/>
    <n v="1"/>
    <x v="0"/>
    <n v="11"/>
    <n v="360.36999999999989"/>
    <n v="3.3898305084745762E-3"/>
    <n v="4.2752675823745596E-2"/>
  </r>
  <r>
    <s v="PO-00354"/>
    <x v="0"/>
    <x v="11"/>
    <x v="252"/>
    <d v="2024-07-10T00:00:00"/>
    <x v="0"/>
    <n v="442"/>
    <x v="352"/>
    <n v="15075.99"/>
    <n v="0"/>
    <x v="1"/>
    <n v="4"/>
    <n v="506.72999999999956"/>
    <n v="0"/>
    <n v="3.2518713035978287E-2"/>
  </r>
  <r>
    <s v="PO-00355"/>
    <x v="3"/>
    <x v="7"/>
    <x v="132"/>
    <d v="2023-04-11T00:00:00"/>
    <x v="0"/>
    <n v="485"/>
    <x v="353"/>
    <n v="12180.57"/>
    <n v="9"/>
    <x v="1"/>
    <n v="28"/>
    <n v="312.14999999999964"/>
    <n v="1.8556701030927835E-2"/>
    <n v="2.4986552167982606E-2"/>
  </r>
  <r>
    <s v="PO-00356"/>
    <x v="2"/>
    <x v="8"/>
    <x v="284"/>
    <d v="2023-10-10T00:00:00"/>
    <x v="0"/>
    <n v="313"/>
    <x v="354"/>
    <n v="8459.61"/>
    <n v="5"/>
    <x v="0"/>
    <n v="17"/>
    <n v="135.8799999999992"/>
    <n v="1.5974440894568689E-2"/>
    <n v="1.5808290161468307E-2"/>
  </r>
  <r>
    <s v="PO-00357"/>
    <x v="2"/>
    <x v="2"/>
    <x v="285"/>
    <s v="Not Yet Delivered"/>
    <x v="1"/>
    <n v="72"/>
    <x v="355"/>
    <n v="117.9"/>
    <n v="2"/>
    <x v="0"/>
    <s v="Not Applicable"/>
    <n v="3.3299999999999983"/>
    <n v="2.7777777777777776E-2"/>
    <n v="2.7468448403860417E-2"/>
  </r>
  <r>
    <s v="PO-00358"/>
    <x v="5"/>
    <x v="8"/>
    <x v="286"/>
    <d v="2023-10-17T00:00:00"/>
    <x v="0"/>
    <n v="180"/>
    <x v="356"/>
    <n v="8407.2199999999993"/>
    <n v="1"/>
    <x v="0"/>
    <n v="28"/>
    <n v="261.07000000000153"/>
    <n v="5.5555555555555558E-3"/>
    <n v="3.0117820239055397E-2"/>
  </r>
  <r>
    <s v="PO-00359"/>
    <x v="6"/>
    <x v="2"/>
    <x v="0"/>
    <s v="Not Yet Delivered"/>
    <x v="1"/>
    <n v="136"/>
    <x v="357"/>
    <n v="126.45"/>
    <n v="2"/>
    <x v="0"/>
    <s v="Not Applicable"/>
    <n v="2.1300000000000097"/>
    <n v="1.4705882352941176E-2"/>
    <n v="1.6565562295847016E-2"/>
  </r>
  <r>
    <s v="PO-00360"/>
    <x v="2"/>
    <x v="7"/>
    <x v="226"/>
    <d v="2023-02-18T00:00:00"/>
    <x v="0"/>
    <n v="174"/>
    <x v="358"/>
    <n v="11234.24"/>
    <n v="4"/>
    <x v="0"/>
    <n v="8"/>
    <n v="563.44000000000051"/>
    <n v="2.2988505747126436E-2"/>
    <n v="4.7758542357480498E-2"/>
  </r>
  <r>
    <s v="PO-00361"/>
    <x v="2"/>
    <x v="10"/>
    <x v="287"/>
    <d v="2024-01-13T00:00:00"/>
    <x v="0"/>
    <n v="73"/>
    <x v="359"/>
    <n v="47134.36"/>
    <n v="1"/>
    <x v="0"/>
    <n v="12"/>
    <n v="252.56999999999971"/>
    <n v="1.3698630136986301E-2"/>
    <n v="5.3299506847141126E-3"/>
  </r>
  <r>
    <s v="PO-00362"/>
    <x v="4"/>
    <x v="4"/>
    <x v="19"/>
    <s v="Not Yet Delivered"/>
    <x v="2"/>
    <n v="142"/>
    <x v="360"/>
    <n v="44490.46"/>
    <n v="2"/>
    <x v="0"/>
    <s v="Not Applicable"/>
    <n v="1709.5400000000009"/>
    <n v="1.4084507042253521E-2"/>
    <n v="3.7003030303030322E-2"/>
  </r>
  <r>
    <s v="PO-00363"/>
    <x v="3"/>
    <x v="3"/>
    <x v="288"/>
    <s v="Not Yet Delivered"/>
    <x v="2"/>
    <n v="242"/>
    <x v="361"/>
    <n v="12260"/>
    <n v="2"/>
    <x v="0"/>
    <s v="Not Applicable"/>
    <n v="170.98999999999978"/>
    <n v="8.2644628099173556E-3"/>
    <n v="1.3755139373452942E-2"/>
  </r>
  <r>
    <s v="PO-00364"/>
    <x v="6"/>
    <x v="9"/>
    <x v="232"/>
    <d v="2024-01-14T00:00:00"/>
    <x v="0"/>
    <n v="448"/>
    <x v="362"/>
    <n v="6865.8"/>
    <n v="6"/>
    <x v="0"/>
    <n v="10"/>
    <n v="43.380000000000109"/>
    <n v="1.3392857142857142E-2"/>
    <n v="6.2786032495896916E-3"/>
  </r>
  <r>
    <s v="PO-00365"/>
    <x v="0"/>
    <x v="7"/>
    <x v="289"/>
    <d v="2024-11-26T00:00:00"/>
    <x v="0"/>
    <n v="424"/>
    <x v="363"/>
    <n v="12003.4"/>
    <n v="6"/>
    <x v="0"/>
    <n v="16"/>
    <n v="649.55999999999949"/>
    <n v="1.4150943396226415E-2"/>
    <n v="5.1336604241220989E-2"/>
  </r>
  <r>
    <s v="PO-00366"/>
    <x v="7"/>
    <x v="9"/>
    <x v="129"/>
    <s v="Not Yet Delivered"/>
    <x v="2"/>
    <n v="260"/>
    <x v="364"/>
    <n v="6161.12"/>
    <n v="2"/>
    <x v="0"/>
    <s v="Not Applicable"/>
    <n v="202.55000000000018"/>
    <n v="7.6923076923076927E-3"/>
    <n v="3.1829117474664805E-2"/>
  </r>
  <r>
    <s v="PO-00367"/>
    <x v="1"/>
    <x v="0"/>
    <x v="290"/>
    <d v="2023-05-31T00:00:00"/>
    <x v="0"/>
    <n v="389"/>
    <x v="365"/>
    <n v="3927.81"/>
    <n v="2"/>
    <x v="0"/>
    <n v="30"/>
    <n v="221.08000000000038"/>
    <n v="5.1413881748071976E-3"/>
    <n v="5.3286541701515436E-2"/>
  </r>
  <r>
    <s v="PO-00368"/>
    <x v="1"/>
    <x v="5"/>
    <x v="291"/>
    <d v="2023-04-04T00:00:00"/>
    <x v="0"/>
    <n v="133"/>
    <x v="366"/>
    <n v="789.49"/>
    <n v="1"/>
    <x v="0"/>
    <n v="25"/>
    <n v="37.200000000000045"/>
    <n v="7.5187969924812026E-3"/>
    <n v="4.4998729874560044E-2"/>
  </r>
  <r>
    <s v="PO-00369"/>
    <x v="2"/>
    <x v="1"/>
    <x v="292"/>
    <d v="2023-11-12T00:00:00"/>
    <x v="0"/>
    <n v="306"/>
    <x v="367"/>
    <n v="5225.05"/>
    <n v="1"/>
    <x v="0"/>
    <n v="5"/>
    <n v="14.829999999999927"/>
    <n v="3.2679738562091504E-3"/>
    <n v="2.8302174858966097E-3"/>
  </r>
  <r>
    <s v="PO-00370"/>
    <x v="7"/>
    <x v="10"/>
    <x v="293"/>
    <d v="2023-06-09T00:00:00"/>
    <x v="0"/>
    <n v="10"/>
    <x v="368"/>
    <n v="50265.16"/>
    <n v="1"/>
    <x v="0"/>
    <n v="23"/>
    <n v="1544.5499999999956"/>
    <n v="0.1"/>
    <n v="2.9811979260258272E-2"/>
  </r>
  <r>
    <s v="PO-00371"/>
    <x v="4"/>
    <x v="3"/>
    <x v="294"/>
    <d v="2025-01-09T00:00:00"/>
    <x v="3"/>
    <n v="461"/>
    <x v="369"/>
    <n v="10815.29"/>
    <n v="4"/>
    <x v="0"/>
    <n v="14"/>
    <n v="216.0099999999984"/>
    <n v="8.6767895878524948E-3"/>
    <n v="1.9581554304569579E-2"/>
  </r>
  <r>
    <s v="PO-00372"/>
    <x v="5"/>
    <x v="0"/>
    <x v="295"/>
    <d v="2024-09-11T00:00:00"/>
    <x v="0"/>
    <n v="454"/>
    <x v="370"/>
    <n v="4162.8"/>
    <n v="3"/>
    <x v="0"/>
    <n v="23"/>
    <n v="53.269999999999527"/>
    <n v="6.6079295154185024E-3"/>
    <n v="1.2634989457006057E-2"/>
  </r>
  <r>
    <s v="PO-00373"/>
    <x v="4"/>
    <x v="3"/>
    <x v="296"/>
    <d v="2024-09-28T00:00:00"/>
    <x v="0"/>
    <n v="142"/>
    <x v="371"/>
    <n v="11392.82"/>
    <n v="1"/>
    <x v="0"/>
    <n v="3"/>
    <n v="292.97999999999956"/>
    <n v="7.0422535211267607E-3"/>
    <n v="2.507145424361187E-2"/>
  </r>
  <r>
    <s v="PO-00374"/>
    <x v="6"/>
    <x v="11"/>
    <x v="297"/>
    <s v="Not Yet Delivered"/>
    <x v="1"/>
    <n v="122"/>
    <x v="372"/>
    <n v="15096.55"/>
    <n v="2"/>
    <x v="0"/>
    <s v="Not Applicable"/>
    <n v="36.440000000000509"/>
    <n v="1.6393442622950821E-2"/>
    <n v="2.4079841458958546E-3"/>
  </r>
  <r>
    <s v="PO-00375"/>
    <x v="4"/>
    <x v="10"/>
    <x v="298"/>
    <d v="2024-05-06T00:00:00"/>
    <x v="0"/>
    <n v="23"/>
    <x v="373"/>
    <n v="47143.040000000001"/>
    <n v="0"/>
    <x v="0"/>
    <n v="11"/>
    <n v="1724.4400000000023"/>
    <n v="0"/>
    <n v="3.5288089338758662E-2"/>
  </r>
  <r>
    <s v="PO-00376"/>
    <x v="7"/>
    <x v="4"/>
    <x v="55"/>
    <d v="2023-09-26T00:00:00"/>
    <x v="0"/>
    <n v="209"/>
    <x v="374"/>
    <n v="47169.47"/>
    <n v="1"/>
    <x v="0"/>
    <n v="30"/>
    <n v="1471.7799999999988"/>
    <n v="4.7846889952153108E-3"/>
    <n v="3.0257857271348883E-2"/>
  </r>
  <r>
    <s v="PO-00377"/>
    <x v="3"/>
    <x v="6"/>
    <x v="197"/>
    <d v="2023-11-23T00:00:00"/>
    <x v="3"/>
    <n v="455"/>
    <x v="375"/>
    <n v="525.11"/>
    <n v="8"/>
    <x v="0"/>
    <n v="22"/>
    <n v="15.980000000000018"/>
    <n v="1.7582417582417582E-2"/>
    <n v="2.9532979726108442E-2"/>
  </r>
  <r>
    <s v="PO-00378"/>
    <x v="6"/>
    <x v="3"/>
    <x v="299"/>
    <d v="2024-07-11T00:00:00"/>
    <x v="0"/>
    <n v="121"/>
    <x v="376"/>
    <n v="12826.05"/>
    <n v="2"/>
    <x v="0"/>
    <n v="17"/>
    <n v="223.43000000000029"/>
    <n v="1.6528925619834711E-2"/>
    <n v="1.7121755043112852E-2"/>
  </r>
  <r>
    <s v="PO-00379"/>
    <x v="4"/>
    <x v="9"/>
    <x v="38"/>
    <d v="2023-12-12T00:00:00"/>
    <x v="0"/>
    <n v="429"/>
    <x v="377"/>
    <n v="5730.63"/>
    <n v="7"/>
    <x v="0"/>
    <n v="10"/>
    <n v="238.67000000000007"/>
    <n v="1.6317016317016316E-2"/>
    <n v="3.9982912569312995E-2"/>
  </r>
  <r>
    <s v="PO-00380"/>
    <x v="1"/>
    <x v="3"/>
    <x v="44"/>
    <d v="2024-12-13T00:00:00"/>
    <x v="0"/>
    <n v="434"/>
    <x v="378"/>
    <n v="11455.19"/>
    <n v="0"/>
    <x v="0"/>
    <n v="20"/>
    <n v="136.63999999999942"/>
    <n v="0"/>
    <n v="1.1787612482239597E-2"/>
  </r>
  <r>
    <s v="PO-00381"/>
    <x v="5"/>
    <x v="9"/>
    <x v="300"/>
    <d v="2023-11-02T00:00:00"/>
    <x v="0"/>
    <n v="339"/>
    <x v="379"/>
    <n v="6031.9"/>
    <n v="9"/>
    <x v="0"/>
    <n v="14"/>
    <n v="130.02000000000044"/>
    <n v="2.6548672566371681E-2"/>
    <n v="2.1100566057332851E-2"/>
  </r>
  <r>
    <s v="PO-00382"/>
    <x v="3"/>
    <x v="7"/>
    <x v="301"/>
    <d v="2023-11-28T00:00:00"/>
    <x v="0"/>
    <n v="343"/>
    <x v="380"/>
    <n v="11419.83"/>
    <n v="2"/>
    <x v="0"/>
    <n v="9"/>
    <n v="188.59000000000015"/>
    <n v="5.8309037900874635E-3"/>
    <n v="1.6245966289986074E-2"/>
  </r>
  <r>
    <s v="PO-00383"/>
    <x v="6"/>
    <x v="8"/>
    <x v="302"/>
    <d v="2024-09-28T00:00:00"/>
    <x v="0"/>
    <n v="100"/>
    <x v="381"/>
    <n v="8232.92"/>
    <n v="0"/>
    <x v="0"/>
    <n v="18"/>
    <n v="405.48999999999978"/>
    <n v="0"/>
    <n v="4.6940351291499219E-2"/>
  </r>
  <r>
    <s v="PO-00384"/>
    <x v="0"/>
    <x v="9"/>
    <x v="303"/>
    <d v="2023-05-30T00:00:00"/>
    <x v="0"/>
    <n v="205"/>
    <x v="382"/>
    <n v="6803.38"/>
    <n v="4"/>
    <x v="0"/>
    <n v="14"/>
    <n v="90.180000000000291"/>
    <n v="1.9512195121951219E-2"/>
    <n v="1.3081774873940357E-2"/>
  </r>
  <r>
    <s v="PO-00385"/>
    <x v="5"/>
    <x v="3"/>
    <x v="200"/>
    <d v="2023-03-14T00:00:00"/>
    <x v="0"/>
    <n v="33"/>
    <x v="383"/>
    <n v="12080.24"/>
    <n v="0"/>
    <x v="0"/>
    <n v="29"/>
    <n v="249.69000000000051"/>
    <n v="0"/>
    <n v="2.0250723240115759E-2"/>
  </r>
  <r>
    <s v="PO-00386"/>
    <x v="5"/>
    <x v="6"/>
    <x v="304"/>
    <d v="2024-05-17T00:00:00"/>
    <x v="0"/>
    <n v="489"/>
    <x v="384"/>
    <n v="544.73"/>
    <n v="5"/>
    <x v="0"/>
    <n v="13"/>
    <n v="8.0199999999999818"/>
    <n v="1.0224948875255624E-2"/>
    <n v="1.4509271822704626E-2"/>
  </r>
  <r>
    <s v="PO-00387"/>
    <x v="2"/>
    <x v="7"/>
    <x v="118"/>
    <d v="2023-02-22T00:00:00"/>
    <x v="3"/>
    <n v="241"/>
    <x v="385"/>
    <n v="10741.96"/>
    <n v="4"/>
    <x v="0"/>
    <n v="13"/>
    <n v="383.94000000000051"/>
    <n v="1.6597510373443983E-2"/>
    <n v="3.4508668961612143E-2"/>
  </r>
  <r>
    <s v="PO-00388"/>
    <x v="0"/>
    <x v="4"/>
    <x v="305"/>
    <d v="2024-01-24T00:00:00"/>
    <x v="0"/>
    <n v="350"/>
    <x v="386"/>
    <n v="49977.53"/>
    <n v="3"/>
    <x v="1"/>
    <n v="18"/>
    <n v="124.76000000000204"/>
    <n v="8.5714285714285719E-3"/>
    <n v="2.4901057416737244E-3"/>
  </r>
  <r>
    <s v="PO-00389"/>
    <x v="4"/>
    <x v="10"/>
    <x v="29"/>
    <d v="2024-11-29T00:00:00"/>
    <x v="0"/>
    <n v="484"/>
    <x v="387"/>
    <n v="45221.68"/>
    <n v="4"/>
    <x v="0"/>
    <n v="14"/>
    <n v="843.98999999999796"/>
    <n v="8.2644628099173556E-3"/>
    <n v="1.832145283027465E-2"/>
  </r>
  <r>
    <s v="PO-00390"/>
    <x v="5"/>
    <x v="5"/>
    <x v="306"/>
    <d v="2023-12-15T00:00:00"/>
    <x v="0"/>
    <n v="361"/>
    <x v="388"/>
    <n v="879.54"/>
    <n v="0"/>
    <x v="0"/>
    <n v="9"/>
    <n v="47.230000000000018"/>
    <n v="0"/>
    <n v="5.0961943092676737E-2"/>
  </r>
  <r>
    <s v="PO-00391"/>
    <x v="6"/>
    <x v="3"/>
    <x v="307"/>
    <d v="2024-06-07T00:00:00"/>
    <x v="0"/>
    <n v="320"/>
    <x v="389"/>
    <n v="12498.23"/>
    <n v="1"/>
    <x v="0"/>
    <n v="7"/>
    <n v="254.92000000000007"/>
    <n v="3.1250000000000002E-3"/>
    <n v="1.9988787083975338E-2"/>
  </r>
  <r>
    <s v="PO-00392"/>
    <x v="5"/>
    <x v="0"/>
    <x v="159"/>
    <d v="2023-03-20T00:00:00"/>
    <x v="0"/>
    <n v="234"/>
    <x v="390"/>
    <n v="3935.13"/>
    <n v="0"/>
    <x v="1"/>
    <n v="2"/>
    <n v="60.409999999999854"/>
    <n v="0"/>
    <n v="1.5119358084263918E-2"/>
  </r>
  <r>
    <s v="PO-00393"/>
    <x v="7"/>
    <x v="7"/>
    <x v="308"/>
    <d v="2023-04-29T00:00:00"/>
    <x v="0"/>
    <n v="484"/>
    <x v="391"/>
    <n v="11404.88"/>
    <n v="0"/>
    <x v="0"/>
    <n v="28"/>
    <n v="723.54000000000087"/>
    <n v="0"/>
    <n v="5.9656575217546956E-2"/>
  </r>
  <r>
    <s v="PO-00394"/>
    <x v="1"/>
    <x v="5"/>
    <x v="309"/>
    <d v="2024-12-28T00:00:00"/>
    <x v="0"/>
    <n v="409"/>
    <x v="392"/>
    <n v="852.04"/>
    <n v="0"/>
    <x v="0"/>
    <n v="29"/>
    <n v="22.769999999999982"/>
    <n v="0"/>
    <n v="2.6028509047678904E-2"/>
  </r>
  <r>
    <s v="PO-00395"/>
    <x v="2"/>
    <x v="4"/>
    <x v="310"/>
    <d v="2024-01-18T00:00:00"/>
    <x v="0"/>
    <n v="420"/>
    <x v="393"/>
    <n v="42757.96"/>
    <n v="8"/>
    <x v="0"/>
    <n v="27"/>
    <n v="1290.7099999999991"/>
    <n v="1.9047619047619049E-2"/>
    <n v="2.9301906277760466E-2"/>
  </r>
  <r>
    <s v="PO-00396"/>
    <x v="0"/>
    <x v="9"/>
    <x v="311"/>
    <d v="2024-08-06T00:00:00"/>
    <x v="0"/>
    <n v="33"/>
    <x v="394"/>
    <n v="6799.84"/>
    <n v="0"/>
    <x v="0"/>
    <n v="11"/>
    <n v="235.42000000000007"/>
    <n v="0"/>
    <n v="3.3462871308238794E-2"/>
  </r>
  <r>
    <s v="PO-00397"/>
    <x v="4"/>
    <x v="7"/>
    <x v="42"/>
    <d v="2024-12-15T00:00:00"/>
    <x v="0"/>
    <n v="32"/>
    <x v="395"/>
    <n v="10552.72"/>
    <n v="1"/>
    <x v="0"/>
    <n v="20"/>
    <n v="523.95000000000073"/>
    <n v="3.125E-2"/>
    <n v="4.7302122388768533E-2"/>
  </r>
  <r>
    <s v="PO-00398"/>
    <x v="2"/>
    <x v="11"/>
    <x v="134"/>
    <d v="2023-02-11T00:00:00"/>
    <x v="0"/>
    <n v="207"/>
    <x v="396"/>
    <n v="14523.2"/>
    <n v="4"/>
    <x v="0"/>
    <n v="28"/>
    <n v="147.13999999999942"/>
    <n v="1.932367149758454E-2"/>
    <n v="1.0029760728108511E-2"/>
  </r>
  <r>
    <s v="PO-00399"/>
    <x v="6"/>
    <x v="6"/>
    <x v="312"/>
    <d v="2024-03-11T00:00:00"/>
    <x v="0"/>
    <n v="63"/>
    <x v="397"/>
    <n v="595.23"/>
    <n v="2"/>
    <x v="0"/>
    <n v="11"/>
    <n v="12.819999999999936"/>
    <n v="3.1746031746031744E-2"/>
    <n v="2.1083792451278574E-2"/>
  </r>
  <r>
    <s v="PO-00400"/>
    <x v="0"/>
    <x v="1"/>
    <x v="216"/>
    <d v="2024-02-25T00:00:00"/>
    <x v="0"/>
    <n v="218"/>
    <x v="398"/>
    <n v="5331.3"/>
    <n v="1"/>
    <x v="0"/>
    <n v="15"/>
    <n v="180.9399999999996"/>
    <n v="4.5871559633027525E-3"/>
    <n v="3.2825130981234421E-2"/>
  </r>
  <r>
    <s v="PO-00401"/>
    <x v="6"/>
    <x v="7"/>
    <x v="313"/>
    <d v="2023-11-21T00:00:00"/>
    <x v="0"/>
    <n v="122"/>
    <x v="399"/>
    <n v="13177.43"/>
    <n v="0"/>
    <x v="0"/>
    <n v="29"/>
    <n v="71.369999999998981"/>
    <n v="0"/>
    <n v="5.3869029647967354E-3"/>
  </r>
  <r>
    <s v="PO-00402"/>
    <x v="3"/>
    <x v="11"/>
    <x v="255"/>
    <d v="2024-03-25T00:00:00"/>
    <x v="0"/>
    <n v="30"/>
    <x v="400"/>
    <n v="14390.59"/>
    <n v="0"/>
    <x v="0"/>
    <n v="12"/>
    <n v="826.36000000000058"/>
    <n v="0"/>
    <n v="5.4305231994585021E-2"/>
  </r>
  <r>
    <s v="PO-00403"/>
    <x v="0"/>
    <x v="5"/>
    <x v="314"/>
    <s v="Not Yet Delivered"/>
    <x v="2"/>
    <n v="148"/>
    <x v="401"/>
    <n v="943.23"/>
    <n v="2"/>
    <x v="0"/>
    <s v="Not Applicable"/>
    <n v="23.389999999999986"/>
    <n v="1.3513513513513514E-2"/>
    <n v="2.4197719889925706E-2"/>
  </r>
  <r>
    <s v="PO-00404"/>
    <x v="7"/>
    <x v="7"/>
    <x v="315"/>
    <d v="2023-08-23T00:00:00"/>
    <x v="0"/>
    <n v="92"/>
    <x v="402"/>
    <n v="11775.94"/>
    <n v="2"/>
    <x v="1"/>
    <n v="20"/>
    <n v="652.31999999999971"/>
    <n v="2.1739130434782608E-2"/>
    <n v="5.2486832428674628E-2"/>
  </r>
  <r>
    <s v="PO-00405"/>
    <x v="6"/>
    <x v="1"/>
    <x v="316"/>
    <d v="2024-09-06T00:00:00"/>
    <x v="0"/>
    <n v="377"/>
    <x v="403"/>
    <n v="5108.87"/>
    <n v="4"/>
    <x v="0"/>
    <n v="8"/>
    <n v="212.22000000000025"/>
    <n v="1.0610079575596816E-2"/>
    <n v="3.988280596644677E-2"/>
  </r>
  <r>
    <s v="PO-00406"/>
    <x v="4"/>
    <x v="3"/>
    <x v="317"/>
    <d v="2024-06-09T00:00:00"/>
    <x v="0"/>
    <n v="102"/>
    <x v="404"/>
    <n v="10391.51"/>
    <n v="1"/>
    <x v="0"/>
    <n v="3"/>
    <n v="516.52000000000044"/>
    <n v="9.8039215686274508E-3"/>
    <n v="4.7352271675087106E-2"/>
  </r>
  <r>
    <s v="PO-00407"/>
    <x v="0"/>
    <x v="6"/>
    <x v="48"/>
    <d v="2024-10-23T00:00:00"/>
    <x v="3"/>
    <n v="300"/>
    <x v="405"/>
    <n v="518.02"/>
    <n v="1"/>
    <x v="0"/>
    <n v="24"/>
    <n v="32.759999999999991"/>
    <n v="3.3333333333333335E-3"/>
    <n v="5.9479283924615989E-2"/>
  </r>
  <r>
    <s v="PO-00408"/>
    <x v="3"/>
    <x v="2"/>
    <x v="318"/>
    <d v="2023-02-13T00:00:00"/>
    <x v="0"/>
    <n v="32"/>
    <x v="406"/>
    <n v="117.92"/>
    <n v="0"/>
    <x v="0"/>
    <n v="5"/>
    <n v="2.3499999999999943"/>
    <n v="0"/>
    <n v="1.9539369751392654E-2"/>
  </r>
  <r>
    <s v="PO-00409"/>
    <x v="6"/>
    <x v="1"/>
    <x v="279"/>
    <d v="2024-01-23T00:00:00"/>
    <x v="0"/>
    <n v="475"/>
    <x v="407"/>
    <n v="5290.74"/>
    <n v="5"/>
    <x v="0"/>
    <n v="12"/>
    <n v="54.739999999999782"/>
    <n v="1.0526315789473684E-2"/>
    <n v="1.0240427426536023E-2"/>
  </r>
  <r>
    <s v="PO-00410"/>
    <x v="5"/>
    <x v="1"/>
    <x v="319"/>
    <d v="2023-09-19T00:00:00"/>
    <x v="0"/>
    <n v="412"/>
    <x v="408"/>
    <n v="5047.38"/>
    <n v="3"/>
    <x v="0"/>
    <n v="24"/>
    <n v="230"/>
    <n v="7.2815533980582527E-3"/>
    <n v="4.3582232092439811E-2"/>
  </r>
  <r>
    <s v="PO-00411"/>
    <x v="7"/>
    <x v="8"/>
    <x v="320"/>
    <d v="2023-07-20T00:00:00"/>
    <x v="0"/>
    <n v="230"/>
    <x v="409"/>
    <n v="8234.8700000000008"/>
    <n v="5"/>
    <x v="0"/>
    <n v="17"/>
    <n v="138.14999999999964"/>
    <n v="2.1739130434782608E-2"/>
    <n v="1.6499423147203714E-2"/>
  </r>
  <r>
    <s v="PO-00412"/>
    <x v="6"/>
    <x v="0"/>
    <x v="321"/>
    <d v="2024-07-05T00:00:00"/>
    <x v="0"/>
    <n v="341"/>
    <x v="410"/>
    <n v="4663.6000000000004"/>
    <n v="5"/>
    <x v="0"/>
    <n v="27"/>
    <n v="16.729999999999563"/>
    <n v="1.466275659824047E-2"/>
    <n v="3.5745342742925313E-3"/>
  </r>
  <r>
    <s v="PO-00413"/>
    <x v="4"/>
    <x v="2"/>
    <x v="322"/>
    <d v="2023-08-18T00:00:00"/>
    <x v="0"/>
    <n v="448"/>
    <x v="411"/>
    <n v="107.65"/>
    <n v="6"/>
    <x v="0"/>
    <n v="19"/>
    <n v="0.90999999999999659"/>
    <n v="1.3392857142857142E-2"/>
    <n v="8.3824613117169915E-3"/>
  </r>
  <r>
    <s v="PO-00414"/>
    <x v="7"/>
    <x v="1"/>
    <x v="76"/>
    <s v="Not Yet Delivered"/>
    <x v="2"/>
    <n v="394"/>
    <x v="412"/>
    <n v="5058.84"/>
    <n v="2"/>
    <x v="0"/>
    <s v="Not Applicable"/>
    <n v="131"/>
    <n v="5.076142131979695E-3"/>
    <n v="2.524162594607926E-2"/>
  </r>
  <r>
    <s v="PO-00415"/>
    <x v="6"/>
    <x v="2"/>
    <x v="323"/>
    <s v="Not Yet Delivered"/>
    <x v="2"/>
    <n v="285"/>
    <x v="413"/>
    <n v="127.59"/>
    <n v="2"/>
    <x v="0"/>
    <s v="Not Applicable"/>
    <n v="5.7700000000000102"/>
    <n v="7.0175438596491229E-3"/>
    <n v="4.3266346730653944E-2"/>
  </r>
  <r>
    <s v="PO-00416"/>
    <x v="0"/>
    <x v="3"/>
    <x v="324"/>
    <d v="2024-11-03T00:00:00"/>
    <x v="0"/>
    <n v="241"/>
    <x v="414"/>
    <n v="12902.45"/>
    <n v="2"/>
    <x v="0"/>
    <n v="30"/>
    <n v="75.3799999999992"/>
    <n v="8.2987551867219917E-3"/>
    <n v="5.8083670382490142E-3"/>
  </r>
  <r>
    <s v="PO-00417"/>
    <x v="3"/>
    <x v="3"/>
    <x v="15"/>
    <d v="2024-02-21T00:00:00"/>
    <x v="3"/>
    <n v="260"/>
    <x v="415"/>
    <n v="11795.88"/>
    <n v="1"/>
    <x v="0"/>
    <n v="30"/>
    <n v="322.26000000000022"/>
    <n v="3.8461538461538464E-3"/>
    <n v="2.6593190044016675E-2"/>
  </r>
  <r>
    <s v="PO-00418"/>
    <x v="3"/>
    <x v="6"/>
    <x v="325"/>
    <s v="Not Yet Delivered"/>
    <x v="2"/>
    <n v="491"/>
    <x v="416"/>
    <n v="558.54"/>
    <n v="2"/>
    <x v="0"/>
    <s v="Not Applicable"/>
    <n v="8.4500000000000455"/>
    <n v="4.0733197556008143E-3"/>
    <n v="1.4903261080442416E-2"/>
  </r>
  <r>
    <s v="PO-00419"/>
    <x v="0"/>
    <x v="5"/>
    <x v="326"/>
    <d v="2025-01-02T00:00:00"/>
    <x v="0"/>
    <n v="341"/>
    <x v="417"/>
    <n v="876.11"/>
    <n v="1"/>
    <x v="1"/>
    <n v="16"/>
    <n v="29.42999999999995"/>
    <n v="2.9325513196480938E-3"/>
    <n v="3.2499944784327529E-2"/>
  </r>
  <r>
    <s v="PO-00420"/>
    <x v="4"/>
    <x v="0"/>
    <x v="327"/>
    <d v="2023-12-08T00:00:00"/>
    <x v="0"/>
    <n v="268"/>
    <x v="418"/>
    <n v="4008.65"/>
    <n v="4"/>
    <x v="0"/>
    <n v="14"/>
    <n v="52.190000000000055"/>
    <n v="1.4925373134328358E-2"/>
    <n v="1.2852020764176882E-2"/>
  </r>
  <r>
    <s v="PO-00421"/>
    <x v="4"/>
    <x v="4"/>
    <x v="328"/>
    <d v="2025-01-10T00:00:00"/>
    <x v="0"/>
    <n v="405"/>
    <x v="419"/>
    <n v="45065.51"/>
    <n v="4"/>
    <x v="0"/>
    <n v="19"/>
    <n v="175.97000000000116"/>
    <n v="9.876543209876543E-3"/>
    <n v="3.8895721360132592E-3"/>
  </r>
  <r>
    <s v="PO-00422"/>
    <x v="5"/>
    <x v="6"/>
    <x v="3"/>
    <d v="2024-07-30T00:00:00"/>
    <x v="0"/>
    <n v="341"/>
    <x v="420"/>
    <n v="537.98"/>
    <n v="3"/>
    <x v="0"/>
    <n v="10"/>
    <n v="12.720000000000027"/>
    <n v="8.7976539589442824E-3"/>
    <n v="2.309787543126934E-2"/>
  </r>
  <r>
    <s v="PO-00423"/>
    <x v="2"/>
    <x v="10"/>
    <x v="329"/>
    <d v="2023-11-08T00:00:00"/>
    <x v="3"/>
    <n v="141"/>
    <x v="421"/>
    <n v="49335.58"/>
    <n v="0"/>
    <x v="0"/>
    <n v="4"/>
    <n v="2616.25"/>
    <n v="0"/>
    <n v="5.0359150004918016E-2"/>
  </r>
  <r>
    <s v="PO-00424"/>
    <x v="2"/>
    <x v="9"/>
    <x v="323"/>
    <d v="2023-03-22T00:00:00"/>
    <x v="0"/>
    <n v="159"/>
    <x v="422"/>
    <n v="5772.39"/>
    <n v="0"/>
    <x v="0"/>
    <n v="9"/>
    <n v="223.11999999999989"/>
    <n v="0"/>
    <n v="3.7214515529120938E-2"/>
  </r>
  <r>
    <s v="PO-00425"/>
    <x v="5"/>
    <x v="10"/>
    <x v="96"/>
    <d v="2024-06-14T00:00:00"/>
    <x v="0"/>
    <n v="225"/>
    <x v="423"/>
    <n v="53687.91"/>
    <n v="0"/>
    <x v="0"/>
    <n v="25"/>
    <n v="536.60999999999331"/>
    <n v="0"/>
    <n v="9.8960765351172007E-3"/>
  </r>
  <r>
    <s v="PO-00426"/>
    <x v="5"/>
    <x v="11"/>
    <x v="64"/>
    <d v="2023-09-08T00:00:00"/>
    <x v="0"/>
    <n v="437"/>
    <x v="424"/>
    <n v="13486.28"/>
    <n v="0"/>
    <x v="0"/>
    <n v="18"/>
    <n v="551.61999999999898"/>
    <n v="0"/>
    <n v="3.9295051254104887E-2"/>
  </r>
  <r>
    <s v="PO-00427"/>
    <x v="2"/>
    <x v="7"/>
    <x v="330"/>
    <s v="Not Yet Delivered"/>
    <x v="1"/>
    <n v="151"/>
    <x v="425"/>
    <n v="10625.78"/>
    <n v="2"/>
    <x v="0"/>
    <s v="Not Applicable"/>
    <n v="468.86999999999898"/>
    <n v="1.3245033112582781E-2"/>
    <n v="4.2260909537479685E-2"/>
  </r>
  <r>
    <s v="PO-00428"/>
    <x v="4"/>
    <x v="5"/>
    <x v="331"/>
    <d v="2023-08-27T00:00:00"/>
    <x v="0"/>
    <n v="181"/>
    <x v="426"/>
    <n v="804.53"/>
    <n v="1"/>
    <x v="0"/>
    <n v="21"/>
    <n v="1.7699999999999818"/>
    <n v="5.5248618784530384E-3"/>
    <n v="2.1952126999875751E-3"/>
  </r>
  <r>
    <s v="PO-00429"/>
    <x v="3"/>
    <x v="3"/>
    <x v="264"/>
    <d v="2023-10-08T00:00:00"/>
    <x v="0"/>
    <n v="359"/>
    <x v="427"/>
    <n v="11699.78"/>
    <n v="4"/>
    <x v="1"/>
    <n v="29"/>
    <n v="502.86999999999898"/>
    <n v="1.1142061281337047E-2"/>
    <n v="4.1209901128033584E-2"/>
  </r>
  <r>
    <s v="PO-00430"/>
    <x v="5"/>
    <x v="1"/>
    <x v="332"/>
    <d v="2024-12-30T00:00:00"/>
    <x v="0"/>
    <n v="374"/>
    <x v="428"/>
    <n v="5159.7"/>
    <n v="4"/>
    <x v="0"/>
    <n v="10"/>
    <n v="307.77000000000044"/>
    <n v="1.06951871657754E-2"/>
    <n v="5.6291118195435995E-2"/>
  </r>
  <r>
    <s v="PO-00431"/>
    <x v="6"/>
    <x v="9"/>
    <x v="333"/>
    <d v="2024-08-11T00:00:00"/>
    <x v="3"/>
    <n v="254"/>
    <x v="429"/>
    <n v="6230.66"/>
    <n v="4"/>
    <x v="0"/>
    <n v="10"/>
    <n v="372.36999999999989"/>
    <n v="1.5748031496062992E-2"/>
    <n v="5.6393807085534958E-2"/>
  </r>
  <r>
    <s v="PO-00432"/>
    <x v="1"/>
    <x v="6"/>
    <x v="13"/>
    <d v="2023-10-20T00:00:00"/>
    <x v="0"/>
    <n v="468"/>
    <x v="430"/>
    <n v="517.38"/>
    <n v="3"/>
    <x v="0"/>
    <n v="10"/>
    <n v="17.25"/>
    <n v="6.41025641025641E-3"/>
    <n v="3.2265304977273999E-2"/>
  </r>
  <r>
    <s v="PO-00433"/>
    <x v="0"/>
    <x v="5"/>
    <x v="334"/>
    <d v="2024-04-17T00:00:00"/>
    <x v="0"/>
    <n v="136"/>
    <x v="431"/>
    <n v="906.76"/>
    <n v="4"/>
    <x v="0"/>
    <n v="2"/>
    <n v="17.129999999999995"/>
    <n v="2.9411764705882353E-2"/>
    <n v="1.8541168320903998E-2"/>
  </r>
  <r>
    <s v="PO-00434"/>
    <x v="2"/>
    <x v="5"/>
    <x v="335"/>
    <d v="2024-10-10T00:00:00"/>
    <x v="0"/>
    <n v="218"/>
    <x v="432"/>
    <n v="804.52"/>
    <n v="1"/>
    <x v="0"/>
    <n v="21"/>
    <n v="25.610000000000014"/>
    <n v="4.5871559633027525E-3"/>
    <n v="3.0850589666678731E-2"/>
  </r>
  <r>
    <s v="PO-00435"/>
    <x v="7"/>
    <x v="9"/>
    <x v="47"/>
    <d v="2023-04-04T00:00:00"/>
    <x v="0"/>
    <n v="117"/>
    <x v="433"/>
    <n v="5798.35"/>
    <n v="3"/>
    <x v="0"/>
    <n v="24"/>
    <n v="285.48999999999978"/>
    <n v="2.564102564102564E-2"/>
    <n v="4.6925954660214562E-2"/>
  </r>
  <r>
    <s v="PO-00436"/>
    <x v="5"/>
    <x v="0"/>
    <x v="336"/>
    <d v="2024-07-14T00:00:00"/>
    <x v="3"/>
    <n v="246"/>
    <x v="434"/>
    <n v="4215.9799999999996"/>
    <n v="2"/>
    <x v="0"/>
    <n v="9"/>
    <n v="14.550000000000182"/>
    <n v="8.130081300813009E-3"/>
    <n v="3.4392853850463614E-3"/>
  </r>
  <r>
    <s v="PO-00437"/>
    <x v="7"/>
    <x v="0"/>
    <x v="65"/>
    <s v="Not Yet Delivered"/>
    <x v="2"/>
    <n v="447"/>
    <x v="435"/>
    <n v="4190.5600000000004"/>
    <n v="2"/>
    <x v="0"/>
    <s v="Not Applicable"/>
    <n v="207.21999999999935"/>
    <n v="4.4742729306487695E-3"/>
    <n v="4.7119228337933992E-2"/>
  </r>
  <r>
    <s v="PO-00438"/>
    <x v="0"/>
    <x v="1"/>
    <x v="337"/>
    <d v="2023-02-26T00:00:00"/>
    <x v="3"/>
    <n v="271"/>
    <x v="436"/>
    <n v="5186.25"/>
    <n v="4"/>
    <x v="0"/>
    <n v="27"/>
    <n v="294.90999999999985"/>
    <n v="1.4760147601476014E-2"/>
    <n v="5.3804304198381336E-2"/>
  </r>
  <r>
    <s v="PO-00439"/>
    <x v="3"/>
    <x v="2"/>
    <x v="338"/>
    <d v="2024-09-22T00:00:00"/>
    <x v="0"/>
    <n v="461"/>
    <x v="437"/>
    <n v="114.01"/>
    <n v="0"/>
    <x v="0"/>
    <n v="25"/>
    <n v="1.5099999999999909"/>
    <n v="0"/>
    <n v="1.3071329639889119E-2"/>
  </r>
  <r>
    <s v="PO-00440"/>
    <x v="4"/>
    <x v="0"/>
    <x v="336"/>
    <d v="2024-07-16T00:00:00"/>
    <x v="0"/>
    <n v="105"/>
    <x v="438"/>
    <n v="3741.26"/>
    <n v="3"/>
    <x v="0"/>
    <n v="11"/>
    <n v="175.58999999999969"/>
    <n v="2.8571428571428571E-2"/>
    <n v="4.4829390964678174E-2"/>
  </r>
  <r>
    <s v="PO-00441"/>
    <x v="4"/>
    <x v="1"/>
    <x v="339"/>
    <d v="2024-12-05T00:00:00"/>
    <x v="3"/>
    <n v="277"/>
    <x v="439"/>
    <n v="4463.01"/>
    <n v="4"/>
    <x v="0"/>
    <n v="18"/>
    <n v="222.34999999999945"/>
    <n v="1.444043321299639E-2"/>
    <n v="4.7456332064131565E-2"/>
  </r>
  <r>
    <s v="PO-00442"/>
    <x v="7"/>
    <x v="1"/>
    <x v="340"/>
    <d v="2024-11-07T00:00:00"/>
    <x v="0"/>
    <n v="314"/>
    <x v="440"/>
    <n v="5240.17"/>
    <n v="1"/>
    <x v="0"/>
    <n v="22"/>
    <n v="69.609999999999673"/>
    <n v="3.1847133757961785E-3"/>
    <n v="1.3109771026294815E-2"/>
  </r>
  <r>
    <s v="PO-00443"/>
    <x v="2"/>
    <x v="0"/>
    <x v="215"/>
    <d v="2023-02-02T00:00:00"/>
    <x v="0"/>
    <n v="307"/>
    <x v="441"/>
    <n v="3877.33"/>
    <n v="3"/>
    <x v="0"/>
    <n v="7"/>
    <n v="142.86000000000013"/>
    <n v="9.7719869706840382E-3"/>
    <n v="3.5535633887950599E-2"/>
  </r>
  <r>
    <s v="PO-00444"/>
    <x v="5"/>
    <x v="0"/>
    <x v="341"/>
    <d v="2024-07-25T00:00:00"/>
    <x v="0"/>
    <n v="379"/>
    <x v="442"/>
    <n v="4149.0600000000004"/>
    <n v="0"/>
    <x v="0"/>
    <n v="16"/>
    <n v="57.139999999999418"/>
    <n v="0"/>
    <n v="1.3584708287765541E-2"/>
  </r>
  <r>
    <s v="PO-00445"/>
    <x v="5"/>
    <x v="8"/>
    <x v="200"/>
    <d v="2023-02-21T00:00:00"/>
    <x v="0"/>
    <n v="364"/>
    <x v="443"/>
    <n v="8035.72"/>
    <n v="1"/>
    <x v="0"/>
    <n v="8"/>
    <n v="280.32999999999902"/>
    <n v="2.7472527472527475E-3"/>
    <n v="3.3709513531063308E-2"/>
  </r>
  <r>
    <s v="PO-00446"/>
    <x v="5"/>
    <x v="8"/>
    <x v="342"/>
    <d v="2024-02-07T00:00:00"/>
    <x v="0"/>
    <n v="425"/>
    <x v="444"/>
    <n v="7769"/>
    <n v="2"/>
    <x v="0"/>
    <n v="5"/>
    <n v="292.51000000000022"/>
    <n v="4.7058823529411761E-3"/>
    <n v="3.6284765509191234E-2"/>
  </r>
  <r>
    <s v="PO-00447"/>
    <x v="0"/>
    <x v="8"/>
    <x v="139"/>
    <s v="Not Yet Delivered"/>
    <x v="1"/>
    <n v="198"/>
    <x v="445"/>
    <n v="8571.68"/>
    <n v="2"/>
    <x v="0"/>
    <s v="Not Applicable"/>
    <n v="414.40999999999985"/>
    <n v="1.0101010101010102E-2"/>
    <n v="4.6116831680964677E-2"/>
  </r>
  <r>
    <s v="PO-00448"/>
    <x v="7"/>
    <x v="0"/>
    <x v="343"/>
    <d v="2024-08-31T00:00:00"/>
    <x v="0"/>
    <n v="368"/>
    <x v="446"/>
    <n v="4270.28"/>
    <n v="0"/>
    <x v="0"/>
    <n v="26"/>
    <n v="95.5"/>
    <n v="0"/>
    <n v="2.1874670734668263E-2"/>
  </r>
  <r>
    <s v="PO-00449"/>
    <x v="7"/>
    <x v="6"/>
    <x v="344"/>
    <d v="2024-03-22T00:00:00"/>
    <x v="3"/>
    <n v="64"/>
    <x v="447"/>
    <n v="537.38"/>
    <n v="2"/>
    <x v="0"/>
    <n v="24"/>
    <n v="3.4500000000000455"/>
    <n v="3.125E-2"/>
    <n v="6.3790840005178064E-3"/>
  </r>
  <r>
    <s v="PO-00450"/>
    <x v="7"/>
    <x v="5"/>
    <x v="330"/>
    <d v="2023-02-02T00:00:00"/>
    <x v="0"/>
    <n v="292"/>
    <x v="448"/>
    <n v="844.12"/>
    <n v="2"/>
    <x v="0"/>
    <n v="27"/>
    <n v="39.799999999999955"/>
    <n v="6.8493150684931503E-3"/>
    <n v="4.5026699248800747E-2"/>
  </r>
  <r>
    <s v="PO-00451"/>
    <x v="6"/>
    <x v="7"/>
    <x v="345"/>
    <d v="2023-04-21T00:00:00"/>
    <x v="0"/>
    <n v="143"/>
    <x v="449"/>
    <n v="13049.15"/>
    <n v="2"/>
    <x v="0"/>
    <n v="5"/>
    <n v="241.8700000000008"/>
    <n v="1.3986013986013986E-2"/>
    <n v="1.8198001357307474E-2"/>
  </r>
  <r>
    <s v="PO-00452"/>
    <x v="4"/>
    <x v="3"/>
    <x v="346"/>
    <s v="Not Yet Delivered"/>
    <x v="1"/>
    <n v="472"/>
    <x v="450"/>
    <n v="11078.57"/>
    <n v="2"/>
    <x v="0"/>
    <s v="Not Applicable"/>
    <n v="258.94000000000051"/>
    <n v="4.2372881355932203E-3"/>
    <n v="2.2839230130778321E-2"/>
  </r>
  <r>
    <s v="PO-00453"/>
    <x v="0"/>
    <x v="2"/>
    <x v="347"/>
    <d v="2024-08-31T00:00:00"/>
    <x v="0"/>
    <n v="274"/>
    <x v="451"/>
    <n v="122.04"/>
    <n v="2"/>
    <x v="0"/>
    <n v="10"/>
    <n v="6.7999999999999972"/>
    <n v="7.2992700729927005E-3"/>
    <n v="5.2778640173859026E-2"/>
  </r>
  <r>
    <s v="PO-00454"/>
    <x v="5"/>
    <x v="5"/>
    <x v="163"/>
    <d v="2025-01-21T00:00:00"/>
    <x v="0"/>
    <n v="34"/>
    <x v="452"/>
    <n v="881.33"/>
    <n v="1"/>
    <x v="0"/>
    <n v="25"/>
    <n v="48.509999999999991"/>
    <n v="2.9411764705882353E-2"/>
    <n v="5.2170265852189611E-2"/>
  </r>
  <r>
    <s v="PO-00455"/>
    <x v="4"/>
    <x v="8"/>
    <x v="147"/>
    <d v="2024-01-31T00:00:00"/>
    <x v="0"/>
    <n v="131"/>
    <x v="453"/>
    <n v="7216.86"/>
    <n v="0"/>
    <x v="0"/>
    <n v="21"/>
    <n v="149.51000000000022"/>
    <n v="0"/>
    <n v="2.0296292475126855E-2"/>
  </r>
  <r>
    <s v="PO-00456"/>
    <x v="7"/>
    <x v="11"/>
    <x v="78"/>
    <d v="2024-05-30T00:00:00"/>
    <x v="0"/>
    <n v="213"/>
    <x v="454"/>
    <n v="13782.75"/>
    <n v="2"/>
    <x v="0"/>
    <n v="13"/>
    <n v="109.69000000000051"/>
    <n v="9.3896713615023476E-3"/>
    <n v="7.895661237334874E-3"/>
  </r>
  <r>
    <s v="PO-00457"/>
    <x v="3"/>
    <x v="3"/>
    <x v="177"/>
    <d v="2024-05-10T00:00:00"/>
    <x v="0"/>
    <n v="191"/>
    <x v="455"/>
    <n v="12113.47"/>
    <n v="1"/>
    <x v="0"/>
    <n v="13"/>
    <n v="763.90999999999985"/>
    <n v="5.235602094240838E-3"/>
    <n v="5.9321849630903173E-2"/>
  </r>
  <r>
    <s v="PO-00458"/>
    <x v="6"/>
    <x v="5"/>
    <x v="144"/>
    <s v="Not Yet Delivered"/>
    <x v="2"/>
    <n v="478"/>
    <x v="456"/>
    <n v="929.29"/>
    <n v="2"/>
    <x v="0"/>
    <s v="Not Applicable"/>
    <n v="16.490000000000009"/>
    <n v="4.1841004184100415E-3"/>
    <n v="1.743534437184124E-2"/>
  </r>
  <r>
    <s v="PO-00459"/>
    <x v="0"/>
    <x v="1"/>
    <x v="168"/>
    <d v="2023-02-11T00:00:00"/>
    <x v="0"/>
    <n v="145"/>
    <x v="457"/>
    <n v="5611.55"/>
    <n v="0"/>
    <x v="0"/>
    <n v="30"/>
    <n v="66.210000000000036"/>
    <n v="0"/>
    <n v="1.16612889590261E-2"/>
  </r>
  <r>
    <s v="PO-00460"/>
    <x v="0"/>
    <x v="5"/>
    <x v="348"/>
    <d v="2024-10-15T00:00:00"/>
    <x v="0"/>
    <n v="353"/>
    <x v="458"/>
    <n v="918.32"/>
    <n v="2"/>
    <x v="0"/>
    <n v="24"/>
    <n v="41.019999999999982"/>
    <n v="5.6657223796033997E-3"/>
    <n v="4.2758563178852106E-2"/>
  </r>
  <r>
    <s v="PO-00461"/>
    <x v="7"/>
    <x v="6"/>
    <x v="349"/>
    <d v="2023-08-03T00:00:00"/>
    <x v="0"/>
    <n v="403"/>
    <x v="459"/>
    <n v="522.45000000000005"/>
    <n v="1"/>
    <x v="0"/>
    <n v="20"/>
    <n v="15.159999999999968"/>
    <n v="2.4813895781637717E-3"/>
    <n v="2.8198880229162344E-2"/>
  </r>
  <r>
    <s v="PO-00462"/>
    <x v="2"/>
    <x v="5"/>
    <x v="350"/>
    <d v="2023-06-19T00:00:00"/>
    <x v="3"/>
    <n v="390"/>
    <x v="460"/>
    <n v="838.09"/>
    <n v="4"/>
    <x v="0"/>
    <n v="6"/>
    <n v="16.419999999999959"/>
    <n v="1.0256410256410256E-2"/>
    <n v="1.9215690863769831E-2"/>
  </r>
  <r>
    <s v="PO-00463"/>
    <x v="4"/>
    <x v="7"/>
    <x v="189"/>
    <d v="2023-08-14T00:00:00"/>
    <x v="0"/>
    <n v="360"/>
    <x v="461"/>
    <n v="11479.19"/>
    <n v="1"/>
    <x v="0"/>
    <n v="5"/>
    <n v="72.299999999999272"/>
    <n v="2.7777777777777779E-3"/>
    <n v="6.2589328303101393E-3"/>
  </r>
  <r>
    <s v="PO-00464"/>
    <x v="0"/>
    <x v="9"/>
    <x v="351"/>
    <d v="2023-01-30T00:00:00"/>
    <x v="0"/>
    <n v="292"/>
    <x v="462"/>
    <n v="6834.1"/>
    <n v="1"/>
    <x v="0"/>
    <n v="21"/>
    <n v="256.53999999999996"/>
    <n v="3.4246575342465752E-3"/>
    <n v="3.6180090936784259E-2"/>
  </r>
  <r>
    <s v="PO-00465"/>
    <x v="3"/>
    <x v="2"/>
    <x v="352"/>
    <s v="Not Yet Delivered"/>
    <x v="1"/>
    <n v="302"/>
    <x v="463"/>
    <n v="117.98"/>
    <n v="2"/>
    <x v="0"/>
    <s v="Not Applicable"/>
    <n v="3.6099999999999994"/>
    <n v="6.6225165562913907E-3"/>
    <n v="2.9689941607040048E-2"/>
  </r>
  <r>
    <s v="PO-00466"/>
    <x v="2"/>
    <x v="3"/>
    <x v="353"/>
    <d v="2023-07-11T00:00:00"/>
    <x v="0"/>
    <n v="419"/>
    <x v="464"/>
    <n v="11323.2"/>
    <n v="4"/>
    <x v="0"/>
    <n v="3"/>
    <n v="373.59000000000015"/>
    <n v="9.5465393794749408E-3"/>
    <n v="3.19395321280454E-2"/>
  </r>
  <r>
    <s v="PO-00467"/>
    <x v="7"/>
    <x v="0"/>
    <x v="354"/>
    <d v="2023-04-22T00:00:00"/>
    <x v="0"/>
    <n v="92"/>
    <x v="465"/>
    <n v="4204.28"/>
    <n v="0"/>
    <x v="0"/>
    <n v="5"/>
    <n v="115.02000000000044"/>
    <n v="0"/>
    <n v="2.6629314935290541E-2"/>
  </r>
  <r>
    <s v="PO-00468"/>
    <x v="0"/>
    <x v="7"/>
    <x v="245"/>
    <d v="2023-11-20T00:00:00"/>
    <x v="0"/>
    <n v="51"/>
    <x v="466"/>
    <n v="11990.78"/>
    <n v="0"/>
    <x v="0"/>
    <n v="3"/>
    <n v="171.21999999999935"/>
    <n v="0"/>
    <n v="1.4078276599243492E-2"/>
  </r>
  <r>
    <s v="PO-00469"/>
    <x v="1"/>
    <x v="4"/>
    <x v="355"/>
    <d v="2023-12-25T00:00:00"/>
    <x v="0"/>
    <n v="497"/>
    <x v="467"/>
    <n v="40948.42"/>
    <n v="7"/>
    <x v="0"/>
    <n v="28"/>
    <n v="2195.760000000002"/>
    <n v="1.4084507042253521E-2"/>
    <n v="5.0893538827253226E-2"/>
  </r>
  <r>
    <s v="PO-00470"/>
    <x v="4"/>
    <x v="5"/>
    <x v="248"/>
    <d v="2023-04-08T00:00:00"/>
    <x v="0"/>
    <n v="385"/>
    <x v="468"/>
    <n v="821.61"/>
    <n v="4"/>
    <x v="0"/>
    <n v="2"/>
    <n v="2.8199999999999363"/>
    <n v="1.038961038961039E-2"/>
    <n v="3.4205451038898833E-3"/>
  </r>
  <r>
    <s v="PO-00471"/>
    <x v="2"/>
    <x v="11"/>
    <x v="356"/>
    <d v="2024-04-15T00:00:00"/>
    <x v="0"/>
    <n v="246"/>
    <x v="469"/>
    <n v="12950.05"/>
    <n v="2"/>
    <x v="0"/>
    <n v="3"/>
    <n v="209.90999999999985"/>
    <n v="8.130081300813009E-3"/>
    <n v="1.5950656384973803E-2"/>
  </r>
  <r>
    <s v="PO-00472"/>
    <x v="2"/>
    <x v="8"/>
    <x v="37"/>
    <d v="2024-06-13T00:00:00"/>
    <x v="0"/>
    <n v="356"/>
    <x v="470"/>
    <n v="8380.18"/>
    <n v="3"/>
    <x v="0"/>
    <n v="8"/>
    <n v="80.199999999998909"/>
    <n v="8.4269662921348312E-3"/>
    <n v="9.4794796451221942E-3"/>
  </r>
  <r>
    <s v="PO-00473"/>
    <x v="3"/>
    <x v="7"/>
    <x v="357"/>
    <d v="2024-11-14T00:00:00"/>
    <x v="0"/>
    <n v="61"/>
    <x v="471"/>
    <n v="12187.13"/>
    <n v="0"/>
    <x v="0"/>
    <n v="13"/>
    <n v="736.31000000000131"/>
    <n v="0"/>
    <n v="5.6974768327937554E-2"/>
  </r>
  <r>
    <s v="PO-00474"/>
    <x v="3"/>
    <x v="6"/>
    <x v="254"/>
    <d v="2025-01-20T00:00:00"/>
    <x v="0"/>
    <n v="402"/>
    <x v="472"/>
    <n v="576.42999999999995"/>
    <n v="4"/>
    <x v="0"/>
    <n v="23"/>
    <n v="4.7800000000000864"/>
    <n v="9.9502487562189053E-3"/>
    <n v="8.2242218819361095E-3"/>
  </r>
  <r>
    <s v="PO-00475"/>
    <x v="5"/>
    <x v="5"/>
    <x v="358"/>
    <d v="2025-01-17T00:00:00"/>
    <x v="0"/>
    <n v="100"/>
    <x v="473"/>
    <n v="901.38"/>
    <n v="1"/>
    <x v="0"/>
    <n v="19"/>
    <n v="17.669999999999959"/>
    <n v="0.01"/>
    <n v="1.9226375061204462E-2"/>
  </r>
  <r>
    <s v="PO-00476"/>
    <x v="0"/>
    <x v="6"/>
    <x v="103"/>
    <d v="2024-11-06T00:00:00"/>
    <x v="3"/>
    <n v="108"/>
    <x v="474"/>
    <n v="533.24"/>
    <n v="1"/>
    <x v="0"/>
    <n v="15"/>
    <n v="18.460000000000036"/>
    <n v="9.2592592592592587E-3"/>
    <n v="3.3460213884357506E-2"/>
  </r>
  <r>
    <s v="PO-00477"/>
    <x v="4"/>
    <x v="0"/>
    <x v="359"/>
    <d v="2024-06-23T00:00:00"/>
    <x v="0"/>
    <n v="48"/>
    <x v="475"/>
    <n v="3929.32"/>
    <n v="0"/>
    <x v="0"/>
    <n v="13"/>
    <n v="131.39999999999964"/>
    <n v="0"/>
    <n v="3.2358793514450548E-2"/>
  </r>
  <r>
    <s v="PO-00478"/>
    <x v="4"/>
    <x v="7"/>
    <x v="276"/>
    <d v="2023-03-13T00:00:00"/>
    <x v="0"/>
    <n v="357"/>
    <x v="476"/>
    <n v="9973.2199999999993"/>
    <n v="0"/>
    <x v="0"/>
    <n v="29"/>
    <n v="422.44000000000051"/>
    <n v="0"/>
    <n v="4.0636188563304351E-2"/>
  </r>
  <r>
    <s v="PO-00479"/>
    <x v="0"/>
    <x v="7"/>
    <x v="360"/>
    <d v="2023-11-13T00:00:00"/>
    <x v="0"/>
    <n v="137"/>
    <x v="477"/>
    <n v="11928.97"/>
    <n v="6"/>
    <x v="0"/>
    <n v="26"/>
    <n v="692.90000000000146"/>
    <n v="4.3795620437956206E-2"/>
    <n v="5.4896778369607782E-2"/>
  </r>
  <r>
    <s v="PO-00480"/>
    <x v="6"/>
    <x v="1"/>
    <x v="361"/>
    <s v="Not Yet Delivered"/>
    <x v="1"/>
    <n v="216"/>
    <x v="478"/>
    <n v="5075.8500000000004"/>
    <n v="2"/>
    <x v="0"/>
    <s v="Not Applicable"/>
    <n v="296.19999999999982"/>
    <n v="9.2592592592592587E-3"/>
    <n v="5.5137238112080079E-2"/>
  </r>
  <r>
    <s v="PO-00481"/>
    <x v="3"/>
    <x v="11"/>
    <x v="362"/>
    <d v="2024-07-08T00:00:00"/>
    <x v="0"/>
    <n v="103"/>
    <x v="479"/>
    <n v="14986.36"/>
    <n v="1"/>
    <x v="0"/>
    <n v="27"/>
    <n v="498.14999999999964"/>
    <n v="9.7087378640776691E-3"/>
    <n v="3.2170859781807733E-2"/>
  </r>
  <r>
    <s v="PO-00482"/>
    <x v="7"/>
    <x v="1"/>
    <x v="363"/>
    <d v="2023-04-28T00:00:00"/>
    <x v="0"/>
    <n v="439"/>
    <x v="480"/>
    <n v="4984.9399999999996"/>
    <n v="7"/>
    <x v="0"/>
    <n v="6"/>
    <n v="79.460000000000036"/>
    <n v="1.5945330296127564E-2"/>
    <n v="1.5689913908853971E-2"/>
  </r>
  <r>
    <s v="PO-00483"/>
    <x v="1"/>
    <x v="5"/>
    <x v="152"/>
    <d v="2023-05-11T00:00:00"/>
    <x v="3"/>
    <n v="479"/>
    <x v="481"/>
    <n v="816.22"/>
    <n v="3"/>
    <x v="0"/>
    <n v="29"/>
    <n v="41.879999999999995"/>
    <n v="6.2630480167014616E-3"/>
    <n v="4.8805500524414396E-2"/>
  </r>
  <r>
    <s v="PO-00484"/>
    <x v="1"/>
    <x v="7"/>
    <x v="364"/>
    <d v="2023-08-12T00:00:00"/>
    <x v="0"/>
    <n v="302"/>
    <x v="482"/>
    <n v="10824.76"/>
    <n v="1"/>
    <x v="0"/>
    <n v="24"/>
    <n v="487.13999999999942"/>
    <n v="3.3112582781456954E-3"/>
    <n v="4.3064383525313998E-2"/>
  </r>
  <r>
    <s v="PO-00485"/>
    <x v="1"/>
    <x v="0"/>
    <x v="208"/>
    <d v="2023-08-06T00:00:00"/>
    <x v="3"/>
    <n v="483"/>
    <x v="483"/>
    <n v="3528.96"/>
    <n v="1"/>
    <x v="0"/>
    <n v="11"/>
    <n v="213.75999999999976"/>
    <n v="2.070393374741201E-3"/>
    <n v="5.7113543091655207E-2"/>
  </r>
  <r>
    <s v="PO-00486"/>
    <x v="4"/>
    <x v="5"/>
    <x v="232"/>
    <d v="2024-01-13T00:00:00"/>
    <x v="0"/>
    <n v="430"/>
    <x v="484"/>
    <n v="792.52"/>
    <n v="5"/>
    <x v="0"/>
    <n v="9"/>
    <n v="1.0900000000000318"/>
    <n v="1.1627906976744186E-2"/>
    <n v="1.3734705963886944E-3"/>
  </r>
  <r>
    <s v="PO-00487"/>
    <x v="2"/>
    <x v="5"/>
    <x v="236"/>
    <d v="2024-11-18T00:00:00"/>
    <x v="0"/>
    <n v="362"/>
    <x v="485"/>
    <n v="836.38"/>
    <n v="9"/>
    <x v="1"/>
    <n v="22"/>
    <n v="33.470000000000027"/>
    <n v="2.4861878453038673E-2"/>
    <n v="3.8477898488245128E-2"/>
  </r>
  <r>
    <s v="PO-00488"/>
    <x v="4"/>
    <x v="11"/>
    <x v="26"/>
    <d v="2023-05-04T00:00:00"/>
    <x v="0"/>
    <n v="122"/>
    <x v="486"/>
    <n v="13488.72"/>
    <n v="3"/>
    <x v="0"/>
    <n v="8"/>
    <n v="56.3700000000008"/>
    <n v="2.4590163934426229E-2"/>
    <n v="4.1616556257655576E-3"/>
  </r>
  <r>
    <s v="PO-00489"/>
    <x v="3"/>
    <x v="0"/>
    <x v="178"/>
    <d v="2024-07-16T00:00:00"/>
    <x v="0"/>
    <n v="239"/>
    <x v="487"/>
    <n v="4356.34"/>
    <n v="0"/>
    <x v="0"/>
    <n v="23"/>
    <n v="168.93000000000029"/>
    <n v="0"/>
    <n v="3.7330369237636711E-2"/>
  </r>
  <r>
    <s v="PO-00490"/>
    <x v="2"/>
    <x v="2"/>
    <x v="332"/>
    <d v="2025-01-05T00:00:00"/>
    <x v="0"/>
    <n v="242"/>
    <x v="488"/>
    <n v="109.12"/>
    <n v="0"/>
    <x v="0"/>
    <n v="16"/>
    <n v="4.0699999999999932"/>
    <n v="0"/>
    <n v="3.5957240038872636E-2"/>
  </r>
  <r>
    <s v="PO-00491"/>
    <x v="5"/>
    <x v="6"/>
    <x v="28"/>
    <s v="Not Yet Delivered"/>
    <x v="1"/>
    <n v="248"/>
    <x v="489"/>
    <n v="525.45000000000005"/>
    <n v="2"/>
    <x v="0"/>
    <s v="Not Applicable"/>
    <n v="17.75"/>
    <n v="8.0645161290322578E-3"/>
    <n v="3.2676730486008831E-2"/>
  </r>
  <r>
    <s v="PO-00492"/>
    <x v="2"/>
    <x v="4"/>
    <x v="365"/>
    <d v="2023-07-18T00:00:00"/>
    <x v="0"/>
    <n v="334"/>
    <x v="490"/>
    <n v="44857.18"/>
    <n v="4"/>
    <x v="0"/>
    <n v="30"/>
    <n v="1097.9400000000023"/>
    <n v="1.1976047904191617E-2"/>
    <n v="2.3891570732488616E-2"/>
  </r>
  <r>
    <s v="PO-00493"/>
    <x v="3"/>
    <x v="2"/>
    <x v="137"/>
    <d v="2024-06-04T00:00:00"/>
    <x v="0"/>
    <n v="405"/>
    <x v="196"/>
    <n v="121.91"/>
    <n v="8"/>
    <x v="0"/>
    <n v="5"/>
    <n v="2.25"/>
    <n v="1.9753086419753086E-2"/>
    <n v="1.8121778350515465E-2"/>
  </r>
  <r>
    <s v="PO-00494"/>
    <x v="1"/>
    <x v="1"/>
    <x v="300"/>
    <d v="2023-11-03T00:00:00"/>
    <x v="0"/>
    <n v="438"/>
    <x v="491"/>
    <n v="4810.92"/>
    <n v="3"/>
    <x v="0"/>
    <n v="15"/>
    <n v="94.659999999999854"/>
    <n v="6.8493150684931503E-3"/>
    <n v="1.9296393087055934E-2"/>
  </r>
  <r>
    <s v="PO-00495"/>
    <x v="1"/>
    <x v="7"/>
    <x v="366"/>
    <d v="2023-02-15T00:00:00"/>
    <x v="3"/>
    <n v="264"/>
    <x v="492"/>
    <n v="11108.04"/>
    <n v="5"/>
    <x v="0"/>
    <n v="15"/>
    <n v="326.80999999999949"/>
    <n v="1.893939393939394E-2"/>
    <n v="2.8580173767036688E-2"/>
  </r>
  <r>
    <s v="PO-00496"/>
    <x v="3"/>
    <x v="7"/>
    <x v="156"/>
    <d v="2023-05-10T00:00:00"/>
    <x v="0"/>
    <n v="272"/>
    <x v="493"/>
    <n v="12557.44"/>
    <n v="3"/>
    <x v="1"/>
    <n v="22"/>
    <n v="165.28999999999905"/>
    <n v="1.1029411764705883E-2"/>
    <n v="1.2991708540541146E-2"/>
  </r>
  <r>
    <s v="PO-00497"/>
    <x v="7"/>
    <x v="8"/>
    <x v="367"/>
    <d v="2024-02-14T00:00:00"/>
    <x v="0"/>
    <n v="74"/>
    <x v="494"/>
    <n v="8417.98"/>
    <n v="2"/>
    <x v="0"/>
    <n v="20"/>
    <n v="101.3700000000008"/>
    <n v="2.7027027027027029E-2"/>
    <n v="1.1898795095870083E-2"/>
  </r>
  <r>
    <s v="PO-00498"/>
    <x v="3"/>
    <x v="10"/>
    <x v="76"/>
    <s v="Not Yet Delivered"/>
    <x v="2"/>
    <n v="16"/>
    <x v="495"/>
    <n v="52627.12"/>
    <n v="2"/>
    <x v="0"/>
    <s v="Not Applicable"/>
    <n v="3280.4300000000003"/>
    <n v="0.125"/>
    <n v="5.8675974890690076E-2"/>
  </r>
  <r>
    <s v="PO-00499"/>
    <x v="1"/>
    <x v="10"/>
    <x v="209"/>
    <d v="2024-12-24T00:00:00"/>
    <x v="0"/>
    <n v="121"/>
    <x v="496"/>
    <n v="47490.55"/>
    <n v="0"/>
    <x v="0"/>
    <n v="22"/>
    <n v="1036.6699999999983"/>
    <n v="0"/>
    <n v="2.1362649663425975E-2"/>
  </r>
  <r>
    <s v="PO-00500"/>
    <x v="7"/>
    <x v="11"/>
    <x v="368"/>
    <d v="2023-07-17T00:00:00"/>
    <x v="3"/>
    <n v="421"/>
    <x v="497"/>
    <n v="14213.15"/>
    <n v="4"/>
    <x v="0"/>
    <n v="12"/>
    <n v="719.55999999999949"/>
    <n v="9.5011876484560574E-3"/>
    <n v="4.8186832798601163E-2"/>
  </r>
  <r>
    <s v="PO-00501"/>
    <x v="3"/>
    <x v="11"/>
    <x v="369"/>
    <d v="2023-07-17T00:00:00"/>
    <x v="0"/>
    <n v="387"/>
    <x v="498"/>
    <n v="14828.97"/>
    <n v="4"/>
    <x v="0"/>
    <n v="26"/>
    <n v="194.34000000000015"/>
    <n v="1.0335917312661499E-2"/>
    <n v="1.2935897615106134E-2"/>
  </r>
  <r>
    <s v="PO-00502"/>
    <x v="1"/>
    <x v="2"/>
    <x v="135"/>
    <d v="2024-09-28T00:00:00"/>
    <x v="0"/>
    <n v="437"/>
    <x v="499"/>
    <n v="108.21"/>
    <n v="7"/>
    <x v="0"/>
    <n v="6"/>
    <n v="5.5600000000000023"/>
    <n v="1.6018306636155607E-2"/>
    <n v="4.8870528258767712E-2"/>
  </r>
  <r>
    <s v="PO-00503"/>
    <x v="3"/>
    <x v="0"/>
    <x v="370"/>
    <d v="2023-06-02T00:00:00"/>
    <x v="0"/>
    <n v="371"/>
    <x v="500"/>
    <n v="4037.05"/>
    <n v="0"/>
    <x v="0"/>
    <n v="30"/>
    <n v="63.399999999999636"/>
    <n v="0"/>
    <n v="1.5461717616359092E-2"/>
  </r>
  <r>
    <s v="PO-00504"/>
    <x v="1"/>
    <x v="3"/>
    <x v="266"/>
    <d v="2024-06-25T00:00:00"/>
    <x v="0"/>
    <n v="126"/>
    <x v="501"/>
    <n v="10916.26"/>
    <n v="1"/>
    <x v="1"/>
    <n v="22"/>
    <n v="333.64999999999964"/>
    <n v="7.9365079365079361E-3"/>
    <n v="2.9658015041898082E-2"/>
  </r>
  <r>
    <s v="PO-00505"/>
    <x v="0"/>
    <x v="9"/>
    <x v="75"/>
    <d v="2023-12-08T00:00:00"/>
    <x v="0"/>
    <n v="337"/>
    <x v="502"/>
    <n v="6476.29"/>
    <n v="1"/>
    <x v="0"/>
    <n v="8"/>
    <n v="32.199999999999818"/>
    <n v="2.967359050445104E-3"/>
    <n v="4.9473841090636721E-3"/>
  </r>
  <r>
    <s v="PO-00506"/>
    <x v="3"/>
    <x v="10"/>
    <x v="371"/>
    <s v="Not Yet Delivered"/>
    <x v="2"/>
    <n v="212"/>
    <x v="503"/>
    <n v="52887.44"/>
    <n v="2"/>
    <x v="1"/>
    <s v="Not Applicable"/>
    <n v="2330.3699999999953"/>
    <n v="9.433962264150943E-3"/>
    <n v="4.2203231167624998E-2"/>
  </r>
  <r>
    <s v="PO-00507"/>
    <x v="3"/>
    <x v="2"/>
    <x v="214"/>
    <s v="Not Yet Delivered"/>
    <x v="1"/>
    <n v="372"/>
    <x v="504"/>
    <n v="118.79"/>
    <n v="2"/>
    <x v="0"/>
    <s v="Not Applicable"/>
    <n v="6.2599999999999909"/>
    <n v="5.3763440860215058E-3"/>
    <n v="5.0059976009596087E-2"/>
  </r>
  <r>
    <s v="PO-00508"/>
    <x v="2"/>
    <x v="7"/>
    <x v="372"/>
    <d v="2024-07-02T00:00:00"/>
    <x v="0"/>
    <n v="194"/>
    <x v="505"/>
    <n v="11053.65"/>
    <n v="0"/>
    <x v="0"/>
    <n v="19"/>
    <n v="303.42000000000007"/>
    <n v="0"/>
    <n v="2.6716397803306671E-2"/>
  </r>
  <r>
    <s v="PO-00509"/>
    <x v="5"/>
    <x v="9"/>
    <x v="356"/>
    <d v="2024-04-15T00:00:00"/>
    <x v="0"/>
    <n v="224"/>
    <x v="506"/>
    <n v="6056.99"/>
    <n v="4"/>
    <x v="1"/>
    <n v="3"/>
    <n v="314.60000000000036"/>
    <n v="1.7857142857142856E-2"/>
    <n v="4.9375430622497739E-2"/>
  </r>
  <r>
    <s v="PO-00510"/>
    <x v="4"/>
    <x v="0"/>
    <x v="373"/>
    <d v="2024-03-23T00:00:00"/>
    <x v="3"/>
    <n v="273"/>
    <x v="507"/>
    <n v="3499.46"/>
    <n v="4"/>
    <x v="0"/>
    <n v="19"/>
    <n v="211.30000000000018"/>
    <n v="1.4652014652014652E-2"/>
    <n v="5.6942513123996209E-2"/>
  </r>
  <r>
    <s v="PO-00511"/>
    <x v="6"/>
    <x v="2"/>
    <x v="269"/>
    <d v="2023-04-28T00:00:00"/>
    <x v="0"/>
    <n v="115"/>
    <x v="508"/>
    <n v="125.61"/>
    <n v="4"/>
    <x v="0"/>
    <n v="4"/>
    <n v="1.6599999999999966"/>
    <n v="3.4782608695652174E-2"/>
    <n v="1.304313663864223E-2"/>
  </r>
  <r>
    <s v="PO-00512"/>
    <x v="2"/>
    <x v="1"/>
    <x v="374"/>
    <d v="2024-12-30T00:00:00"/>
    <x v="3"/>
    <n v="55"/>
    <x v="509"/>
    <n v="5016.1099999999997"/>
    <n v="1"/>
    <x v="0"/>
    <n v="25"/>
    <n v="119.47000000000025"/>
    <n v="1.8181818181818181E-2"/>
    <n v="2.3263195198984392E-2"/>
  </r>
  <r>
    <s v="PO-00513"/>
    <x v="2"/>
    <x v="7"/>
    <x v="178"/>
    <d v="2024-06-29T00:00:00"/>
    <x v="0"/>
    <n v="383"/>
    <x v="510"/>
    <n v="10386.17"/>
    <n v="1"/>
    <x v="0"/>
    <n v="6"/>
    <n v="536.60000000000036"/>
    <n v="2.6109660574412533E-3"/>
    <n v="4.9126732504666891E-2"/>
  </r>
  <r>
    <s v="PO-00514"/>
    <x v="0"/>
    <x v="0"/>
    <x v="375"/>
    <s v="Not Yet Delivered"/>
    <x v="1"/>
    <n v="154"/>
    <x v="511"/>
    <m/>
    <n v="2"/>
    <x v="0"/>
    <s v="Not Applicable"/>
    <n v="4216.96"/>
    <n v="1.2987012987012988E-2"/>
    <n v="1"/>
  </r>
  <r>
    <s v="PO-00515"/>
    <x v="6"/>
    <x v="0"/>
    <x v="129"/>
    <d v="2023-08-12T00:00:00"/>
    <x v="0"/>
    <n v="89"/>
    <x v="512"/>
    <n v="4264.54"/>
    <n v="1"/>
    <x v="0"/>
    <n v="10"/>
    <n v="235.5600000000004"/>
    <n v="1.1235955056179775E-2"/>
    <n v="5.2345503433257126E-2"/>
  </r>
  <r>
    <s v="PO-00516"/>
    <x v="5"/>
    <x v="0"/>
    <x v="376"/>
    <d v="2023-06-09T00:00:00"/>
    <x v="0"/>
    <n v="81"/>
    <x v="513"/>
    <n v="4139.12"/>
    <n v="0"/>
    <x v="0"/>
    <n v="2"/>
    <n v="108.15000000000055"/>
    <n v="0"/>
    <n v="2.5463415323254829E-2"/>
  </r>
  <r>
    <s v="PO-00517"/>
    <x v="1"/>
    <x v="1"/>
    <x v="190"/>
    <d v="2023-11-16T00:00:00"/>
    <x v="0"/>
    <n v="172"/>
    <x v="514"/>
    <n v="4594.0200000000004"/>
    <n v="1"/>
    <x v="0"/>
    <n v="17"/>
    <n v="150"/>
    <n v="5.8139534883720929E-3"/>
    <n v="3.1618753715203556E-2"/>
  </r>
  <r>
    <s v="PO-00518"/>
    <x v="3"/>
    <x v="6"/>
    <x v="313"/>
    <d v="2023-11-13T00:00:00"/>
    <x v="0"/>
    <n v="116"/>
    <x v="515"/>
    <n v="518.13"/>
    <n v="1"/>
    <x v="0"/>
    <n v="21"/>
    <n v="18"/>
    <n v="8.6206896551724137E-3"/>
    <n v="3.3573946617424875E-2"/>
  </r>
  <r>
    <s v="PO-00519"/>
    <x v="3"/>
    <x v="9"/>
    <x v="154"/>
    <d v="2024-05-19T00:00:00"/>
    <x v="0"/>
    <n v="301"/>
    <x v="516"/>
    <n v="6342.96"/>
    <n v="0"/>
    <x v="0"/>
    <n v="7"/>
    <n v="284.05000000000018"/>
    <n v="0"/>
    <n v="4.2862467387253099E-2"/>
  </r>
  <r>
    <s v="PO-00520"/>
    <x v="1"/>
    <x v="6"/>
    <x v="377"/>
    <d v="2023-09-03T00:00:00"/>
    <x v="0"/>
    <n v="156"/>
    <x v="517"/>
    <n v="479.54"/>
    <n v="3"/>
    <x v="0"/>
    <n v="21"/>
    <n v="8.3599999999999568"/>
    <n v="1.9230769230769232E-2"/>
    <n v="1.7134658741545312E-2"/>
  </r>
  <r>
    <s v="PO-00521"/>
    <x v="0"/>
    <x v="10"/>
    <x v="378"/>
    <d v="2023-06-05T00:00:00"/>
    <x v="3"/>
    <n v="495"/>
    <x v="518"/>
    <n v="52912.98"/>
    <n v="6"/>
    <x v="0"/>
    <n v="30"/>
    <n v="2264.2099999999991"/>
    <n v="1.2121212121212121E-2"/>
    <n v="4.1035253879365713E-2"/>
  </r>
  <r>
    <s v="PO-00522"/>
    <x v="3"/>
    <x v="10"/>
    <x v="298"/>
    <d v="2024-05-14T00:00:00"/>
    <x v="0"/>
    <n v="422"/>
    <x v="519"/>
    <n v="50370.1"/>
    <n v="5"/>
    <x v="0"/>
    <n v="19"/>
    <n v="640.62000000000262"/>
    <n v="1.1848341232227487E-2"/>
    <n v="1.255853671541987E-2"/>
  </r>
  <r>
    <s v="PO-00523"/>
    <x v="5"/>
    <x v="9"/>
    <x v="371"/>
    <d v="2024-05-31T00:00:00"/>
    <x v="0"/>
    <n v="43"/>
    <x v="520"/>
    <n v="6582.97"/>
    <n v="0"/>
    <x v="0"/>
    <n v="26"/>
    <n v="91.029999999999745"/>
    <n v="0"/>
    <n v="1.3639496553790792E-2"/>
  </r>
  <r>
    <s v="PO-00524"/>
    <x v="6"/>
    <x v="5"/>
    <x v="99"/>
    <d v="2023-07-05T00:00:00"/>
    <x v="0"/>
    <n v="13"/>
    <x v="521"/>
    <n v="909.44"/>
    <n v="0"/>
    <x v="0"/>
    <n v="18"/>
    <n v="40.259999999999991"/>
    <n v="0"/>
    <n v="4.239233442139622E-2"/>
  </r>
  <r>
    <s v="PO-00525"/>
    <x v="6"/>
    <x v="5"/>
    <x v="379"/>
    <d v="2024-10-30T00:00:00"/>
    <x v="3"/>
    <n v="115"/>
    <x v="522"/>
    <n v="988.82"/>
    <n v="0"/>
    <x v="0"/>
    <n v="11"/>
    <n v="4.0699999999999363"/>
    <n v="0"/>
    <n v="4.0991449203838654E-3"/>
  </r>
  <r>
    <s v="PO-00526"/>
    <x v="4"/>
    <x v="9"/>
    <x v="380"/>
    <d v="2023-05-11T00:00:00"/>
    <x v="0"/>
    <n v="271"/>
    <x v="523"/>
    <n v="5480.67"/>
    <n v="2"/>
    <x v="0"/>
    <n v="14"/>
    <n v="298.86999999999989"/>
    <n v="7.3800738007380072E-3"/>
    <n v="5.1711727922983473E-2"/>
  </r>
  <r>
    <s v="PO-00527"/>
    <x v="0"/>
    <x v="9"/>
    <x v="196"/>
    <s v="Not Yet Delivered"/>
    <x v="1"/>
    <n v="134"/>
    <x v="524"/>
    <n v="6944.23"/>
    <n v="2"/>
    <x v="0"/>
    <s v="Not Applicable"/>
    <n v="28.580000000000837"/>
    <n v="1.4925373134328358E-2"/>
    <n v="4.0987779675626954E-3"/>
  </r>
  <r>
    <s v="PO-00528"/>
    <x v="7"/>
    <x v="0"/>
    <x v="381"/>
    <d v="2023-08-20T00:00:00"/>
    <x v="0"/>
    <n v="478"/>
    <x v="525"/>
    <n v="4238.26"/>
    <n v="1"/>
    <x v="0"/>
    <n v="26"/>
    <n v="60.389999999999418"/>
    <n v="2.0920502092050207E-3"/>
    <n v="1.4048596652437259E-2"/>
  </r>
  <r>
    <s v="PO-00529"/>
    <x v="7"/>
    <x v="9"/>
    <x v="296"/>
    <d v="2024-09-29T00:00:00"/>
    <x v="0"/>
    <n v="363"/>
    <x v="526"/>
    <n v="6429.53"/>
    <n v="4"/>
    <x v="0"/>
    <n v="4"/>
    <n v="107.42000000000007"/>
    <n v="1.1019283746556474E-2"/>
    <n v="1.6432740039314983E-2"/>
  </r>
  <r>
    <s v="PO-00530"/>
    <x v="4"/>
    <x v="3"/>
    <x v="171"/>
    <d v="2024-05-06T00:00:00"/>
    <x v="3"/>
    <n v="386"/>
    <x v="527"/>
    <n v="10940.05"/>
    <n v="5"/>
    <x v="0"/>
    <n v="25"/>
    <n v="144.06000000000131"/>
    <n v="1.2953367875647668E-2"/>
    <n v="1.2996983970747431E-2"/>
  </r>
  <r>
    <s v="PO-00531"/>
    <x v="1"/>
    <x v="10"/>
    <x v="43"/>
    <d v="2024-09-20T00:00:00"/>
    <x v="0"/>
    <n v="11"/>
    <x v="528"/>
    <n v="45510.74"/>
    <n v="0"/>
    <x v="0"/>
    <n v="17"/>
    <n v="586.44000000000233"/>
    <n v="0"/>
    <n v="1.2721819425830437E-2"/>
  </r>
  <r>
    <s v="PO-00532"/>
    <x v="1"/>
    <x v="5"/>
    <x v="201"/>
    <d v="2024-08-04T00:00:00"/>
    <x v="3"/>
    <n v="277"/>
    <x v="529"/>
    <n v="818.95"/>
    <n v="4"/>
    <x v="0"/>
    <n v="28"/>
    <n v="7"/>
    <n v="1.444043321299639E-2"/>
    <n v="8.475089291119316E-3"/>
  </r>
  <r>
    <s v="PO-00533"/>
    <x v="7"/>
    <x v="11"/>
    <x v="378"/>
    <d v="2023-05-18T00:00:00"/>
    <x v="0"/>
    <n v="413"/>
    <x v="530"/>
    <n v="13316.8"/>
    <n v="1"/>
    <x v="0"/>
    <n v="12"/>
    <n v="269.53000000000065"/>
    <n v="2.4213075060532689E-3"/>
    <n v="1.9838322784740299E-2"/>
  </r>
  <r>
    <s v="PO-00534"/>
    <x v="7"/>
    <x v="11"/>
    <x v="191"/>
    <d v="2023-04-13T00:00:00"/>
    <x v="0"/>
    <n v="439"/>
    <x v="531"/>
    <n v="14524.81"/>
    <n v="12"/>
    <x v="0"/>
    <n v="25"/>
    <n v="609.47000000000116"/>
    <n v="2.7334851936218679E-2"/>
    <n v="4.0270828873259987E-2"/>
  </r>
  <r>
    <s v="PO-00535"/>
    <x v="1"/>
    <x v="11"/>
    <x v="198"/>
    <d v="2023-12-02T00:00:00"/>
    <x v="0"/>
    <n v="397"/>
    <x v="532"/>
    <n v="14077.73"/>
    <n v="4"/>
    <x v="0"/>
    <n v="9"/>
    <n v="348.09000000000015"/>
    <n v="1.0075566750629723E-2"/>
    <n v="2.412965086213471E-2"/>
  </r>
  <r>
    <s v="PO-00536"/>
    <x v="6"/>
    <x v="1"/>
    <x v="13"/>
    <d v="2023-10-23T00:00:00"/>
    <x v="0"/>
    <n v="5"/>
    <x v="533"/>
    <n v="5548.77"/>
    <n v="0"/>
    <x v="0"/>
    <n v="13"/>
    <n v="50.699999999999818"/>
    <n v="0"/>
    <n v="9.0544283655417061E-3"/>
  </r>
  <r>
    <s v="PO-00537"/>
    <x v="7"/>
    <x v="5"/>
    <x v="309"/>
    <d v="2024-12-16T00:00:00"/>
    <x v="3"/>
    <n v="387"/>
    <x v="534"/>
    <n v="877.53"/>
    <n v="3"/>
    <x v="0"/>
    <n v="17"/>
    <n v="11.029999999999973"/>
    <n v="7.7519379844961239E-3"/>
    <n v="1.2413342936886618E-2"/>
  </r>
  <r>
    <s v="PO-00538"/>
    <x v="0"/>
    <x v="10"/>
    <x v="382"/>
    <d v="2023-02-08T00:00:00"/>
    <x v="0"/>
    <n v="120"/>
    <x v="535"/>
    <n v="50211.77"/>
    <n v="0"/>
    <x v="0"/>
    <n v="15"/>
    <n v="1849.9200000000055"/>
    <n v="0"/>
    <n v="3.5533229904753487E-2"/>
  </r>
  <r>
    <s v="PO-00539"/>
    <x v="5"/>
    <x v="0"/>
    <x v="383"/>
    <d v="2024-08-16T00:00:00"/>
    <x v="3"/>
    <n v="391"/>
    <x v="536"/>
    <n v="4230.3900000000003"/>
    <n v="1"/>
    <x v="0"/>
    <n v="3"/>
    <n v="34.9399999999996"/>
    <n v="2.5575447570332483E-3"/>
    <n v="8.1916287837048019E-3"/>
  </r>
  <r>
    <s v="PO-00540"/>
    <x v="7"/>
    <x v="10"/>
    <x v="85"/>
    <d v="2023-01-27T00:00:00"/>
    <x v="0"/>
    <n v="38"/>
    <x v="537"/>
    <n v="48717.26"/>
    <n v="0"/>
    <x v="0"/>
    <n v="26"/>
    <n v="1954.3199999999997"/>
    <n v="0"/>
    <n v="3.8568365146695635E-2"/>
  </r>
  <r>
    <s v="PO-00541"/>
    <x v="4"/>
    <x v="9"/>
    <x v="134"/>
    <d v="2023-01-20T00:00:00"/>
    <x v="0"/>
    <n v="396"/>
    <x v="538"/>
    <n v="5719.52"/>
    <n v="4"/>
    <x v="0"/>
    <n v="6"/>
    <n v="186.38999999999942"/>
    <n v="1.0101010101010102E-2"/>
    <n v="3.1559912020332079E-2"/>
  </r>
  <r>
    <s v="PO-00542"/>
    <x v="4"/>
    <x v="6"/>
    <x v="360"/>
    <d v="2023-11-05T00:00:00"/>
    <x v="0"/>
    <n v="489"/>
    <x v="539"/>
    <n v="514.38"/>
    <n v="0"/>
    <x v="1"/>
    <n v="18"/>
    <n v="11.07000000000005"/>
    <n v="0"/>
    <n v="2.106765629460472E-2"/>
  </r>
  <r>
    <s v="PO-00543"/>
    <x v="3"/>
    <x v="0"/>
    <x v="367"/>
    <d v="2024-02-15T00:00:00"/>
    <x v="0"/>
    <n v="85"/>
    <x v="540"/>
    <n v="4385.05"/>
    <n v="1"/>
    <x v="0"/>
    <n v="21"/>
    <n v="153.80000000000018"/>
    <n v="1.1764705882352941E-2"/>
    <n v="3.3885235246813659E-2"/>
  </r>
  <r>
    <s v="PO-00544"/>
    <x v="2"/>
    <x v="8"/>
    <x v="384"/>
    <d v="2023-10-15T00:00:00"/>
    <x v="3"/>
    <n v="367"/>
    <x v="541"/>
    <n v="8486.1299999999992"/>
    <n v="7"/>
    <x v="0"/>
    <n v="23"/>
    <n v="80.240000000001601"/>
    <n v="1.9073569482288829E-2"/>
    <n v="9.3668613426692512E-3"/>
  </r>
  <r>
    <s v="PO-00545"/>
    <x v="2"/>
    <x v="0"/>
    <x v="385"/>
    <d v="2023-04-26T00:00:00"/>
    <x v="0"/>
    <n v="5"/>
    <x v="542"/>
    <n v="3735.16"/>
    <n v="0"/>
    <x v="0"/>
    <n v="19"/>
    <n v="112.57000000000016"/>
    <n v="0"/>
    <n v="2.9256210804812232E-2"/>
  </r>
  <r>
    <s v="PO-00546"/>
    <x v="0"/>
    <x v="0"/>
    <x v="386"/>
    <d v="2024-12-19T00:00:00"/>
    <x v="0"/>
    <n v="74"/>
    <x v="543"/>
    <n v="4009.08"/>
    <n v="0"/>
    <x v="0"/>
    <n v="19"/>
    <n v="193.48999999999978"/>
    <n v="0"/>
    <n v="4.6040874988399906E-2"/>
  </r>
  <r>
    <s v="PO-00547"/>
    <x v="7"/>
    <x v="10"/>
    <x v="107"/>
    <s v="Not Yet Delivered"/>
    <x v="2"/>
    <n v="299"/>
    <x v="544"/>
    <n v="53033.55"/>
    <n v="2"/>
    <x v="0"/>
    <s v="Not Applicable"/>
    <n v="392.83999999999651"/>
    <n v="6.688963210702341E-3"/>
    <n v="7.3529205323435952E-3"/>
  </r>
  <r>
    <s v="PO-00548"/>
    <x v="3"/>
    <x v="8"/>
    <x v="387"/>
    <d v="2024-12-16T00:00:00"/>
    <x v="3"/>
    <n v="327"/>
    <x v="545"/>
    <n v="8624.09"/>
    <n v="2"/>
    <x v="1"/>
    <n v="8"/>
    <n v="366.42000000000007"/>
    <n v="6.1162079510703364E-3"/>
    <n v="4.0756308596508993E-2"/>
  </r>
  <r>
    <s v="PO-00549"/>
    <x v="3"/>
    <x v="5"/>
    <x v="67"/>
    <d v="2024-01-26T00:00:00"/>
    <x v="0"/>
    <n v="289"/>
    <x v="546"/>
    <n v="903.79"/>
    <n v="3"/>
    <x v="0"/>
    <n v="28"/>
    <n v="36.940000000000055"/>
    <n v="1.0380622837370242E-2"/>
    <n v="3.9267377462183679E-2"/>
  </r>
  <r>
    <s v="PO-00550"/>
    <x v="5"/>
    <x v="5"/>
    <x v="388"/>
    <d v="2024-03-04T00:00:00"/>
    <x v="0"/>
    <n v="426"/>
    <x v="547"/>
    <n v="950.34"/>
    <n v="0"/>
    <x v="0"/>
    <n v="18"/>
    <n v="2.7799999999999727"/>
    <n v="0"/>
    <n v="2.9167366123887578E-3"/>
  </r>
  <r>
    <s v="PO-00551"/>
    <x v="0"/>
    <x v="0"/>
    <x v="225"/>
    <d v="2024-09-23T00:00:00"/>
    <x v="3"/>
    <n v="66"/>
    <x v="548"/>
    <n v="4312.49"/>
    <n v="1"/>
    <x v="0"/>
    <n v="21"/>
    <n v="32.350000000000364"/>
    <n v="1.5151515151515152E-2"/>
    <n v="7.4456136474531538E-3"/>
  </r>
  <r>
    <s v="PO-00552"/>
    <x v="6"/>
    <x v="4"/>
    <x v="231"/>
    <d v="2023-05-18T00:00:00"/>
    <x v="3"/>
    <n v="277"/>
    <x v="549"/>
    <n v="49695.46"/>
    <n v="1"/>
    <x v="0"/>
    <n v="16"/>
    <n v="991.37999999999738"/>
    <n v="3.6101083032490976E-3"/>
    <n v="1.9558922986716028E-2"/>
  </r>
  <r>
    <s v="PO-00553"/>
    <x v="3"/>
    <x v="2"/>
    <x v="269"/>
    <d v="2023-05-01T00:00:00"/>
    <x v="0"/>
    <n v="385"/>
    <x v="550"/>
    <n v="114.74"/>
    <n v="5"/>
    <x v="0"/>
    <n v="7"/>
    <n v="0.94000000000001194"/>
    <n v="1.2987012987012988E-2"/>
    <n v="8.1258644536653865E-3"/>
  </r>
  <r>
    <s v="PO-00554"/>
    <x v="1"/>
    <x v="2"/>
    <x v="389"/>
    <d v="2023-03-04T00:00:00"/>
    <x v="3"/>
    <n v="58"/>
    <x v="551"/>
    <n v="103.1"/>
    <n v="0"/>
    <x v="0"/>
    <n v="2"/>
    <n v="3.1099999999999994"/>
    <n v="0"/>
    <n v="2.9281611900950941E-2"/>
  </r>
  <r>
    <s v="PO-00555"/>
    <x v="0"/>
    <x v="0"/>
    <x v="44"/>
    <d v="2024-12-07T00:00:00"/>
    <x v="0"/>
    <n v="331"/>
    <x v="552"/>
    <n v="4379.7700000000004"/>
    <n v="2"/>
    <x v="0"/>
    <n v="14"/>
    <n v="32.1899999999996"/>
    <n v="6.0422960725075529E-3"/>
    <n v="7.2960770269901816E-3"/>
  </r>
  <r>
    <s v="PO-00556"/>
    <x v="3"/>
    <x v="8"/>
    <x v="390"/>
    <d v="2023-05-15T00:00:00"/>
    <x v="0"/>
    <n v="85"/>
    <x v="553"/>
    <n v="8567.5499999999993"/>
    <n v="0"/>
    <x v="0"/>
    <n v="10"/>
    <n v="105.93000000000029"/>
    <n v="0"/>
    <n v="1.2213090939277003E-2"/>
  </r>
  <r>
    <s v="PO-00557"/>
    <x v="4"/>
    <x v="4"/>
    <x v="391"/>
    <d v="2023-02-22T00:00:00"/>
    <x v="0"/>
    <n v="101"/>
    <x v="554"/>
    <n v="39903.96"/>
    <n v="3"/>
    <x v="0"/>
    <n v="8"/>
    <n v="1817.4100000000035"/>
    <n v="2.9702970297029702E-2"/>
    <n v="4.3560650093705057E-2"/>
  </r>
  <r>
    <s v="PO-00558"/>
    <x v="5"/>
    <x v="0"/>
    <x v="392"/>
    <d v="2023-09-03T00:00:00"/>
    <x v="0"/>
    <n v="189"/>
    <x v="555"/>
    <n v="4175.6400000000003"/>
    <n v="3"/>
    <x v="0"/>
    <n v="27"/>
    <n v="128.15999999999985"/>
    <n v="1.5873015873015872E-2"/>
    <n v="2.9778335424508539E-2"/>
  </r>
  <r>
    <s v="PO-00559"/>
    <x v="1"/>
    <x v="8"/>
    <x v="393"/>
    <d v="2023-03-30T00:00:00"/>
    <x v="0"/>
    <n v="71"/>
    <x v="556"/>
    <n v="7300.44"/>
    <n v="2"/>
    <x v="0"/>
    <n v="10"/>
    <n v="394.27000000000044"/>
    <n v="2.8169014084507043E-2"/>
    <n v="5.1239098029685383E-2"/>
  </r>
  <r>
    <s v="PO-00560"/>
    <x v="6"/>
    <x v="7"/>
    <x v="394"/>
    <d v="2024-09-15T00:00:00"/>
    <x v="0"/>
    <n v="5"/>
    <x v="557"/>
    <n v="12798.8"/>
    <n v="0"/>
    <x v="0"/>
    <n v="7"/>
    <n v="257.40999999999985"/>
    <n v="0"/>
    <n v="1.9715522345305405E-2"/>
  </r>
  <r>
    <s v="PO-00561"/>
    <x v="2"/>
    <x v="2"/>
    <x v="385"/>
    <d v="2023-04-27T00:00:00"/>
    <x v="0"/>
    <n v="78"/>
    <x v="558"/>
    <n v="119.17"/>
    <n v="1"/>
    <x v="0"/>
    <n v="20"/>
    <n v="2.5"/>
    <n v="1.282051282051282E-2"/>
    <n v="2.0547382263499631E-2"/>
  </r>
  <r>
    <s v="PO-00562"/>
    <x v="0"/>
    <x v="7"/>
    <x v="395"/>
    <d v="2024-12-24T00:00:00"/>
    <x v="0"/>
    <n v="324"/>
    <x v="559"/>
    <n v="12403.26"/>
    <n v="3"/>
    <x v="0"/>
    <n v="3"/>
    <n v="149.93000000000029"/>
    <n v="9.2592592592592587E-3"/>
    <n v="1.1943577688221104E-2"/>
  </r>
  <r>
    <s v="PO-00563"/>
    <x v="4"/>
    <x v="2"/>
    <x v="396"/>
    <d v="2024-06-21T00:00:00"/>
    <x v="0"/>
    <n v="451"/>
    <x v="560"/>
    <n v="110.42"/>
    <n v="2"/>
    <x v="0"/>
    <n v="26"/>
    <n v="0.98000000000000398"/>
    <n v="4.434589800443459E-3"/>
    <n v="8.7971274685817221E-3"/>
  </r>
  <r>
    <s v="PO-00564"/>
    <x v="4"/>
    <x v="1"/>
    <x v="33"/>
    <d v="2023-05-03T00:00:00"/>
    <x v="0"/>
    <n v="101"/>
    <x v="561"/>
    <n v="4524.1499999999996"/>
    <n v="1"/>
    <x v="0"/>
    <n v="3"/>
    <n v="24.340000000000146"/>
    <n v="9.9009900990099011E-3"/>
    <n v="5.3512264509760704E-3"/>
  </r>
  <r>
    <s v="PO-00565"/>
    <x v="7"/>
    <x v="10"/>
    <x v="397"/>
    <d v="2024-01-25T00:00:00"/>
    <x v="0"/>
    <n v="98"/>
    <x v="562"/>
    <n v="48892.45"/>
    <n v="0"/>
    <x v="0"/>
    <n v="22"/>
    <n v="770.06999999999971"/>
    <n v="0"/>
    <n v="1.550605970055486E-2"/>
  </r>
  <r>
    <s v="PO-00566"/>
    <x v="5"/>
    <x v="8"/>
    <x v="73"/>
    <d v="2025-01-08T00:00:00"/>
    <x v="3"/>
    <n v="105"/>
    <x v="563"/>
    <n v="8189.15"/>
    <n v="2"/>
    <x v="0"/>
    <n v="15"/>
    <n v="412.21000000000095"/>
    <n v="1.9047619047619049E-2"/>
    <n v="4.7923816698754722E-2"/>
  </r>
  <r>
    <s v="PO-00567"/>
    <x v="6"/>
    <x v="1"/>
    <x v="354"/>
    <d v="2023-05-03T00:00:00"/>
    <x v="0"/>
    <n v="112"/>
    <x v="564"/>
    <n v="5075.66"/>
    <n v="0"/>
    <x v="0"/>
    <n v="16"/>
    <n v="236.8100000000004"/>
    <n v="0"/>
    <n v="4.4576251724715694E-2"/>
  </r>
  <r>
    <s v="PO-00568"/>
    <x v="3"/>
    <x v="8"/>
    <x v="27"/>
    <d v="2024-11-20T00:00:00"/>
    <x v="0"/>
    <n v="96"/>
    <x v="565"/>
    <n v="8709.18"/>
    <n v="2"/>
    <x v="0"/>
    <n v="4"/>
    <n v="90.079999999999927"/>
    <n v="2.0833333333333332E-2"/>
    <n v="1.0237224493877886E-2"/>
  </r>
  <r>
    <s v="PO-00569"/>
    <x v="5"/>
    <x v="10"/>
    <x v="324"/>
    <d v="2024-10-13T00:00:00"/>
    <x v="3"/>
    <n v="367"/>
    <x v="566"/>
    <n v="53309.15"/>
    <n v="8"/>
    <x v="0"/>
    <n v="9"/>
    <n v="539.7699999999968"/>
    <n v="2.1798365122615803E-2"/>
    <n v="1.0023785063841519E-2"/>
  </r>
  <r>
    <s v="PO-00570"/>
    <x v="7"/>
    <x v="1"/>
    <x v="398"/>
    <d v="2023-05-26T00:00:00"/>
    <x v="0"/>
    <n v="53"/>
    <x v="567"/>
    <n v="4578.6000000000004"/>
    <n v="0"/>
    <x v="0"/>
    <n v="17"/>
    <n v="272.88999999999942"/>
    <n v="0"/>
    <n v="5.6248698853341848E-2"/>
  </r>
  <r>
    <s v="PO-00571"/>
    <x v="2"/>
    <x v="0"/>
    <x v="75"/>
    <d v="2023-12-02T00:00:00"/>
    <x v="3"/>
    <n v="303"/>
    <x v="568"/>
    <n v="3751.59"/>
    <n v="2"/>
    <x v="1"/>
    <n v="2"/>
    <n v="93.089999999999691"/>
    <n v="6.6006600660066007E-3"/>
    <n v="2.4212678298323839E-2"/>
  </r>
  <r>
    <s v="PO-00572"/>
    <x v="1"/>
    <x v="8"/>
    <x v="399"/>
    <d v="2024-06-24T00:00:00"/>
    <x v="0"/>
    <n v="402"/>
    <x v="569"/>
    <n v="7934.96"/>
    <n v="4"/>
    <x v="0"/>
    <n v="27"/>
    <n v="348.05000000000018"/>
    <n v="9.9502487562189053E-3"/>
    <n v="4.2019748859412238E-2"/>
  </r>
  <r>
    <s v="PO-00573"/>
    <x v="7"/>
    <x v="8"/>
    <x v="138"/>
    <d v="2024-08-24T00:00:00"/>
    <x v="0"/>
    <n v="238"/>
    <x v="570"/>
    <n v="8492.52"/>
    <n v="1"/>
    <x v="0"/>
    <n v="24"/>
    <n v="404.43999999999869"/>
    <n v="4.2016806722689074E-3"/>
    <n v="4.5458223932668997E-2"/>
  </r>
  <r>
    <s v="PO-00574"/>
    <x v="6"/>
    <x v="3"/>
    <x v="220"/>
    <d v="2023-10-12T00:00:00"/>
    <x v="0"/>
    <n v="300"/>
    <x v="571"/>
    <n v="13916.43"/>
    <n v="6"/>
    <x v="0"/>
    <n v="17"/>
    <n v="20.559999999999491"/>
    <n v="0.02"/>
    <n v="1.4752109314851694E-3"/>
  </r>
  <r>
    <s v="PO-00575"/>
    <x v="4"/>
    <x v="5"/>
    <x v="90"/>
    <d v="2023-02-09T00:00:00"/>
    <x v="0"/>
    <n v="16"/>
    <x v="572"/>
    <n v="842.03"/>
    <n v="1"/>
    <x v="0"/>
    <n v="22"/>
    <n v="19.960000000000036"/>
    <n v="6.25E-2"/>
    <n v="2.3155721064049509E-2"/>
  </r>
  <r>
    <s v="PO-00576"/>
    <x v="7"/>
    <x v="7"/>
    <x v="302"/>
    <d v="2024-09-22T00:00:00"/>
    <x v="0"/>
    <n v="361"/>
    <x v="573"/>
    <n v="12162.32"/>
    <n v="8"/>
    <x v="0"/>
    <n v="12"/>
    <n v="112.28000000000065"/>
    <n v="2.2160664819944598E-2"/>
    <n v="9.1473449236635536E-3"/>
  </r>
  <r>
    <s v="PO-00577"/>
    <x v="6"/>
    <x v="9"/>
    <x v="15"/>
    <d v="2024-01-31T00:00:00"/>
    <x v="0"/>
    <n v="97"/>
    <x v="574"/>
    <n v="6642.35"/>
    <n v="2"/>
    <x v="0"/>
    <n v="9"/>
    <n v="197.77999999999975"/>
    <n v="2.0618556701030927E-2"/>
    <n v="2.8914655130823499E-2"/>
  </r>
  <r>
    <s v="PO-00578"/>
    <x v="6"/>
    <x v="3"/>
    <x v="66"/>
    <d v="2024-07-03T00:00:00"/>
    <x v="0"/>
    <n v="18"/>
    <x v="575"/>
    <n v="13148.66"/>
    <n v="0"/>
    <x v="0"/>
    <n v="24"/>
    <n v="669.17000000000007"/>
    <n v="0"/>
    <n v="4.8428009318395152E-2"/>
  </r>
  <r>
    <s v="PO-00579"/>
    <x v="2"/>
    <x v="3"/>
    <x v="137"/>
    <s v="Not Yet Delivered"/>
    <x v="2"/>
    <n v="430"/>
    <x v="576"/>
    <n v="11090.71"/>
    <n v="2"/>
    <x v="0"/>
    <s v="Not Applicable"/>
    <n v="428.70000000000073"/>
    <n v="4.6511627906976744E-3"/>
    <n v="3.721544766615658E-2"/>
  </r>
  <r>
    <s v="PO-00580"/>
    <x v="3"/>
    <x v="3"/>
    <x v="168"/>
    <d v="2023-02-11T00:00:00"/>
    <x v="0"/>
    <n v="85"/>
    <x v="577"/>
    <n v="12447.36"/>
    <n v="1"/>
    <x v="0"/>
    <n v="30"/>
    <n v="640.96999999999935"/>
    <n v="1.1764705882352941E-2"/>
    <n v="4.8972634400263393E-2"/>
  </r>
  <r>
    <s v="PO-00581"/>
    <x v="3"/>
    <x v="1"/>
    <x v="206"/>
    <d v="2024-11-02T00:00:00"/>
    <x v="0"/>
    <n v="128"/>
    <x v="578"/>
    <n v="5060.33"/>
    <n v="1"/>
    <x v="0"/>
    <n v="21"/>
    <n v="255.96000000000004"/>
    <n v="7.8125E-3"/>
    <n v="4.8146357704338935E-2"/>
  </r>
  <r>
    <s v="PO-00582"/>
    <x v="3"/>
    <x v="11"/>
    <x v="103"/>
    <d v="2024-11-16T00:00:00"/>
    <x v="0"/>
    <n v="240"/>
    <x v="579"/>
    <n v="14459.98"/>
    <n v="2"/>
    <x v="0"/>
    <n v="25"/>
    <n v="58.479999999999563"/>
    <n v="8.3333333333333332E-3"/>
    <n v="4.0279754188804855E-3"/>
  </r>
  <r>
    <s v="PO-00583"/>
    <x v="4"/>
    <x v="2"/>
    <x v="341"/>
    <d v="2024-07-27T00:00:00"/>
    <x v="0"/>
    <n v="334"/>
    <x v="580"/>
    <n v="109.1"/>
    <n v="0"/>
    <x v="0"/>
    <n v="18"/>
    <n v="6.8700000000000045"/>
    <n v="0"/>
    <n v="5.9239458480641584E-2"/>
  </r>
  <r>
    <s v="PO-00584"/>
    <x v="5"/>
    <x v="6"/>
    <x v="47"/>
    <d v="2023-03-13T00:00:00"/>
    <x v="0"/>
    <n v="345"/>
    <x v="581"/>
    <n v="518.14"/>
    <n v="0"/>
    <x v="0"/>
    <n v="2"/>
    <n v="17.430000000000064"/>
    <n v="0"/>
    <n v="3.2544765390145197E-2"/>
  </r>
  <r>
    <s v="PO-00585"/>
    <x v="1"/>
    <x v="8"/>
    <x v="400"/>
    <d v="2024-08-19T00:00:00"/>
    <x v="0"/>
    <n v="114"/>
    <x v="582"/>
    <n v="7994.53"/>
    <n v="0"/>
    <x v="0"/>
    <n v="11"/>
    <n v="309.92999999999938"/>
    <n v="0"/>
    <n v="3.7320909487191148E-2"/>
  </r>
  <r>
    <s v="PO-00586"/>
    <x v="7"/>
    <x v="0"/>
    <x v="401"/>
    <d v="2024-08-17T00:00:00"/>
    <x v="0"/>
    <n v="459"/>
    <x v="583"/>
    <n v="4088.38"/>
    <n v="4"/>
    <x v="0"/>
    <n v="19"/>
    <n v="38.630000000000109"/>
    <n v="8.7145969498910684E-3"/>
    <n v="9.3602874720439509E-3"/>
  </r>
  <r>
    <s v="PO-00587"/>
    <x v="3"/>
    <x v="11"/>
    <x v="402"/>
    <d v="2024-09-26T00:00:00"/>
    <x v="0"/>
    <n v="258"/>
    <x v="584"/>
    <n v="13687.38"/>
    <n v="7"/>
    <x v="0"/>
    <n v="13"/>
    <n v="775.23000000000138"/>
    <n v="2.7131782945736434E-2"/>
    <n v="5.3602358080595505E-2"/>
  </r>
  <r>
    <s v="PO-00588"/>
    <x v="0"/>
    <x v="8"/>
    <x v="403"/>
    <d v="2023-06-21T00:00:00"/>
    <x v="0"/>
    <n v="435"/>
    <x v="585"/>
    <n v="8442.4599999999991"/>
    <n v="4"/>
    <x v="0"/>
    <n v="11"/>
    <n v="251.85000000000036"/>
    <n v="9.1954022988505746E-3"/>
    <n v="2.8967221090575375E-2"/>
  </r>
  <r>
    <s v="PO-00589"/>
    <x v="5"/>
    <x v="11"/>
    <x v="404"/>
    <s v="Not Yet Delivered"/>
    <x v="2"/>
    <n v="284"/>
    <x v="586"/>
    <n v="13595.36"/>
    <n v="2"/>
    <x v="0"/>
    <s v="Not Applicable"/>
    <n v="763.93999999999869"/>
    <n v="7.0422535211267607E-3"/>
    <n v="5.3201757745851029E-2"/>
  </r>
  <r>
    <s v="PO-00590"/>
    <x v="7"/>
    <x v="11"/>
    <x v="405"/>
    <d v="2024-01-01T00:00:00"/>
    <x v="0"/>
    <n v="289"/>
    <x v="587"/>
    <n v="13469.76"/>
    <n v="0"/>
    <x v="1"/>
    <n v="27"/>
    <n v="403.45999999999913"/>
    <n v="0"/>
    <n v="2.9081929069098532E-2"/>
  </r>
  <r>
    <s v="PO-00591"/>
    <x v="4"/>
    <x v="6"/>
    <x v="406"/>
    <d v="2023-10-10T00:00:00"/>
    <x v="0"/>
    <n v="131"/>
    <x v="588"/>
    <n v="515.03"/>
    <n v="0"/>
    <x v="0"/>
    <n v="25"/>
    <n v="2.0900000000000318"/>
    <n v="0"/>
    <n v="4.0416150990099627E-3"/>
  </r>
  <r>
    <s v="PO-00592"/>
    <x v="7"/>
    <x v="6"/>
    <x v="307"/>
    <d v="2024-06-22T00:00:00"/>
    <x v="0"/>
    <n v="463"/>
    <x v="589"/>
    <n v="557.70000000000005"/>
    <n v="8"/>
    <x v="0"/>
    <n v="22"/>
    <n v="12.889999999999986"/>
    <n v="1.7278617710583154E-2"/>
    <n v="2.2590651781489311E-2"/>
  </r>
  <r>
    <s v="PO-00593"/>
    <x v="5"/>
    <x v="2"/>
    <x v="407"/>
    <d v="2023-12-28T00:00:00"/>
    <x v="0"/>
    <n v="259"/>
    <x v="590"/>
    <n v="115.63"/>
    <n v="2"/>
    <x v="0"/>
    <n v="7"/>
    <n v="6.1800000000000068"/>
    <n v="7.7220077220077222E-3"/>
    <n v="5.0734750841474482E-2"/>
  </r>
  <r>
    <s v="PO-00594"/>
    <x v="5"/>
    <x v="6"/>
    <x v="139"/>
    <d v="2023-09-08T00:00:00"/>
    <x v="0"/>
    <n v="241"/>
    <x v="591"/>
    <n v="541.22"/>
    <n v="2"/>
    <x v="0"/>
    <n v="14"/>
    <n v="5.0099999999999909"/>
    <n v="8.2987551867219917E-3"/>
    <n v="9.1719605294472862E-3"/>
  </r>
  <r>
    <s v="PO-00595"/>
    <x v="3"/>
    <x v="6"/>
    <x v="49"/>
    <d v="2024-03-01T00:00:00"/>
    <x v="0"/>
    <n v="304"/>
    <x v="592"/>
    <n v="551.22"/>
    <n v="3"/>
    <x v="0"/>
    <n v="17"/>
    <n v="6.1299999999999955"/>
    <n v="9.8684210526315784E-3"/>
    <n v="1.0998474925989047E-2"/>
  </r>
  <r>
    <s v="PO-00596"/>
    <x v="5"/>
    <x v="2"/>
    <x v="41"/>
    <s v="Not Yet Delivered"/>
    <x v="1"/>
    <n v="201"/>
    <x v="593"/>
    <n v="120.68"/>
    <n v="2"/>
    <x v="0"/>
    <s v="Not Applicable"/>
    <n v="6.1899999999999977"/>
    <n v="9.9502487562189053E-3"/>
    <n v="4.8790100102467072E-2"/>
  </r>
  <r>
    <s v="PO-00597"/>
    <x v="3"/>
    <x v="7"/>
    <x v="408"/>
    <d v="2024-03-07T00:00:00"/>
    <x v="3"/>
    <n v="328"/>
    <x v="594"/>
    <n v="11843.46"/>
    <n v="4"/>
    <x v="0"/>
    <n v="10"/>
    <n v="585.28000000000065"/>
    <n v="1.2195121951219513E-2"/>
    <n v="4.7090855549315594E-2"/>
  </r>
  <r>
    <s v="PO-00598"/>
    <x v="6"/>
    <x v="11"/>
    <x v="189"/>
    <s v="Not Yet Delivered"/>
    <x v="1"/>
    <n v="87"/>
    <x v="595"/>
    <n v="14450.39"/>
    <n v="2"/>
    <x v="0"/>
    <s v="Not Applicable"/>
    <n v="725.26000000000022"/>
    <n v="2.2988505747126436E-2"/>
    <n v="4.7791033662479054E-2"/>
  </r>
  <r>
    <s v="PO-00599"/>
    <x v="0"/>
    <x v="1"/>
    <x v="409"/>
    <d v="2023-10-12T00:00:00"/>
    <x v="0"/>
    <n v="219"/>
    <x v="596"/>
    <n v="5315.58"/>
    <n v="5"/>
    <x v="0"/>
    <n v="4"/>
    <n v="63.960000000000036"/>
    <n v="2.2831050228310501E-2"/>
    <n v="1.1889492410131729E-2"/>
  </r>
  <r>
    <s v="PO-00600"/>
    <x v="6"/>
    <x v="9"/>
    <x v="113"/>
    <d v="2023-08-28T00:00:00"/>
    <x v="0"/>
    <n v="109"/>
    <x v="597"/>
    <n v="6880.85"/>
    <n v="2"/>
    <x v="0"/>
    <n v="14"/>
    <n v="217.53999999999996"/>
    <n v="1.834862385321101E-2"/>
    <n v="3.0646386011475835E-2"/>
  </r>
  <r>
    <s v="PO-00601"/>
    <x v="3"/>
    <x v="4"/>
    <x v="410"/>
    <d v="2024-06-24T00:00:00"/>
    <x v="0"/>
    <n v="171"/>
    <x v="598"/>
    <n v="47280.86"/>
    <n v="4"/>
    <x v="0"/>
    <n v="28"/>
    <n v="2641.1599999999962"/>
    <n v="2.3391812865497075E-2"/>
    <n v="5.2905711748042171E-2"/>
  </r>
  <r>
    <s v="PO-00602"/>
    <x v="4"/>
    <x v="10"/>
    <x v="262"/>
    <d v="2023-10-31T00:00:00"/>
    <x v="0"/>
    <n v="411"/>
    <x v="599"/>
    <n v="46527.26"/>
    <n v="5"/>
    <x v="0"/>
    <n v="10"/>
    <n v="849.65999999999622"/>
    <n v="1.2165450121654502E-2"/>
    <n v="1.7934048899759549E-2"/>
  </r>
  <r>
    <s v="PO-00603"/>
    <x v="5"/>
    <x v="1"/>
    <x v="30"/>
    <d v="2023-03-21T00:00:00"/>
    <x v="0"/>
    <n v="303"/>
    <x v="600"/>
    <n v="5173.1000000000004"/>
    <n v="4"/>
    <x v="0"/>
    <n v="29"/>
    <n v="28.109999999999673"/>
    <n v="1.3201320132013201E-2"/>
    <n v="5.4045116424831282E-3"/>
  </r>
  <r>
    <s v="PO-00604"/>
    <x v="4"/>
    <x v="2"/>
    <x v="411"/>
    <s v="Not Yet Delivered"/>
    <x v="1"/>
    <n v="199"/>
    <x v="601"/>
    <n v="106.79"/>
    <n v="2"/>
    <x v="0"/>
    <s v="Not Applicable"/>
    <n v="6.2199999999999989"/>
    <n v="1.0050251256281407E-2"/>
    <n v="5.5039377046279078E-2"/>
  </r>
  <r>
    <s v="PO-00605"/>
    <x v="6"/>
    <x v="2"/>
    <x v="88"/>
    <d v="2024-05-10T00:00:00"/>
    <x v="3"/>
    <n v="316"/>
    <x v="602"/>
    <n v="132.12"/>
    <n v="1"/>
    <x v="1"/>
    <n v="27"/>
    <n v="1.0099999999999909"/>
    <n v="3.1645569620253164E-3"/>
    <n v="7.5865695185156684E-3"/>
  </r>
  <r>
    <s v="PO-00606"/>
    <x v="7"/>
    <x v="6"/>
    <x v="53"/>
    <d v="2023-06-13T00:00:00"/>
    <x v="0"/>
    <n v="41"/>
    <x v="603"/>
    <n v="544.20000000000005"/>
    <n v="1"/>
    <x v="1"/>
    <n v="19"/>
    <n v="23.67999999999995"/>
    <n v="2.4390243902439025E-2"/>
    <n v="4.1698950482496215E-2"/>
  </r>
  <r>
    <s v="PO-00607"/>
    <x v="6"/>
    <x v="2"/>
    <x v="162"/>
    <d v="2024-03-09T00:00:00"/>
    <x v="0"/>
    <n v="121"/>
    <x v="604"/>
    <n v="126.54"/>
    <n v="1"/>
    <x v="0"/>
    <n v="6"/>
    <n v="0.45999999999999375"/>
    <n v="8.2644628099173556E-3"/>
    <n v="3.6220472440944389E-3"/>
  </r>
  <r>
    <s v="PO-00608"/>
    <x v="3"/>
    <x v="8"/>
    <x v="37"/>
    <d v="2024-06-27T00:00:00"/>
    <x v="0"/>
    <n v="362"/>
    <x v="605"/>
    <n v="8365.48"/>
    <n v="4"/>
    <x v="0"/>
    <n v="22"/>
    <n v="150.42000000000007"/>
    <n v="1.1049723756906077E-2"/>
    <n v="1.7663429584659295E-2"/>
  </r>
  <r>
    <s v="PO-00609"/>
    <x v="2"/>
    <x v="6"/>
    <x v="53"/>
    <d v="2023-06-15T00:00:00"/>
    <x v="0"/>
    <n v="73"/>
    <x v="606"/>
    <n v="473.33"/>
    <n v="0"/>
    <x v="0"/>
    <n v="21"/>
    <n v="24.220000000000027"/>
    <n v="0"/>
    <n v="4.8678524771379815E-2"/>
  </r>
  <r>
    <s v="PO-00610"/>
    <x v="7"/>
    <x v="10"/>
    <x v="24"/>
    <d v="2024-09-27T00:00:00"/>
    <x v="0"/>
    <n v="450"/>
    <x v="607"/>
    <n v="49642.06"/>
    <n v="8"/>
    <x v="0"/>
    <n v="27"/>
    <n v="1423.0500000000029"/>
    <n v="1.7777777777777778E-2"/>
    <n v="2.7867363841965736E-2"/>
  </r>
  <r>
    <s v="PO-00611"/>
    <x v="7"/>
    <x v="7"/>
    <x v="412"/>
    <d v="2023-04-23T00:00:00"/>
    <x v="0"/>
    <n v="131"/>
    <x v="608"/>
    <n v="11202.23"/>
    <n v="3"/>
    <x v="0"/>
    <n v="21"/>
    <n v="46.569999999999709"/>
    <n v="2.2900763358778626E-2"/>
    <n v="4.1399971552520901E-3"/>
  </r>
  <r>
    <s v="PO-00612"/>
    <x v="6"/>
    <x v="4"/>
    <x v="70"/>
    <d v="2024-12-12T00:00:00"/>
    <x v="0"/>
    <n v="61"/>
    <x v="609"/>
    <n v="48663.55"/>
    <n v="1"/>
    <x v="0"/>
    <n v="2"/>
    <n v="1801.6999999999971"/>
    <n v="1.6393442622950821E-2"/>
    <n v="3.5701794799391603E-2"/>
  </r>
  <r>
    <s v="PO-00613"/>
    <x v="6"/>
    <x v="9"/>
    <x v="139"/>
    <d v="2023-09-07T00:00:00"/>
    <x v="0"/>
    <n v="490"/>
    <x v="610"/>
    <n v="6283.14"/>
    <n v="7"/>
    <x v="1"/>
    <n v="13"/>
    <n v="369.48999999999978"/>
    <n v="1.4285714285714285E-2"/>
    <n v="5.5540440397256391E-2"/>
  </r>
  <r>
    <s v="PO-00614"/>
    <x v="7"/>
    <x v="3"/>
    <x v="413"/>
    <s v="Not Yet Delivered"/>
    <x v="1"/>
    <n v="91"/>
    <x v="611"/>
    <n v="12523.76"/>
    <n v="2"/>
    <x v="0"/>
    <s v="Not Applicable"/>
    <n v="288.10000000000036"/>
    <n v="2.197802197802198E-2"/>
    <n v="2.2486976910456431E-2"/>
  </r>
  <r>
    <s v="PO-00615"/>
    <x v="3"/>
    <x v="8"/>
    <x v="277"/>
    <d v="2023-11-14T00:00:00"/>
    <x v="0"/>
    <n v="280"/>
    <x v="612"/>
    <n v="8444.59"/>
    <n v="5"/>
    <x v="1"/>
    <n v="3"/>
    <n v="525.25"/>
    <n v="1.7857142857142856E-2"/>
    <n v="5.8557343274796426E-2"/>
  </r>
  <r>
    <s v="PO-00616"/>
    <x v="4"/>
    <x v="6"/>
    <x v="414"/>
    <d v="2023-03-29T00:00:00"/>
    <x v="0"/>
    <n v="43"/>
    <x v="613"/>
    <n v="475.33"/>
    <n v="0"/>
    <x v="0"/>
    <n v="7"/>
    <n v="24.939999999999998"/>
    <n v="0"/>
    <n v="4.9853079337157935E-2"/>
  </r>
  <r>
    <s v="PO-00617"/>
    <x v="1"/>
    <x v="5"/>
    <x v="415"/>
    <d v="2024-11-14T00:00:00"/>
    <x v="0"/>
    <n v="18"/>
    <x v="614"/>
    <n v="780.2"/>
    <n v="0"/>
    <x v="0"/>
    <n v="20"/>
    <n v="45.029999999999973"/>
    <n v="0"/>
    <n v="5.456660567356976E-2"/>
  </r>
  <r>
    <s v="PO-00618"/>
    <x v="2"/>
    <x v="10"/>
    <x v="105"/>
    <d v="2023-12-26T00:00:00"/>
    <x v="0"/>
    <n v="292"/>
    <x v="615"/>
    <n v="48863.24"/>
    <n v="5"/>
    <x v="0"/>
    <n v="25"/>
    <n v="648.26000000000204"/>
    <n v="1.7123287671232876E-2"/>
    <n v="1.3093119780253114E-2"/>
  </r>
  <r>
    <s v="PO-00619"/>
    <x v="2"/>
    <x v="5"/>
    <x v="416"/>
    <d v="2025-01-22T00:00:00"/>
    <x v="0"/>
    <n v="437"/>
    <x v="616"/>
    <n v="849.18"/>
    <n v="6"/>
    <x v="0"/>
    <n v="28"/>
    <n v="40.800000000000068"/>
    <n v="1.3729977116704805E-2"/>
    <n v="4.5843726825321993E-2"/>
  </r>
  <r>
    <s v="PO-00620"/>
    <x v="0"/>
    <x v="7"/>
    <x v="372"/>
    <d v="2024-06-22T00:00:00"/>
    <x v="0"/>
    <n v="171"/>
    <x v="617"/>
    <n v="12566.28"/>
    <n v="2"/>
    <x v="0"/>
    <n v="9"/>
    <n v="596.96999999999935"/>
    <n v="1.1695906432748537E-2"/>
    <n v="4.5351262036351155E-2"/>
  </r>
  <r>
    <s v="PO-00621"/>
    <x v="1"/>
    <x v="11"/>
    <x v="417"/>
    <s v="Not Yet Delivered"/>
    <x v="1"/>
    <n v="397"/>
    <x v="618"/>
    <n v="13584.87"/>
    <n v="2"/>
    <x v="0"/>
    <s v="Not Applicable"/>
    <n v="645.48999999999978"/>
    <n v="5.0377833753148613E-3"/>
    <n v="4.536006116500213E-2"/>
  </r>
  <r>
    <s v="PO-00622"/>
    <x v="4"/>
    <x v="2"/>
    <x v="271"/>
    <d v="2023-01-17T00:00:00"/>
    <x v="0"/>
    <n v="171"/>
    <x v="619"/>
    <n v="112.69"/>
    <n v="0"/>
    <x v="0"/>
    <n v="13"/>
    <n v="3.8900000000000006"/>
    <n v="0"/>
    <n v="3.3367644535940988E-2"/>
  </r>
  <r>
    <s v="PO-00623"/>
    <x v="6"/>
    <x v="11"/>
    <x v="418"/>
    <d v="2023-04-04T00:00:00"/>
    <x v="0"/>
    <n v="467"/>
    <x v="620"/>
    <n v="14847.12"/>
    <n v="10"/>
    <x v="0"/>
    <n v="26"/>
    <n v="599.18999999999869"/>
    <n v="2.1413276231263382E-2"/>
    <n v="3.8791789106912833E-2"/>
  </r>
  <r>
    <s v="PO-00624"/>
    <x v="0"/>
    <x v="2"/>
    <x v="379"/>
    <d v="2024-11-15T00:00:00"/>
    <x v="3"/>
    <n v="454"/>
    <x v="621"/>
    <n v="121.98"/>
    <n v="0"/>
    <x v="0"/>
    <n v="27"/>
    <n v="3.1799999999999926"/>
    <n v="0"/>
    <n v="2.5407478427612599E-2"/>
  </r>
  <r>
    <s v="PO-00625"/>
    <x v="6"/>
    <x v="7"/>
    <x v="148"/>
    <d v="2023-05-26T00:00:00"/>
    <x v="0"/>
    <n v="166"/>
    <x v="622"/>
    <n v="11984.47"/>
    <n v="2"/>
    <x v="0"/>
    <n v="27"/>
    <n v="297.61000000000058"/>
    <n v="1.2048192771084338E-2"/>
    <n v="2.4231237705665539E-2"/>
  </r>
  <r>
    <s v="PO-00626"/>
    <x v="3"/>
    <x v="6"/>
    <x v="419"/>
    <d v="2024-03-11T00:00:00"/>
    <x v="0"/>
    <n v="455"/>
    <x v="623"/>
    <n v="579.03"/>
    <n v="1"/>
    <x v="0"/>
    <n v="20"/>
    <n v="11.440000000000055"/>
    <n v="2.1978021978021978E-3"/>
    <n v="1.9374396667061925E-2"/>
  </r>
  <r>
    <s v="PO-00627"/>
    <x v="3"/>
    <x v="1"/>
    <x v="271"/>
    <d v="2023-01-11T00:00:00"/>
    <x v="3"/>
    <n v="142"/>
    <x v="624"/>
    <n v="4934.0200000000004"/>
    <n v="0"/>
    <x v="0"/>
    <n v="7"/>
    <n v="236.14999999999964"/>
    <n v="0"/>
    <n v="4.567548069019E-2"/>
  </r>
  <r>
    <s v="PO-00628"/>
    <x v="5"/>
    <x v="6"/>
    <x v="229"/>
    <d v="2024-05-05T00:00:00"/>
    <x v="0"/>
    <n v="8"/>
    <x v="625"/>
    <n v="554.47"/>
    <n v="0"/>
    <x v="0"/>
    <n v="5"/>
    <n v="20.049999999999955"/>
    <n v="0"/>
    <n v="3.4898698043584128E-2"/>
  </r>
  <r>
    <s v="PO-00629"/>
    <x v="2"/>
    <x v="2"/>
    <x v="313"/>
    <d v="2023-11-20T00:00:00"/>
    <x v="0"/>
    <n v="465"/>
    <x v="626"/>
    <n v="119.03"/>
    <n v="1"/>
    <x v="0"/>
    <n v="28"/>
    <n v="1.1200000000000045"/>
    <n v="2.1505376344086021E-3"/>
    <n v="9.3216812317936295E-3"/>
  </r>
  <r>
    <s v="PO-00630"/>
    <x v="2"/>
    <x v="4"/>
    <x v="352"/>
    <d v="2024-09-08T00:00:00"/>
    <x v="3"/>
    <n v="184"/>
    <x v="627"/>
    <n v="42360.82"/>
    <n v="2"/>
    <x v="0"/>
    <n v="28"/>
    <n v="2203.1800000000003"/>
    <n v="1.0869565217391304E-2"/>
    <n v="4.9438560272866E-2"/>
  </r>
  <r>
    <s v="PO-00631"/>
    <x v="0"/>
    <x v="8"/>
    <x v="254"/>
    <d v="2025-01-07T00:00:00"/>
    <x v="0"/>
    <n v="73"/>
    <x v="628"/>
    <n v="9124.7000000000007"/>
    <n v="1"/>
    <x v="0"/>
    <n v="10"/>
    <n v="6.9200000000000728"/>
    <n v="1.3698630136986301E-2"/>
    <n v="7.5780639141795998E-4"/>
  </r>
  <r>
    <s v="PO-00632"/>
    <x v="5"/>
    <x v="9"/>
    <x v="38"/>
    <d v="2023-12-08T00:00:00"/>
    <x v="0"/>
    <n v="132"/>
    <x v="629"/>
    <n v="6124.81"/>
    <n v="1"/>
    <x v="0"/>
    <n v="6"/>
    <n v="199.42999999999938"/>
    <n v="7.575757575757576E-3"/>
    <n v="3.1534223875121656E-2"/>
  </r>
  <r>
    <s v="PO-00633"/>
    <x v="3"/>
    <x v="5"/>
    <x v="333"/>
    <d v="2024-08-15T00:00:00"/>
    <x v="0"/>
    <n v="204"/>
    <x v="630"/>
    <n v="837.29"/>
    <n v="1"/>
    <x v="0"/>
    <n v="14"/>
    <n v="28.610000000000014"/>
    <n v="4.9019607843137254E-3"/>
    <n v="3.3040766832197727E-2"/>
  </r>
  <r>
    <s v="PO-00634"/>
    <x v="5"/>
    <x v="4"/>
    <x v="420"/>
    <d v="2024-02-07T00:00:00"/>
    <x v="0"/>
    <n v="203"/>
    <x v="631"/>
    <n v="45304.89"/>
    <n v="1"/>
    <x v="0"/>
    <n v="7"/>
    <n v="1531.3300000000017"/>
    <n v="4.9261083743842365E-3"/>
    <n v="3.2695422474315852E-2"/>
  </r>
  <r>
    <s v="PO-00635"/>
    <x v="0"/>
    <x v="11"/>
    <x v="151"/>
    <d v="2024-08-29T00:00:00"/>
    <x v="3"/>
    <n v="339"/>
    <x v="632"/>
    <n v="15333.96"/>
    <n v="3"/>
    <x v="0"/>
    <n v="6"/>
    <n v="153.96000000000095"/>
    <n v="8.8495575221238937E-3"/>
    <n v="9.9406505198891097E-3"/>
  </r>
  <r>
    <s v="PO-00636"/>
    <x v="4"/>
    <x v="4"/>
    <x v="421"/>
    <d v="2024-01-20T00:00:00"/>
    <x v="0"/>
    <n v="377"/>
    <x v="633"/>
    <n v="44715.22"/>
    <n v="10"/>
    <x v="0"/>
    <n v="11"/>
    <n v="1385.260000000002"/>
    <n v="2.6525198938992044E-2"/>
    <n v="3.0048710989560239E-2"/>
  </r>
  <r>
    <s v="PO-00637"/>
    <x v="4"/>
    <x v="11"/>
    <x v="422"/>
    <d v="2023-06-22T00:00:00"/>
    <x v="0"/>
    <n v="102"/>
    <x v="634"/>
    <n v="13548.98"/>
    <n v="1"/>
    <x v="0"/>
    <n v="10"/>
    <n v="394.72999999999956"/>
    <n v="9.8039215686274508E-3"/>
    <n v="2.8308821683755585E-2"/>
  </r>
  <r>
    <s v="PO-00638"/>
    <x v="5"/>
    <x v="5"/>
    <x v="353"/>
    <d v="2023-08-04T00:00:00"/>
    <x v="0"/>
    <n v="351"/>
    <x v="635"/>
    <n v="860.11"/>
    <n v="0"/>
    <x v="0"/>
    <n v="27"/>
    <n v="19.990000000000009"/>
    <n v="0"/>
    <n v="2.2713328030905588E-2"/>
  </r>
  <r>
    <s v="PO-00639"/>
    <x v="0"/>
    <x v="0"/>
    <x v="423"/>
    <d v="2024-08-07T00:00:00"/>
    <x v="3"/>
    <n v="403"/>
    <x v="636"/>
    <n v="4255.8900000000003"/>
    <n v="3"/>
    <x v="0"/>
    <n v="20"/>
    <n v="129.72999999999956"/>
    <n v="7.4441687344913151E-3"/>
    <n v="2.9580766231456342E-2"/>
  </r>
  <r>
    <s v="PO-00640"/>
    <x v="4"/>
    <x v="5"/>
    <x v="424"/>
    <d v="2023-01-10T00:00:00"/>
    <x v="0"/>
    <n v="68"/>
    <x v="637"/>
    <n v="820.83"/>
    <n v="2"/>
    <x v="1"/>
    <n v="7"/>
    <n v="17.389999999999986"/>
    <n v="2.9411764705882353E-2"/>
    <n v="2.0746343442055767E-2"/>
  </r>
  <r>
    <s v="PO-00641"/>
    <x v="1"/>
    <x v="4"/>
    <x v="350"/>
    <d v="2023-06-17T00:00:00"/>
    <x v="0"/>
    <n v="463"/>
    <x v="638"/>
    <n v="45765.96"/>
    <n v="4"/>
    <x v="0"/>
    <n v="4"/>
    <n v="333.79000000000087"/>
    <n v="8.6393088552915772E-3"/>
    <n v="7.2406032570675738E-3"/>
  </r>
  <r>
    <s v="PO-00642"/>
    <x v="1"/>
    <x v="5"/>
    <x v="173"/>
    <d v="2025-01-02T00:00:00"/>
    <x v="0"/>
    <n v="55"/>
    <x v="639"/>
    <n v="759.89"/>
    <n v="0"/>
    <x v="0"/>
    <n v="30"/>
    <n v="45.200000000000045"/>
    <n v="0"/>
    <n v="5.6142791489150336E-2"/>
  </r>
  <r>
    <s v="PO-00643"/>
    <x v="3"/>
    <x v="8"/>
    <x v="425"/>
    <s v="Not Yet Delivered"/>
    <x v="2"/>
    <n v="168"/>
    <x v="640"/>
    <n v="8209.0300000000007"/>
    <n v="2"/>
    <x v="1"/>
    <s v="Not Applicable"/>
    <n v="487.30999999999949"/>
    <n v="1.1904761904761904E-2"/>
    <n v="5.603621753519291E-2"/>
  </r>
  <r>
    <s v="PO-00644"/>
    <x v="4"/>
    <x v="6"/>
    <x v="331"/>
    <d v="2023-08-19T00:00:00"/>
    <x v="0"/>
    <n v="193"/>
    <x v="641"/>
    <n v="511.75"/>
    <n v="2"/>
    <x v="0"/>
    <n v="13"/>
    <n v="9.3999999999999773"/>
    <n v="1.0362694300518135E-2"/>
    <n v="1.8037033483641902E-2"/>
  </r>
  <r>
    <s v="PO-00645"/>
    <x v="1"/>
    <x v="6"/>
    <x v="36"/>
    <d v="2023-02-28T00:00:00"/>
    <x v="0"/>
    <n v="355"/>
    <x v="642"/>
    <n v="545.77"/>
    <n v="7"/>
    <x v="0"/>
    <n v="12"/>
    <n v="0.56000000000005912"/>
    <n v="1.9718309859154931E-2"/>
    <n v="1.0250215071478028E-3"/>
  </r>
  <r>
    <s v="PO-00646"/>
    <x v="4"/>
    <x v="7"/>
    <x v="221"/>
    <d v="2023-07-15T00:00:00"/>
    <x v="0"/>
    <n v="221"/>
    <x v="643"/>
    <n v="11015.61"/>
    <n v="1"/>
    <x v="0"/>
    <n v="22"/>
    <n v="524"/>
    <n v="4.5248868778280547E-3"/>
    <n v="4.5408813642748756E-2"/>
  </r>
  <r>
    <s v="PO-00647"/>
    <x v="5"/>
    <x v="6"/>
    <x v="426"/>
    <d v="2023-09-24T00:00:00"/>
    <x v="0"/>
    <n v="280"/>
    <x v="644"/>
    <n v="537.9"/>
    <n v="1"/>
    <x v="0"/>
    <n v="19"/>
    <n v="13.029999999999973"/>
    <n v="3.5714285714285713E-3"/>
    <n v="2.3650917539433273E-2"/>
  </r>
  <r>
    <s v="PO-00648"/>
    <x v="5"/>
    <x v="11"/>
    <x v="141"/>
    <d v="2023-04-18T00:00:00"/>
    <x v="0"/>
    <n v="369"/>
    <x v="645"/>
    <n v="13161.27"/>
    <n v="1"/>
    <x v="0"/>
    <n v="24"/>
    <n v="789.31999999999971"/>
    <n v="2.7100271002710027E-3"/>
    <n v="5.657968587708475E-2"/>
  </r>
  <r>
    <s v="PO-00649"/>
    <x v="2"/>
    <x v="6"/>
    <x v="427"/>
    <d v="2024-06-02T00:00:00"/>
    <x v="0"/>
    <n v="77"/>
    <x v="646"/>
    <n v="514.16"/>
    <n v="1"/>
    <x v="0"/>
    <n v="14"/>
    <n v="0.16000000000008185"/>
    <n v="1.2987012987012988E-2"/>
    <n v="3.1109037175315336E-4"/>
  </r>
  <r>
    <s v="PO-00650"/>
    <x v="7"/>
    <x v="0"/>
    <x v="428"/>
    <d v="2024-02-21T00:00:00"/>
    <x v="0"/>
    <n v="46"/>
    <x v="647"/>
    <n v="3855.41"/>
    <n v="1"/>
    <x v="0"/>
    <n v="28"/>
    <n v="155.84000000000015"/>
    <n v="2.1739130434782608E-2"/>
    <n v="3.8850732315363075E-2"/>
  </r>
  <r>
    <s v="PO-00651"/>
    <x v="3"/>
    <x v="0"/>
    <x v="429"/>
    <d v="2024-03-08T00:00:00"/>
    <x v="0"/>
    <n v="440"/>
    <x v="648"/>
    <n v="4034.1"/>
    <n v="7"/>
    <x v="0"/>
    <n v="7"/>
    <n v="169.33999999999969"/>
    <n v="1.5909090909090907E-2"/>
    <n v="4.0286051424547442E-2"/>
  </r>
  <r>
    <s v="PO-00652"/>
    <x v="3"/>
    <x v="0"/>
    <x v="143"/>
    <d v="2023-08-09T00:00:00"/>
    <x v="0"/>
    <n v="154"/>
    <x v="649"/>
    <n v="4371.7700000000004"/>
    <n v="0"/>
    <x v="0"/>
    <n v="17"/>
    <n v="39.479999999999563"/>
    <n v="0"/>
    <n v="8.9498441484838903E-3"/>
  </r>
  <r>
    <s v="PO-00653"/>
    <x v="6"/>
    <x v="9"/>
    <x v="430"/>
    <d v="2023-02-28T00:00:00"/>
    <x v="0"/>
    <n v="315"/>
    <x v="650"/>
    <n v="6437.44"/>
    <n v="0"/>
    <x v="0"/>
    <n v="13"/>
    <n v="309.53000000000065"/>
    <n v="0"/>
    <n v="4.5876889922439351E-2"/>
  </r>
  <r>
    <s v="PO-00654"/>
    <x v="0"/>
    <x v="1"/>
    <x v="431"/>
    <d v="2024-05-18T00:00:00"/>
    <x v="0"/>
    <n v="468"/>
    <x v="651"/>
    <n v="5190.8900000000003"/>
    <n v="2"/>
    <x v="0"/>
    <n v="20"/>
    <n v="77.859999999999673"/>
    <n v="4.2735042735042739E-3"/>
    <n v="1.4777698695136355E-2"/>
  </r>
  <r>
    <s v="PO-00655"/>
    <x v="1"/>
    <x v="8"/>
    <x v="432"/>
    <d v="2024-08-14T00:00:00"/>
    <x v="0"/>
    <n v="303"/>
    <x v="652"/>
    <n v="7979.73"/>
    <n v="1"/>
    <x v="0"/>
    <n v="12"/>
    <n v="420.64999999999964"/>
    <n v="3.3003300330033004E-3"/>
    <n v="5.00751156495301E-2"/>
  </r>
  <r>
    <s v="PO-00656"/>
    <x v="6"/>
    <x v="7"/>
    <x v="74"/>
    <s v="Not Yet Delivered"/>
    <x v="1"/>
    <n v="208"/>
    <x v="653"/>
    <n v="12516.85"/>
    <n v="2"/>
    <x v="0"/>
    <s v="Not Applicable"/>
    <n v="78.739999999999782"/>
    <n v="9.6153846153846159E-3"/>
    <n v="6.2513943372243599E-3"/>
  </r>
  <r>
    <s v="PO-00657"/>
    <x v="5"/>
    <x v="0"/>
    <x v="150"/>
    <d v="2024-11-03T00:00:00"/>
    <x v="0"/>
    <n v="280"/>
    <x v="654"/>
    <n v="4162.6499999999996"/>
    <n v="1"/>
    <x v="0"/>
    <n v="29"/>
    <n v="13.600000000000364"/>
    <n v="3.5714285714285713E-3"/>
    <n v="3.2565100269381295E-3"/>
  </r>
  <r>
    <s v="PO-00658"/>
    <x v="2"/>
    <x v="5"/>
    <x v="314"/>
    <d v="2024-03-20T00:00:00"/>
    <x v="0"/>
    <n v="221"/>
    <x v="655"/>
    <n v="840.25"/>
    <n v="1"/>
    <x v="0"/>
    <n v="6"/>
    <n v="25.279999999999973"/>
    <n v="4.5248868778280547E-3"/>
    <n v="2.9207537578131288E-2"/>
  </r>
  <r>
    <s v="PO-00659"/>
    <x v="0"/>
    <x v="6"/>
    <x v="433"/>
    <d v="2024-11-25T00:00:00"/>
    <x v="0"/>
    <n v="72"/>
    <x v="656"/>
    <n v="600.36"/>
    <n v="0"/>
    <x v="0"/>
    <n v="19"/>
    <n v="6.5"/>
    <n v="0"/>
    <n v="1.0710872359358007E-2"/>
  </r>
  <r>
    <s v="PO-00660"/>
    <x v="6"/>
    <x v="2"/>
    <x v="281"/>
    <s v="Not Yet Delivered"/>
    <x v="2"/>
    <n v="43"/>
    <x v="657"/>
    <n v="117.29"/>
    <n v="2"/>
    <x v="0"/>
    <s v="Not Applicable"/>
    <n v="6.1299999999999955"/>
    <n v="4.6511627906976744E-2"/>
    <n v="4.9667801004699363E-2"/>
  </r>
  <r>
    <s v="PO-00661"/>
    <x v="6"/>
    <x v="9"/>
    <x v="2"/>
    <s v="Not Yet Delivered"/>
    <x v="1"/>
    <n v="105"/>
    <x v="658"/>
    <n v="6350.89"/>
    <n v="2"/>
    <x v="1"/>
    <s v="Not Applicable"/>
    <n v="402.42999999999938"/>
    <n v="1.9047619047619049E-2"/>
    <n v="5.9589949832082503E-2"/>
  </r>
  <r>
    <s v="PO-00662"/>
    <x v="3"/>
    <x v="0"/>
    <x v="434"/>
    <s v="Not Yet Delivered"/>
    <x v="2"/>
    <n v="439"/>
    <x v="659"/>
    <n v="4199.7299999999996"/>
    <n v="2"/>
    <x v="0"/>
    <s v="Not Applicable"/>
    <n v="237.75"/>
    <n v="4.5558086560364463E-3"/>
    <n v="5.3577706265718388E-2"/>
  </r>
  <r>
    <s v="PO-00663"/>
    <x v="0"/>
    <x v="5"/>
    <x v="299"/>
    <d v="2024-06-30T00:00:00"/>
    <x v="3"/>
    <n v="395"/>
    <x v="660"/>
    <n v="862.5"/>
    <n v="12"/>
    <x v="0"/>
    <n v="6"/>
    <n v="50.490000000000009"/>
    <n v="3.0379746835443037E-2"/>
    <n v="5.5301810534617038E-2"/>
  </r>
  <r>
    <s v="PO-00664"/>
    <x v="2"/>
    <x v="8"/>
    <x v="435"/>
    <d v="2024-04-03T00:00:00"/>
    <x v="0"/>
    <n v="421"/>
    <x v="661"/>
    <n v="8073.94"/>
    <n v="1"/>
    <x v="0"/>
    <n v="26"/>
    <n v="60.680000000000291"/>
    <n v="2.3752969121140144E-3"/>
    <n v="7.4594756731107652E-3"/>
  </r>
  <r>
    <s v="PO-00665"/>
    <x v="7"/>
    <x v="8"/>
    <x v="105"/>
    <d v="2023-12-19T00:00:00"/>
    <x v="3"/>
    <n v="353"/>
    <x v="662"/>
    <n v="7945.39"/>
    <n v="2"/>
    <x v="0"/>
    <n v="18"/>
    <n v="267.19999999999982"/>
    <n v="5.6657223796033997E-3"/>
    <n v="3.2535412092896371E-2"/>
  </r>
  <r>
    <s v="PO-00666"/>
    <x v="5"/>
    <x v="8"/>
    <x v="152"/>
    <d v="2023-05-03T00:00:00"/>
    <x v="3"/>
    <n v="433"/>
    <x v="663"/>
    <n v="8536.19"/>
    <n v="6"/>
    <x v="0"/>
    <n v="21"/>
    <n v="45"/>
    <n v="1.3856812933025405E-2"/>
    <n v="5.2440279261967157E-3"/>
  </r>
  <r>
    <s v="PO-00667"/>
    <x v="0"/>
    <x v="10"/>
    <x v="436"/>
    <d v="2023-02-27T00:00:00"/>
    <x v="0"/>
    <n v="297"/>
    <x v="664"/>
    <n v="51158.32"/>
    <n v="10"/>
    <x v="0"/>
    <n v="6"/>
    <n v="715.80000000000291"/>
    <n v="3.3670033670033669E-2"/>
    <n v="1.3798788297517199E-2"/>
  </r>
  <r>
    <s v="PO-00668"/>
    <x v="4"/>
    <x v="3"/>
    <x v="269"/>
    <d v="2023-05-24T00:00:00"/>
    <x v="0"/>
    <n v="208"/>
    <x v="665"/>
    <n v="11320.81"/>
    <n v="5"/>
    <x v="0"/>
    <n v="30"/>
    <n v="567.98000000000138"/>
    <n v="2.403846153846154E-2"/>
    <n v="4.777441606757301E-2"/>
  </r>
  <r>
    <s v="PO-00669"/>
    <x v="1"/>
    <x v="9"/>
    <x v="89"/>
    <d v="2023-05-31T00:00:00"/>
    <x v="0"/>
    <n v="235"/>
    <x v="666"/>
    <n v="6396.95"/>
    <n v="1"/>
    <x v="0"/>
    <n v="10"/>
    <n v="69.510000000000218"/>
    <n v="4.2553191489361703E-3"/>
    <n v="1.0749312606897781E-2"/>
  </r>
  <r>
    <s v="PO-00670"/>
    <x v="5"/>
    <x v="4"/>
    <x v="402"/>
    <d v="2024-10-08T00:00:00"/>
    <x v="0"/>
    <n v="73"/>
    <x v="667"/>
    <n v="46854.48"/>
    <n v="1"/>
    <x v="0"/>
    <n v="25"/>
    <n v="833.82999999999447"/>
    <n v="1.3698630136986301E-2"/>
    <n v="1.7484997895710595E-2"/>
  </r>
  <r>
    <s v="PO-00671"/>
    <x v="4"/>
    <x v="11"/>
    <x v="3"/>
    <d v="2024-08-14T00:00:00"/>
    <x v="0"/>
    <n v="327"/>
    <x v="668"/>
    <n v="13688.73"/>
    <n v="6"/>
    <x v="0"/>
    <n v="25"/>
    <n v="445.63000000000102"/>
    <n v="1.834862385321101E-2"/>
    <n v="3.152813427703844E-2"/>
  </r>
  <r>
    <s v="PO-00672"/>
    <x v="0"/>
    <x v="10"/>
    <x v="223"/>
    <d v="2024-04-16T00:00:00"/>
    <x v="0"/>
    <n v="15"/>
    <x v="669"/>
    <n v="53513.45"/>
    <n v="0"/>
    <x v="0"/>
    <n v="22"/>
    <n v="1938.4300000000003"/>
    <n v="0"/>
    <n v="3.495697530904273E-2"/>
  </r>
  <r>
    <s v="PO-00673"/>
    <x v="1"/>
    <x v="4"/>
    <x v="437"/>
    <s v="Not Yet Delivered"/>
    <x v="1"/>
    <n v="385"/>
    <x v="670"/>
    <n v="42837.15"/>
    <n v="2"/>
    <x v="0"/>
    <s v="Not Applicable"/>
    <n v="1308.3499999999985"/>
    <n v="5.1948051948051948E-3"/>
    <n v="2.9637222366945635E-2"/>
  </r>
  <r>
    <s v="PO-00674"/>
    <x v="2"/>
    <x v="1"/>
    <x v="438"/>
    <d v="2023-10-22T00:00:00"/>
    <x v="0"/>
    <n v="265"/>
    <x v="671"/>
    <n v="4609.8999999999996"/>
    <n v="0"/>
    <x v="0"/>
    <n v="20"/>
    <n v="288.28000000000065"/>
    <n v="0"/>
    <n v="5.8854513309025115E-2"/>
  </r>
  <r>
    <s v="PO-00675"/>
    <x v="3"/>
    <x v="4"/>
    <x v="439"/>
    <d v="2024-02-23T00:00:00"/>
    <x v="3"/>
    <n v="171"/>
    <x v="672"/>
    <n v="47823.42"/>
    <n v="2"/>
    <x v="0"/>
    <n v="6"/>
    <n v="2584.3499999999985"/>
    <n v="1.1695906432748537E-2"/>
    <n v="5.1268881761680762E-2"/>
  </r>
  <r>
    <s v="PO-00676"/>
    <x v="5"/>
    <x v="2"/>
    <x v="440"/>
    <d v="2024-11-02T00:00:00"/>
    <x v="0"/>
    <n v="110"/>
    <x v="673"/>
    <n v="120.6"/>
    <n v="0"/>
    <x v="0"/>
    <n v="27"/>
    <n v="1.2400000000000091"/>
    <n v="0"/>
    <n v="1.0177281680893048E-2"/>
  </r>
  <r>
    <s v="PO-00677"/>
    <x v="1"/>
    <x v="10"/>
    <x v="90"/>
    <s v="Not Yet Delivered"/>
    <x v="1"/>
    <n v="246"/>
    <x v="674"/>
    <n v="46029"/>
    <n v="2"/>
    <x v="0"/>
    <s v="Not Applicable"/>
    <n v="245.08000000000175"/>
    <n v="8.130081300813009E-3"/>
    <n v="5.2962695314526347E-3"/>
  </r>
  <r>
    <s v="PO-00678"/>
    <x v="2"/>
    <x v="10"/>
    <x v="408"/>
    <d v="2024-03-04T00:00:00"/>
    <x v="0"/>
    <n v="390"/>
    <x v="675"/>
    <n v="51790.11"/>
    <n v="6"/>
    <x v="0"/>
    <n v="7"/>
    <n v="626.43000000000029"/>
    <n v="1.5384615384615385E-2"/>
    <n v="1.1950998673319535E-2"/>
  </r>
  <r>
    <s v="PO-00679"/>
    <x v="6"/>
    <x v="10"/>
    <x v="441"/>
    <s v="Not Yet Delivered"/>
    <x v="1"/>
    <n v="417"/>
    <x v="676"/>
    <n v="53927.46"/>
    <n v="2"/>
    <x v="0"/>
    <s v="Not Applicable"/>
    <n v="550.02999999999884"/>
    <n v="4.7961630695443642E-3"/>
    <n v="1.0096463695372142E-2"/>
  </r>
  <r>
    <s v="PO-00680"/>
    <x v="4"/>
    <x v="3"/>
    <x v="270"/>
    <s v="Not Yet Delivered"/>
    <x v="2"/>
    <n v="55"/>
    <x v="677"/>
    <n v="10577.02"/>
    <n v="2"/>
    <x v="0"/>
    <s v="Not Applicable"/>
    <n v="411.52999999999884"/>
    <n v="3.6363636363636362E-2"/>
    <n v="3.7450801061104412E-2"/>
  </r>
  <r>
    <s v="PO-00681"/>
    <x v="7"/>
    <x v="8"/>
    <x v="42"/>
    <s v="Not Yet Delivered"/>
    <x v="2"/>
    <n v="255"/>
    <x v="678"/>
    <n v="7707.42"/>
    <n v="2"/>
    <x v="0"/>
    <s v="Not Applicable"/>
    <n v="253.97999999999956"/>
    <n v="7.8431372549019607E-3"/>
    <n v="3.1901424372597728E-2"/>
  </r>
  <r>
    <s v="PO-00682"/>
    <x v="1"/>
    <x v="4"/>
    <x v="442"/>
    <d v="2023-05-28T00:00:00"/>
    <x v="0"/>
    <n v="494"/>
    <x v="679"/>
    <n v="46788.07"/>
    <n v="7"/>
    <x v="0"/>
    <n v="17"/>
    <n v="955.62000000000262"/>
    <n v="1.417004048582996E-2"/>
    <n v="2.0015629290488494E-2"/>
  </r>
  <r>
    <s v="PO-00683"/>
    <x v="7"/>
    <x v="2"/>
    <x v="206"/>
    <d v="2024-11-09T00:00:00"/>
    <x v="0"/>
    <n v="125"/>
    <x v="680"/>
    <n v="120.27"/>
    <n v="0"/>
    <x v="0"/>
    <n v="28"/>
    <n v="1.6300000000000097"/>
    <n v="0"/>
    <n v="1.3371616078753154E-2"/>
  </r>
  <r>
    <s v="PO-00684"/>
    <x v="7"/>
    <x v="6"/>
    <x v="332"/>
    <d v="2025-01-01T00:00:00"/>
    <x v="0"/>
    <n v="436"/>
    <x v="681"/>
    <n v="511.51"/>
    <n v="1"/>
    <x v="0"/>
    <n v="12"/>
    <n v="14.740000000000009"/>
    <n v="2.2935779816513763E-3"/>
    <n v="2.8009501187648472E-2"/>
  </r>
  <r>
    <s v="PO-00685"/>
    <x v="6"/>
    <x v="2"/>
    <x v="201"/>
    <d v="2024-07-27T00:00:00"/>
    <x v="0"/>
    <n v="493"/>
    <x v="682"/>
    <n v="121.25"/>
    <n v="1"/>
    <x v="0"/>
    <n v="20"/>
    <n v="0.87999999999999545"/>
    <n v="2.0283975659229209E-3"/>
    <n v="7.2054368296077583E-3"/>
  </r>
  <r>
    <s v="PO-00686"/>
    <x v="7"/>
    <x v="8"/>
    <x v="349"/>
    <d v="2023-08-05T00:00:00"/>
    <x v="0"/>
    <n v="338"/>
    <x v="683"/>
    <n v="8156.2"/>
    <n v="2"/>
    <x v="0"/>
    <n v="22"/>
    <n v="503.1899999999996"/>
    <n v="5.9171597633136093E-3"/>
    <n v="5.8109173971838624E-2"/>
  </r>
  <r>
    <s v="PO-00687"/>
    <x v="2"/>
    <x v="9"/>
    <x v="443"/>
    <d v="2024-02-22T00:00:00"/>
    <x v="0"/>
    <n v="287"/>
    <x v="684"/>
    <n v="6340.69"/>
    <n v="8"/>
    <x v="0"/>
    <n v="13"/>
    <n v="234.14000000000033"/>
    <n v="2.7874564459930314E-2"/>
    <n v="3.5611567143180936E-2"/>
  </r>
  <r>
    <s v="PO-00688"/>
    <x v="1"/>
    <x v="5"/>
    <x v="425"/>
    <s v="Not Yet Delivered"/>
    <x v="1"/>
    <n v="235"/>
    <x v="685"/>
    <n v="833.59"/>
    <n v="2"/>
    <x v="0"/>
    <s v="Not Applicable"/>
    <n v="41.980000000000018"/>
    <n v="8.5106382978723406E-3"/>
    <n v="4.7945909521797246E-2"/>
  </r>
  <r>
    <s v="PO-00689"/>
    <x v="1"/>
    <x v="6"/>
    <x v="291"/>
    <d v="2023-03-12T00:00:00"/>
    <x v="0"/>
    <n v="103"/>
    <x v="686"/>
    <n v="501.7"/>
    <n v="3"/>
    <x v="0"/>
    <n v="2"/>
    <n v="19.479999999999961"/>
    <n v="2.9126213592233011E-2"/>
    <n v="3.7376722053800916E-2"/>
  </r>
  <r>
    <s v="PO-00690"/>
    <x v="6"/>
    <x v="7"/>
    <x v="444"/>
    <d v="2024-01-15T00:00:00"/>
    <x v="0"/>
    <n v="134"/>
    <x v="687"/>
    <n v="12488.22"/>
    <n v="0"/>
    <x v="0"/>
    <n v="3"/>
    <n v="784.94000000000051"/>
    <n v="0"/>
    <n v="5.9137387027655849E-2"/>
  </r>
  <r>
    <s v="PO-00691"/>
    <x v="6"/>
    <x v="5"/>
    <x v="273"/>
    <d v="2023-12-09T00:00:00"/>
    <x v="3"/>
    <n v="42"/>
    <x v="688"/>
    <n v="939.5"/>
    <n v="0"/>
    <x v="0"/>
    <n v="26"/>
    <n v="52.019999999999982"/>
    <n v="0"/>
    <n v="5.246490237211552E-2"/>
  </r>
  <r>
    <s v="PO-00692"/>
    <x v="7"/>
    <x v="3"/>
    <x v="445"/>
    <d v="2023-02-02T00:00:00"/>
    <x v="0"/>
    <n v="407"/>
    <x v="689"/>
    <n v="11908.71"/>
    <n v="7"/>
    <x v="0"/>
    <n v="20"/>
    <n v="634.27000000000044"/>
    <n v="1.7199017199017199E-2"/>
    <n v="5.0567727924305104E-2"/>
  </r>
  <r>
    <s v="PO-00693"/>
    <x v="6"/>
    <x v="9"/>
    <x v="15"/>
    <d v="2024-02-16T00:00:00"/>
    <x v="3"/>
    <n v="384"/>
    <x v="690"/>
    <n v="7201.6"/>
    <n v="7"/>
    <x v="0"/>
    <n v="25"/>
    <n v="221.86999999999989"/>
    <n v="1.8229166666666668E-2"/>
    <n v="2.9887640146723821E-2"/>
  </r>
  <r>
    <s v="PO-00694"/>
    <x v="0"/>
    <x v="4"/>
    <x v="446"/>
    <s v="Not Yet Delivered"/>
    <x v="2"/>
    <n v="209"/>
    <x v="691"/>
    <n v="52083.24"/>
    <n v="2"/>
    <x v="0"/>
    <s v="Not Applicable"/>
    <n v="453.43000000000029"/>
    <n v="9.5693779904306216E-3"/>
    <n v="8.6307335428758673E-3"/>
  </r>
  <r>
    <s v="PO-00695"/>
    <x v="2"/>
    <x v="2"/>
    <x v="154"/>
    <s v="Not Yet Delivered"/>
    <x v="2"/>
    <n v="475"/>
    <x v="692"/>
    <n v="107.21"/>
    <n v="2"/>
    <x v="0"/>
    <s v="Not Applicable"/>
    <n v="2.480000000000004"/>
    <n v="4.2105263157894736E-3"/>
    <n v="2.2609171300939045E-2"/>
  </r>
  <r>
    <s v="PO-00696"/>
    <x v="6"/>
    <x v="10"/>
    <x v="447"/>
    <d v="2023-12-10T00:00:00"/>
    <x v="0"/>
    <n v="218"/>
    <x v="693"/>
    <n v="54166.47"/>
    <n v="4"/>
    <x v="0"/>
    <n v="19"/>
    <n v="780.86000000000058"/>
    <n v="1.834862385321101E-2"/>
    <n v="1.4211063576701554E-2"/>
  </r>
  <r>
    <s v="PO-00697"/>
    <x v="5"/>
    <x v="3"/>
    <x v="448"/>
    <d v="2024-05-04T00:00:00"/>
    <x v="0"/>
    <n v="470"/>
    <x v="694"/>
    <n v="12320.4"/>
    <n v="12"/>
    <x v="0"/>
    <n v="16"/>
    <n v="109.5"/>
    <n v="2.553191489361702E-2"/>
    <n v="8.8094031327685656E-3"/>
  </r>
  <r>
    <s v="PO-00698"/>
    <x v="3"/>
    <x v="10"/>
    <x v="342"/>
    <d v="2024-02-10T00:00:00"/>
    <x v="0"/>
    <n v="97"/>
    <x v="695"/>
    <n v="51889.599999999999"/>
    <n v="1"/>
    <x v="0"/>
    <n v="8"/>
    <n v="476.94000000000233"/>
    <n v="1.0309278350515464E-2"/>
    <n v="9.1077241307140466E-3"/>
  </r>
  <r>
    <s v="PO-00699"/>
    <x v="3"/>
    <x v="1"/>
    <x v="132"/>
    <d v="2023-04-03T00:00:00"/>
    <x v="0"/>
    <n v="421"/>
    <x v="696"/>
    <n v="5488.86"/>
    <n v="7"/>
    <x v="0"/>
    <n v="20"/>
    <n v="91.720000000000255"/>
    <n v="1.66270783847981E-2"/>
    <n v="1.6435567629171206E-2"/>
  </r>
  <r>
    <s v="PO-00700"/>
    <x v="3"/>
    <x v="5"/>
    <x v="449"/>
    <d v="2023-08-17T00:00:00"/>
    <x v="0"/>
    <n v="348"/>
    <x v="697"/>
    <n v="927.15"/>
    <n v="2"/>
    <x v="0"/>
    <n v="27"/>
    <n v="40.340000000000032"/>
    <n v="5.7471264367816091E-3"/>
    <n v="4.1695521400738025E-2"/>
  </r>
  <r>
    <s v="PO-00701"/>
    <x v="3"/>
    <x v="3"/>
    <x v="108"/>
    <s v="Not Yet Delivered"/>
    <x v="1"/>
    <n v="428"/>
    <x v="698"/>
    <n v="11600.74"/>
    <n v="2"/>
    <x v="0"/>
    <s v="Not Applicable"/>
    <n v="509.73999999999978"/>
    <n v="4.6728971962616819E-3"/>
    <n v="4.2090817209557325E-2"/>
  </r>
  <r>
    <s v="PO-00702"/>
    <x v="5"/>
    <x v="10"/>
    <x v="450"/>
    <d v="2023-05-24T00:00:00"/>
    <x v="0"/>
    <n v="476"/>
    <x v="699"/>
    <n v="49785.24"/>
    <n v="0"/>
    <x v="0"/>
    <n v="10"/>
    <n v="816.68000000000029"/>
    <n v="0"/>
    <n v="1.6139308547976051E-2"/>
  </r>
  <r>
    <s v="PO-00703"/>
    <x v="6"/>
    <x v="10"/>
    <x v="451"/>
    <s v="Not Yet Delivered"/>
    <x v="2"/>
    <n v="202"/>
    <x v="700"/>
    <n v="57496.82"/>
    <n v="2"/>
    <x v="0"/>
    <s v="Not Applicable"/>
    <n v="1473.9400000000023"/>
    <n v="9.9009900990099011E-3"/>
    <n v="2.4994420963881121E-2"/>
  </r>
  <r>
    <s v="PO-00704"/>
    <x v="6"/>
    <x v="11"/>
    <x v="296"/>
    <d v="2024-10-06T00:00:00"/>
    <x v="0"/>
    <n v="35"/>
    <x v="701"/>
    <n v="15233.8"/>
    <n v="0"/>
    <x v="0"/>
    <n v="11"/>
    <n v="86.490000000001601"/>
    <n v="0"/>
    <n v="5.6454544920495368E-3"/>
  </r>
  <r>
    <s v="PO-00705"/>
    <x v="7"/>
    <x v="1"/>
    <x v="173"/>
    <d v="2024-12-22T00:00:00"/>
    <x v="0"/>
    <n v="351"/>
    <x v="702"/>
    <n v="5048.22"/>
    <n v="6"/>
    <x v="0"/>
    <n v="19"/>
    <n v="23.340000000000146"/>
    <n v="1.7094017094017096E-2"/>
    <n v="4.6021342545489244E-3"/>
  </r>
  <r>
    <s v="PO-00706"/>
    <x v="0"/>
    <x v="1"/>
    <x v="257"/>
    <d v="2023-07-30T00:00:00"/>
    <x v="0"/>
    <n v="366"/>
    <x v="703"/>
    <n v="5216.1099999999997"/>
    <n v="10"/>
    <x v="0"/>
    <n v="29"/>
    <n v="262.28000000000065"/>
    <n v="2.7322404371584699E-2"/>
    <n v="4.7875379445421126E-2"/>
  </r>
  <r>
    <s v="PO-00707"/>
    <x v="4"/>
    <x v="5"/>
    <x v="347"/>
    <d v="2024-08-27T00:00:00"/>
    <x v="0"/>
    <n v="407"/>
    <x v="704"/>
    <n v="759.3"/>
    <n v="5"/>
    <x v="0"/>
    <n v="6"/>
    <n v="34.050000000000068"/>
    <n v="1.2285012285012284E-2"/>
    <n v="4.291926640196643E-2"/>
  </r>
  <r>
    <s v="PO-00708"/>
    <x v="6"/>
    <x v="5"/>
    <x v="101"/>
    <d v="2023-09-29T00:00:00"/>
    <x v="3"/>
    <n v="392"/>
    <x v="705"/>
    <n v="942.23"/>
    <n v="3"/>
    <x v="0"/>
    <n v="28"/>
    <n v="53.029999999999973"/>
    <n v="7.6530612244897957E-3"/>
    <n v="5.3282559331230002E-2"/>
  </r>
  <r>
    <s v="PO-00709"/>
    <x v="7"/>
    <x v="7"/>
    <x v="128"/>
    <d v="2023-10-12T00:00:00"/>
    <x v="0"/>
    <n v="443"/>
    <x v="706"/>
    <n v="10643.44"/>
    <n v="9"/>
    <x v="0"/>
    <n v="11"/>
    <n v="659.54999999999927"/>
    <n v="2.0316027088036117E-2"/>
    <n v="5.8351816643206732E-2"/>
  </r>
  <r>
    <s v="PO-00710"/>
    <x v="6"/>
    <x v="6"/>
    <x v="191"/>
    <d v="2023-04-10T00:00:00"/>
    <x v="3"/>
    <n v="444"/>
    <x v="707"/>
    <n v="538.52"/>
    <n v="10"/>
    <x v="0"/>
    <n v="22"/>
    <n v="33.190000000000055"/>
    <n v="2.2522522522522521E-2"/>
    <n v="5.8053908450088426E-2"/>
  </r>
  <r>
    <s v="PO-00711"/>
    <x v="0"/>
    <x v="5"/>
    <x v="452"/>
    <d v="2024-05-23T00:00:00"/>
    <x v="0"/>
    <n v="310"/>
    <x v="708"/>
    <n v="964.59"/>
    <n v="7"/>
    <x v="0"/>
    <n v="29"/>
    <n v="6.4800000000000182"/>
    <n v="2.2580645161290321E-2"/>
    <n v="6.673051376316865E-3"/>
  </r>
  <r>
    <s v="PO-00712"/>
    <x v="3"/>
    <x v="8"/>
    <x v="453"/>
    <s v="Not Yet Delivered"/>
    <x v="2"/>
    <n v="245"/>
    <x v="709"/>
    <n v="8125.97"/>
    <n v="2"/>
    <x v="0"/>
    <s v="Not Applicable"/>
    <n v="80.539999999999964"/>
    <n v="8.1632653061224497E-3"/>
    <n v="9.8141597341622634E-3"/>
  </r>
  <r>
    <s v="PO-00713"/>
    <x v="0"/>
    <x v="2"/>
    <x v="168"/>
    <d v="2023-02-11T00:00:00"/>
    <x v="0"/>
    <n v="241"/>
    <x v="710"/>
    <n v="121.4"/>
    <n v="3"/>
    <x v="0"/>
    <n v="30"/>
    <n v="2.0499999999999972"/>
    <n v="1.2448132780082987E-2"/>
    <n v="1.6605913325232865E-2"/>
  </r>
  <r>
    <s v="PO-00714"/>
    <x v="5"/>
    <x v="10"/>
    <x v="454"/>
    <d v="2023-12-17T00:00:00"/>
    <x v="0"/>
    <n v="375"/>
    <x v="711"/>
    <n v="47235.93"/>
    <n v="7"/>
    <x v="1"/>
    <n v="25"/>
    <n v="2204.5599999999977"/>
    <n v="1.8666666666666668E-2"/>
    <n v="4.4590172953382898E-2"/>
  </r>
  <r>
    <s v="PO-00715"/>
    <x v="4"/>
    <x v="7"/>
    <x v="382"/>
    <d v="2023-02-05T00:00:00"/>
    <x v="0"/>
    <n v="325"/>
    <x v="712"/>
    <n v="10966.57"/>
    <n v="4"/>
    <x v="0"/>
    <n v="12"/>
    <n v="630.68000000000029"/>
    <n v="1.2307692307692308E-2"/>
    <n v="5.4381857768005373E-2"/>
  </r>
  <r>
    <s v="PO-00716"/>
    <x v="3"/>
    <x v="11"/>
    <x v="205"/>
    <d v="2024-11-24T00:00:00"/>
    <x v="0"/>
    <n v="120"/>
    <x v="713"/>
    <n v="14891.54"/>
    <n v="2"/>
    <x v="0"/>
    <n v="19"/>
    <n v="693.31999999999971"/>
    <n v="1.6666666666666666E-2"/>
    <n v="4.4486764719092742E-2"/>
  </r>
  <r>
    <s v="PO-00717"/>
    <x v="5"/>
    <x v="6"/>
    <x v="455"/>
    <d v="2024-04-28T00:00:00"/>
    <x v="0"/>
    <n v="104"/>
    <x v="714"/>
    <n v="561.29999999999995"/>
    <n v="0"/>
    <x v="0"/>
    <n v="9"/>
    <n v="6.7100000000000364"/>
    <n v="0"/>
    <n v="1.1813172303304583E-2"/>
  </r>
  <r>
    <s v="PO-00718"/>
    <x v="0"/>
    <x v="1"/>
    <x v="456"/>
    <s v="Not Yet Delivered"/>
    <x v="1"/>
    <n v="363"/>
    <x v="715"/>
    <n v="5085.68"/>
    <n v="2"/>
    <x v="0"/>
    <s v="Not Applicable"/>
    <n v="116.03999999999996"/>
    <n v="5.5096418732782371E-3"/>
    <n v="2.2308005813461693E-2"/>
  </r>
  <r>
    <s v="PO-00719"/>
    <x v="5"/>
    <x v="2"/>
    <x v="49"/>
    <d v="2024-02-26T00:00:00"/>
    <x v="0"/>
    <n v="11"/>
    <x v="716"/>
    <n v="112.73"/>
    <n v="0"/>
    <x v="0"/>
    <n v="13"/>
    <n v="7.1700000000000017"/>
    <n v="0"/>
    <n v="5.9799833194328619E-2"/>
  </r>
  <r>
    <s v="PO-00720"/>
    <x v="5"/>
    <x v="7"/>
    <x v="334"/>
    <d v="2024-04-18T00:00:00"/>
    <x v="0"/>
    <n v="267"/>
    <x v="717"/>
    <n v="11662.73"/>
    <n v="5"/>
    <x v="0"/>
    <n v="3"/>
    <n v="576.06999999999971"/>
    <n v="1.8726591760299626E-2"/>
    <n v="4.7069157106905887E-2"/>
  </r>
  <r>
    <s v="PO-00721"/>
    <x v="2"/>
    <x v="8"/>
    <x v="457"/>
    <d v="2024-08-28T00:00:00"/>
    <x v="0"/>
    <n v="112"/>
    <x v="718"/>
    <n v="8162.36"/>
    <n v="0"/>
    <x v="0"/>
    <n v="16"/>
    <n v="53.300000000000182"/>
    <n v="0"/>
    <n v="6.4876102467726487E-3"/>
  </r>
  <r>
    <s v="PO-00722"/>
    <x v="7"/>
    <x v="2"/>
    <x v="115"/>
    <s v="Not Yet Delivered"/>
    <x v="2"/>
    <n v="499"/>
    <x v="719"/>
    <n v="124.92"/>
    <n v="2"/>
    <x v="0"/>
    <s v="Not Applicable"/>
    <n v="0.87999999999999545"/>
    <n v="4.0080160320641279E-3"/>
    <n v="6.9952305246422531E-3"/>
  </r>
  <r>
    <s v="PO-00723"/>
    <x v="3"/>
    <x v="9"/>
    <x v="160"/>
    <d v="2024-04-15T00:00:00"/>
    <x v="0"/>
    <n v="436"/>
    <x v="720"/>
    <n v="6623.31"/>
    <n v="12"/>
    <x v="0"/>
    <n v="12"/>
    <n v="7.3899999999994179"/>
    <n v="2.7522935779816515E-2"/>
    <n v="1.1145127965372312E-3"/>
  </r>
  <r>
    <s v="PO-00724"/>
    <x v="7"/>
    <x v="4"/>
    <x v="377"/>
    <d v="2023-08-19T00:00:00"/>
    <x v="0"/>
    <n v="206"/>
    <x v="721"/>
    <n v="47037.22"/>
    <n v="4"/>
    <x v="0"/>
    <n v="6"/>
    <n v="1000.9400000000023"/>
    <n v="1.9417475728155338E-2"/>
    <n v="2.083635176701194E-2"/>
  </r>
  <r>
    <s v="PO-00725"/>
    <x v="5"/>
    <x v="3"/>
    <x v="230"/>
    <d v="2023-06-13T00:00:00"/>
    <x v="0"/>
    <n v="261"/>
    <x v="722"/>
    <n v="12210.81"/>
    <n v="1"/>
    <x v="0"/>
    <n v="9"/>
    <n v="609.60000000000036"/>
    <n v="3.8314176245210726E-3"/>
    <n v="4.7549181344434414E-2"/>
  </r>
  <r>
    <s v="PO-00726"/>
    <x v="5"/>
    <x v="9"/>
    <x v="458"/>
    <s v="Not Yet Delivered"/>
    <x v="2"/>
    <n v="423"/>
    <x v="723"/>
    <n v="6746.1"/>
    <n v="2"/>
    <x v="0"/>
    <s v="Not Applicable"/>
    <n v="116.15999999999985"/>
    <n v="4.7281323877068557E-3"/>
    <n v="1.6927367951666047E-2"/>
  </r>
  <r>
    <s v="PO-00727"/>
    <x v="4"/>
    <x v="2"/>
    <x v="459"/>
    <d v="2023-06-10T00:00:00"/>
    <x v="0"/>
    <n v="486"/>
    <x v="724"/>
    <n v="106.49"/>
    <n v="4"/>
    <x v="0"/>
    <n v="9"/>
    <n v="1.4100000000000108"/>
    <n v="8.23045267489712E-3"/>
    <n v="1.3067655236330035E-2"/>
  </r>
  <r>
    <s v="PO-00728"/>
    <x v="1"/>
    <x v="6"/>
    <x v="460"/>
    <s v="Not Yet Delivered"/>
    <x v="2"/>
    <n v="300"/>
    <x v="725"/>
    <n v="496.32"/>
    <n v="2"/>
    <x v="0"/>
    <s v="Not Applicable"/>
    <n v="12.170000000000016"/>
    <n v="6.6666666666666671E-3"/>
    <n v="2.393360734724383E-2"/>
  </r>
  <r>
    <s v="PO-00729"/>
    <x v="5"/>
    <x v="11"/>
    <x v="351"/>
    <d v="2023-01-31T00:00:00"/>
    <x v="0"/>
    <n v="293"/>
    <x v="726"/>
    <n v="15001.11"/>
    <n v="1"/>
    <x v="0"/>
    <n v="22"/>
    <n v="253.02999999999884"/>
    <n v="3.4129692832764505E-3"/>
    <n v="1.6587628014427484E-2"/>
  </r>
  <r>
    <s v="PO-00730"/>
    <x v="0"/>
    <x v="10"/>
    <x v="55"/>
    <d v="2023-09-06T00:00:00"/>
    <x v="0"/>
    <n v="306"/>
    <x v="727"/>
    <n v="53144.26"/>
    <n v="1"/>
    <x v="0"/>
    <n v="10"/>
    <n v="1077.9199999999983"/>
    <n v="3.2679738562091504E-3"/>
    <n v="1.9879687611232124E-2"/>
  </r>
  <r>
    <s v="PO-00731"/>
    <x v="4"/>
    <x v="7"/>
    <x v="348"/>
    <d v="2024-09-29T00:00:00"/>
    <x v="0"/>
    <n v="168"/>
    <x v="728"/>
    <n v="10549.65"/>
    <n v="2"/>
    <x v="0"/>
    <n v="8"/>
    <n v="501.88000000000102"/>
    <n v="1.1904761904761904E-2"/>
    <n v="4.5412716610279388E-2"/>
  </r>
  <r>
    <s v="PO-00732"/>
    <x v="5"/>
    <x v="2"/>
    <x v="167"/>
    <d v="2023-07-20T00:00:00"/>
    <x v="0"/>
    <n v="419"/>
    <x v="729"/>
    <n v="120.53"/>
    <n v="6"/>
    <x v="0"/>
    <n v="21"/>
    <n v="1.4200000000000017"/>
    <n v="1.4319809069212411E-2"/>
    <n v="1.1644116441164426E-2"/>
  </r>
  <r>
    <s v="PO-00733"/>
    <x v="6"/>
    <x v="7"/>
    <x v="420"/>
    <d v="2024-02-11T00:00:00"/>
    <x v="0"/>
    <n v="11"/>
    <x v="730"/>
    <n v="11924.38"/>
    <n v="1"/>
    <x v="0"/>
    <n v="11"/>
    <n v="316.38000000000102"/>
    <n v="9.0909090909090912E-2"/>
    <n v="2.5846434371722099E-2"/>
  </r>
  <r>
    <s v="PO-00734"/>
    <x v="6"/>
    <x v="0"/>
    <x v="300"/>
    <d v="2023-11-02T00:00:00"/>
    <x v="0"/>
    <n v="349"/>
    <x v="731"/>
    <n v="4311.42"/>
    <n v="3"/>
    <x v="0"/>
    <n v="14"/>
    <n v="205.92000000000007"/>
    <n v="8.5959885386819486E-3"/>
    <n v="4.5584348311174291E-2"/>
  </r>
  <r>
    <s v="PO-00735"/>
    <x v="6"/>
    <x v="1"/>
    <x v="461"/>
    <s v="Not Yet Delivered"/>
    <x v="2"/>
    <n v="280"/>
    <x v="732"/>
    <n v="5760.26"/>
    <n v="2"/>
    <x v="0"/>
    <s v="Not Applicable"/>
    <n v="136.05000000000018"/>
    <n v="7.1428571428571426E-3"/>
    <n v="2.3073752906478825E-2"/>
  </r>
  <r>
    <s v="PO-00736"/>
    <x v="2"/>
    <x v="7"/>
    <x v="462"/>
    <s v="Not Yet Delivered"/>
    <x v="2"/>
    <n v="89"/>
    <x v="733"/>
    <n v="11596.15"/>
    <n v="2"/>
    <x v="0"/>
    <s v="Not Applicable"/>
    <n v="36.450000000000728"/>
    <n v="2.247191011235955E-2"/>
    <n v="3.1334353454946207E-3"/>
  </r>
  <r>
    <s v="PO-00737"/>
    <x v="1"/>
    <x v="2"/>
    <x v="305"/>
    <s v="Not Yet Delivered"/>
    <x v="1"/>
    <n v="103"/>
    <x v="734"/>
    <n v="116.22"/>
    <n v="2"/>
    <x v="0"/>
    <s v="Not Applicable"/>
    <n v="1.8900000000000006"/>
    <n v="1.9417475728155338E-2"/>
    <n v="1.6002032004064012E-2"/>
  </r>
  <r>
    <s v="PO-00738"/>
    <x v="3"/>
    <x v="0"/>
    <x v="463"/>
    <d v="2024-08-22T00:00:00"/>
    <x v="0"/>
    <n v="386"/>
    <x v="735"/>
    <n v="4289.1099999999997"/>
    <n v="6"/>
    <x v="0"/>
    <n v="2"/>
    <n v="71.350000000000364"/>
    <n v="1.5544041450777202E-2"/>
    <n v="1.6362952532531054E-2"/>
  </r>
  <r>
    <s v="PO-00739"/>
    <x v="6"/>
    <x v="1"/>
    <x v="61"/>
    <d v="2024-06-21T00:00:00"/>
    <x v="0"/>
    <n v="366"/>
    <x v="736"/>
    <n v="5424.86"/>
    <n v="8"/>
    <x v="0"/>
    <n v="30"/>
    <n v="150.96000000000004"/>
    <n v="2.185792349726776E-2"/>
    <n v="2.7074044714499399E-2"/>
  </r>
  <r>
    <s v="PO-00740"/>
    <x v="4"/>
    <x v="1"/>
    <x v="464"/>
    <d v="2024-07-16T00:00:00"/>
    <x v="0"/>
    <n v="185"/>
    <x v="737"/>
    <n v="4598.1899999999996"/>
    <n v="0"/>
    <x v="0"/>
    <n v="13"/>
    <n v="70.5600000000004"/>
    <n v="0"/>
    <n v="1.5113253012048279E-2"/>
  </r>
  <r>
    <s v="PO-00741"/>
    <x v="5"/>
    <x v="2"/>
    <x v="465"/>
    <d v="2023-04-26T00:00:00"/>
    <x v="0"/>
    <n v="406"/>
    <x v="738"/>
    <n v="118.83"/>
    <n v="0"/>
    <x v="0"/>
    <n v="13"/>
    <n v="5.4500000000000028"/>
    <n v="0"/>
    <n v="4.3852590923720652E-2"/>
  </r>
  <r>
    <s v="PO-00742"/>
    <x v="3"/>
    <x v="6"/>
    <x v="466"/>
    <d v="2024-11-07T00:00:00"/>
    <x v="3"/>
    <n v="396"/>
    <x v="739"/>
    <n v="562.5"/>
    <n v="11"/>
    <x v="0"/>
    <n v="21"/>
    <n v="17.649999999999977"/>
    <n v="2.7777777777777776E-2"/>
    <n v="3.0423166422476909E-2"/>
  </r>
  <r>
    <s v="PO-00743"/>
    <x v="4"/>
    <x v="2"/>
    <x v="467"/>
    <d v="2023-05-30T00:00:00"/>
    <x v="0"/>
    <n v="283"/>
    <x v="740"/>
    <n v="99.78"/>
    <n v="3"/>
    <x v="0"/>
    <n v="17"/>
    <n v="5.519999999999996"/>
    <n v="1.0600706713780919E-2"/>
    <n v="5.2421652421652386E-2"/>
  </r>
  <r>
    <s v="PO-00744"/>
    <x v="7"/>
    <x v="0"/>
    <x v="468"/>
    <d v="2024-12-18T00:00:00"/>
    <x v="0"/>
    <n v="166"/>
    <x v="741"/>
    <n v="4256"/>
    <n v="8"/>
    <x v="0"/>
    <n v="28"/>
    <n v="135.92000000000007"/>
    <n v="4.8192771084337352E-2"/>
    <n v="3.0947740395999943E-2"/>
  </r>
  <r>
    <s v="PO-00745"/>
    <x v="4"/>
    <x v="0"/>
    <x v="183"/>
    <d v="2024-10-15T00:00:00"/>
    <x v="0"/>
    <n v="122"/>
    <x v="742"/>
    <n v="3777.83"/>
    <n v="3"/>
    <x v="0"/>
    <n v="7"/>
    <n v="139.69000000000005"/>
    <n v="2.4590163934426229E-2"/>
    <n v="3.5657763074598232E-2"/>
  </r>
  <r>
    <s v="PO-00746"/>
    <x v="3"/>
    <x v="7"/>
    <x v="396"/>
    <s v="Not Yet Delivered"/>
    <x v="1"/>
    <n v="406"/>
    <x v="743"/>
    <n v="12264.51"/>
    <n v="2"/>
    <x v="0"/>
    <s v="Not Applicable"/>
    <n v="492.45999999999913"/>
    <n v="4.9261083743842365E-3"/>
    <n v="3.8603210637008563E-2"/>
  </r>
  <r>
    <s v="PO-00747"/>
    <x v="1"/>
    <x v="8"/>
    <x v="469"/>
    <d v="2024-01-20T00:00:00"/>
    <x v="0"/>
    <n v="493"/>
    <x v="744"/>
    <n v="8158.09"/>
    <n v="7"/>
    <x v="0"/>
    <n v="6"/>
    <n v="37.049999999999272"/>
    <n v="1.4198782961460446E-2"/>
    <n v="4.5209721859540255E-3"/>
  </r>
  <r>
    <s v="PO-00748"/>
    <x v="3"/>
    <x v="3"/>
    <x v="470"/>
    <d v="2023-07-09T00:00:00"/>
    <x v="0"/>
    <n v="324"/>
    <x v="745"/>
    <n v="11420.64"/>
    <n v="5"/>
    <x v="0"/>
    <n v="9"/>
    <n v="579.73000000000138"/>
    <n v="1.5432098765432098E-2"/>
    <n v="4.8309343795233092E-2"/>
  </r>
  <r>
    <s v="PO-00749"/>
    <x v="0"/>
    <x v="10"/>
    <x v="471"/>
    <d v="2023-05-23T00:00:00"/>
    <x v="0"/>
    <n v="331"/>
    <x v="746"/>
    <n v="51480.28"/>
    <n v="5"/>
    <x v="0"/>
    <n v="5"/>
    <n v="2535.3899999999994"/>
    <n v="1.5105740181268883E-2"/>
    <n v="4.6938045941113005E-2"/>
  </r>
  <r>
    <s v="PO-00750"/>
    <x v="2"/>
    <x v="8"/>
    <x v="472"/>
    <d v="2024-09-21T00:00:00"/>
    <x v="0"/>
    <n v="98"/>
    <x v="747"/>
    <n v="8257.2099999999991"/>
    <n v="1"/>
    <x v="0"/>
    <n v="25"/>
    <n v="8.2400000000016007"/>
    <n v="1.020408163265306E-2"/>
    <n v="9.9692091779656281E-4"/>
  </r>
  <r>
    <s v="PO-00751"/>
    <x v="7"/>
    <x v="9"/>
    <x v="119"/>
    <s v="Not Yet Delivered"/>
    <x v="2"/>
    <n v="87"/>
    <x v="748"/>
    <n v="6202.51"/>
    <n v="2"/>
    <x v="0"/>
    <s v="Not Applicable"/>
    <n v="373.9399999999996"/>
    <n v="2.2988505747126436E-2"/>
    <n v="5.6860464232222491E-2"/>
  </r>
  <r>
    <s v="PO-00752"/>
    <x v="6"/>
    <x v="7"/>
    <x v="473"/>
    <d v="2023-05-24T00:00:00"/>
    <x v="0"/>
    <n v="194"/>
    <x v="749"/>
    <n v="13276.11"/>
    <n v="3"/>
    <x v="0"/>
    <n v="16"/>
    <n v="220.94999999999891"/>
    <n v="1.5463917525773196E-2"/>
    <n v="1.6370231739356492E-2"/>
  </r>
  <r>
    <s v="PO-00753"/>
    <x v="7"/>
    <x v="0"/>
    <x v="474"/>
    <d v="2024-08-22T00:00:00"/>
    <x v="0"/>
    <n v="409"/>
    <x v="750"/>
    <n v="3882.14"/>
    <n v="5"/>
    <x v="0"/>
    <n v="7"/>
    <n v="38.760000000000218"/>
    <n v="1.2224938875305624E-2"/>
    <n v="9.885485475273589E-3"/>
  </r>
  <r>
    <s v="PO-00754"/>
    <x v="7"/>
    <x v="11"/>
    <x v="475"/>
    <s v="Not Yet Delivered"/>
    <x v="2"/>
    <n v="75"/>
    <x v="751"/>
    <n v="14968.08"/>
    <n v="2"/>
    <x v="0"/>
    <s v="Not Applicable"/>
    <n v="119.52000000000044"/>
    <n v="2.6666666666666668E-2"/>
    <n v="7.9217370555953528E-3"/>
  </r>
  <r>
    <s v="PO-00755"/>
    <x v="0"/>
    <x v="3"/>
    <x v="188"/>
    <d v="2024-12-27T00:00:00"/>
    <x v="0"/>
    <n v="330"/>
    <x v="752"/>
    <n v="13578.65"/>
    <n v="8"/>
    <x v="0"/>
    <n v="29"/>
    <n v="26.670000000000073"/>
    <n v="2.4242424242424242E-2"/>
    <n v="1.9602626031581818E-3"/>
  </r>
  <r>
    <s v="PO-00756"/>
    <x v="3"/>
    <x v="11"/>
    <x v="158"/>
    <d v="2023-01-16T00:00:00"/>
    <x v="0"/>
    <n v="96"/>
    <x v="753"/>
    <n v="14610.15"/>
    <n v="0"/>
    <x v="0"/>
    <n v="6"/>
    <n v="624.03000000000065"/>
    <n v="0"/>
    <n v="4.0962493550686721E-2"/>
  </r>
  <r>
    <s v="PO-00757"/>
    <x v="2"/>
    <x v="7"/>
    <x v="314"/>
    <d v="2024-04-05T00:00:00"/>
    <x v="0"/>
    <n v="370"/>
    <x v="754"/>
    <n v="11840.49"/>
    <n v="4"/>
    <x v="0"/>
    <n v="22"/>
    <n v="31.930000000000291"/>
    <n v="1.0810810810810811E-2"/>
    <n v="2.6894264185398E-3"/>
  </r>
  <r>
    <s v="PO-00758"/>
    <x v="0"/>
    <x v="5"/>
    <x v="330"/>
    <d v="2023-02-01T00:00:00"/>
    <x v="3"/>
    <n v="153"/>
    <x v="755"/>
    <n v="916.78"/>
    <n v="1"/>
    <x v="0"/>
    <n v="26"/>
    <n v="35.040000000000077"/>
    <n v="6.5359477124183009E-3"/>
    <n v="3.6813683259439886E-2"/>
  </r>
  <r>
    <s v="PO-00759"/>
    <x v="7"/>
    <x v="10"/>
    <x v="430"/>
    <d v="2023-03-17T00:00:00"/>
    <x v="0"/>
    <n v="148"/>
    <x v="756"/>
    <n v="50474.559999999998"/>
    <n v="3"/>
    <x v="1"/>
    <n v="30"/>
    <n v="3016.8899999999994"/>
    <n v="2.0270270270270271E-2"/>
    <n v="5.6399480664666962E-2"/>
  </r>
  <r>
    <s v="PO-00760"/>
    <x v="0"/>
    <x v="11"/>
    <x v="449"/>
    <d v="2023-08-04T00:00:00"/>
    <x v="0"/>
    <n v="470"/>
    <x v="757"/>
    <n v="14512.4"/>
    <n v="3"/>
    <x v="0"/>
    <n v="14"/>
    <n v="598.68000000000029"/>
    <n v="6.382978723404255E-3"/>
    <n v="3.9618610979493214E-2"/>
  </r>
  <r>
    <s v="PO-00761"/>
    <x v="1"/>
    <x v="1"/>
    <x v="476"/>
    <d v="2024-10-03T00:00:00"/>
    <x v="0"/>
    <n v="323"/>
    <x v="758"/>
    <n v="4699.5200000000004"/>
    <n v="8"/>
    <x v="0"/>
    <n v="15"/>
    <n v="178.4399999999996"/>
    <n v="2.4767801857585141E-2"/>
    <n v="3.6580865771756961E-2"/>
  </r>
  <r>
    <s v="PO-00762"/>
    <x v="2"/>
    <x v="6"/>
    <x v="477"/>
    <d v="2024-04-03T00:00:00"/>
    <x v="0"/>
    <n v="207"/>
    <x v="759"/>
    <n v="512.6"/>
    <n v="5"/>
    <x v="0"/>
    <n v="11"/>
    <n v="16.67999999999995"/>
    <n v="2.4154589371980676E-2"/>
    <n v="3.1514510278113569E-2"/>
  </r>
  <r>
    <s v="PO-00763"/>
    <x v="1"/>
    <x v="0"/>
    <x v="368"/>
    <d v="2023-07-12T00:00:00"/>
    <x v="0"/>
    <n v="253"/>
    <x v="760"/>
    <n v="3607.16"/>
    <n v="4"/>
    <x v="0"/>
    <n v="7"/>
    <n v="221.36000000000013"/>
    <n v="1.5810276679841896E-2"/>
    <n v="5.7818687116692649E-2"/>
  </r>
  <r>
    <s v="PO-00764"/>
    <x v="1"/>
    <x v="1"/>
    <x v="254"/>
    <d v="2025-01-01T00:00:00"/>
    <x v="0"/>
    <n v="180"/>
    <x v="761"/>
    <n v="4799.97"/>
    <n v="1"/>
    <x v="0"/>
    <n v="4"/>
    <n v="102.39999999999964"/>
    <n v="5.5555555555555558E-3"/>
    <n v="2.0887856281757527E-2"/>
  </r>
  <r>
    <s v="PO-00765"/>
    <x v="0"/>
    <x v="7"/>
    <x v="478"/>
    <s v="Not Yet Delivered"/>
    <x v="2"/>
    <n v="43"/>
    <x v="762"/>
    <n v="12369.69"/>
    <n v="2"/>
    <x v="1"/>
    <s v="Not Applicable"/>
    <n v="136.72999999999956"/>
    <n v="4.6511627906976744E-2"/>
    <n v="1.0932784921664199E-2"/>
  </r>
  <r>
    <s v="PO-00766"/>
    <x v="5"/>
    <x v="1"/>
    <x v="479"/>
    <d v="2024-12-24T00:00:00"/>
    <x v="0"/>
    <n v="132"/>
    <x v="763"/>
    <n v="5033.2299999999996"/>
    <n v="3"/>
    <x v="0"/>
    <n v="11"/>
    <n v="235.22000000000025"/>
    <n v="2.2727272727272728E-2"/>
    <n v="4.4646907534474138E-2"/>
  </r>
  <r>
    <s v="PO-00767"/>
    <x v="5"/>
    <x v="3"/>
    <x v="50"/>
    <d v="2023-07-29T00:00:00"/>
    <x v="0"/>
    <n v="275"/>
    <x v="764"/>
    <n v="11943.79"/>
    <n v="2"/>
    <x v="0"/>
    <n v="7"/>
    <n v="200.82999999999993"/>
    <n v="7.2727272727272727E-3"/>
    <n v="1.6536540459890874E-2"/>
  </r>
  <r>
    <s v="PO-00768"/>
    <x v="2"/>
    <x v="5"/>
    <x v="480"/>
    <d v="2024-09-18T00:00:00"/>
    <x v="0"/>
    <n v="6"/>
    <x v="765"/>
    <n v="807.75"/>
    <n v="0"/>
    <x v="0"/>
    <n v="27"/>
    <n v="29.230000000000018"/>
    <n v="0"/>
    <n v="3.4923176181031829E-2"/>
  </r>
  <r>
    <s v="PO-00769"/>
    <x v="2"/>
    <x v="1"/>
    <x v="171"/>
    <d v="2024-05-03T00:00:00"/>
    <x v="3"/>
    <n v="390"/>
    <x v="766"/>
    <n v="4864.6499999999996"/>
    <n v="4"/>
    <x v="0"/>
    <n v="22"/>
    <n v="60.289999999999964"/>
    <n v="1.0256410256410256E-2"/>
    <n v="1.2241773503839634E-2"/>
  </r>
  <r>
    <s v="PO-00770"/>
    <x v="5"/>
    <x v="10"/>
    <x v="481"/>
    <s v="Not Yet Delivered"/>
    <x v="2"/>
    <n v="296"/>
    <x v="767"/>
    <n v="47583.519999999997"/>
    <n v="2"/>
    <x v="0"/>
    <s v="Not Applicable"/>
    <n v="2833.6900000000023"/>
    <n v="6.7567567567567571E-3"/>
    <n v="5.6204815776200276E-2"/>
  </r>
  <r>
    <s v="PO-00771"/>
    <x v="4"/>
    <x v="1"/>
    <x v="475"/>
    <d v="2024-07-09T00:00:00"/>
    <x v="3"/>
    <n v="198"/>
    <x v="768"/>
    <n v="4700.6000000000004"/>
    <n v="0"/>
    <x v="0"/>
    <n v="18"/>
    <n v="99.229999999999563"/>
    <n v="0"/>
    <n v="2.0673648858396978E-2"/>
  </r>
  <r>
    <s v="PO-00772"/>
    <x v="6"/>
    <x v="11"/>
    <x v="482"/>
    <d v="2023-02-22T00:00:00"/>
    <x v="3"/>
    <n v="416"/>
    <x v="769"/>
    <n v="15240.91"/>
    <n v="3"/>
    <x v="0"/>
    <n v="11"/>
    <n v="760.59000000000015"/>
    <n v="7.2115384615384619E-3"/>
    <n v="4.7532418835734162E-2"/>
  </r>
  <r>
    <s v="PO-00773"/>
    <x v="5"/>
    <x v="8"/>
    <x v="215"/>
    <d v="2023-02-06T00:00:00"/>
    <x v="0"/>
    <n v="375"/>
    <x v="770"/>
    <n v="8160.54"/>
    <n v="6"/>
    <x v="0"/>
    <n v="11"/>
    <n v="195.50999999999931"/>
    <n v="1.6E-2"/>
    <n v="2.3397418636796011E-2"/>
  </r>
  <r>
    <s v="PO-00774"/>
    <x v="4"/>
    <x v="9"/>
    <x v="483"/>
    <d v="2023-05-10T00:00:00"/>
    <x v="0"/>
    <n v="53"/>
    <x v="771"/>
    <n v="5921.83"/>
    <n v="0"/>
    <x v="0"/>
    <n v="20"/>
    <n v="272.35999999999967"/>
    <n v="0"/>
    <n v="4.3970236624966248E-2"/>
  </r>
  <r>
    <s v="PO-00775"/>
    <x v="3"/>
    <x v="11"/>
    <x v="484"/>
    <d v="2025-01-05T00:00:00"/>
    <x v="0"/>
    <n v="366"/>
    <x v="772"/>
    <n v="14882.39"/>
    <n v="2"/>
    <x v="0"/>
    <n v="20"/>
    <n v="541.27000000000044"/>
    <n v="5.4644808743169399E-3"/>
    <n v="3.5093486241268311E-2"/>
  </r>
  <r>
    <s v="PO-00776"/>
    <x v="7"/>
    <x v="3"/>
    <x v="485"/>
    <d v="2024-05-28T00:00:00"/>
    <x v="3"/>
    <n v="215"/>
    <x v="773"/>
    <n v="12002.39"/>
    <n v="0"/>
    <x v="0"/>
    <n v="27"/>
    <n v="737.52000000000044"/>
    <n v="0"/>
    <n v="5.7890518849819224E-2"/>
  </r>
  <r>
    <s v="PO-00777"/>
    <x v="0"/>
    <x v="5"/>
    <x v="486"/>
    <d v="2023-03-28T00:00:00"/>
    <x v="0"/>
    <n v="367"/>
    <x v="774"/>
    <n v="955.06"/>
    <n v="3"/>
    <x v="0"/>
    <n v="5"/>
    <n v="39.090000000000032"/>
    <n v="8.1743869209809257E-3"/>
    <n v="3.9320022129457358E-2"/>
  </r>
  <r>
    <s v="PO-00778"/>
    <x v="3"/>
    <x v="1"/>
    <x v="487"/>
    <s v="Not Yet Delivered"/>
    <x v="2"/>
    <n v="37"/>
    <x v="775"/>
    <n v="5403.23"/>
    <n v="2"/>
    <x v="0"/>
    <s v="Not Applicable"/>
    <n v="68.960000000000036"/>
    <n v="5.4054054054054057E-2"/>
    <n v="1.2601901615258249E-2"/>
  </r>
  <r>
    <s v="PO-00779"/>
    <x v="3"/>
    <x v="10"/>
    <x v="295"/>
    <d v="2024-09-14T00:00:00"/>
    <x v="3"/>
    <n v="397"/>
    <x v="776"/>
    <n v="50307.42"/>
    <n v="1"/>
    <x v="0"/>
    <n v="26"/>
    <n v="21.650000000001455"/>
    <n v="2.5188916876574307E-3"/>
    <n v="4.3016888649048066E-4"/>
  </r>
  <r>
    <s v="PO-00780"/>
    <x v="6"/>
    <x v="1"/>
    <x v="488"/>
    <s v="Not Yet Delivered"/>
    <x v="1"/>
    <n v="285"/>
    <x v="777"/>
    <n v="5131.03"/>
    <n v="2"/>
    <x v="0"/>
    <s v="Not Applicable"/>
    <n v="266.34000000000015"/>
    <n v="7.0175438596491229E-3"/>
    <n v="4.9346255676375746E-2"/>
  </r>
  <r>
    <s v="PO-00781"/>
    <x v="2"/>
    <x v="10"/>
    <x v="386"/>
    <d v="2024-12-30T00:00:00"/>
    <x v="0"/>
    <n v="74"/>
    <x v="778"/>
    <n v="47233.19"/>
    <n v="1"/>
    <x v="0"/>
    <n v="30"/>
    <n v="78"/>
    <n v="1.3513513513513514E-2"/>
    <n v="1.6486585942987271E-3"/>
  </r>
  <r>
    <s v="PO-00782"/>
    <x v="5"/>
    <x v="5"/>
    <x v="295"/>
    <d v="2024-09-01T00:00:00"/>
    <x v="0"/>
    <n v="32"/>
    <x v="779"/>
    <n v="879.92"/>
    <n v="0"/>
    <x v="0"/>
    <n v="13"/>
    <n v="53.200000000000045"/>
    <n v="0"/>
    <n v="5.7013031550068635E-2"/>
  </r>
  <r>
    <s v="PO-00783"/>
    <x v="3"/>
    <x v="4"/>
    <x v="345"/>
    <d v="2023-04-18T00:00:00"/>
    <x v="0"/>
    <n v="171"/>
    <x v="780"/>
    <n v="46612.7"/>
    <n v="1"/>
    <x v="0"/>
    <n v="2"/>
    <n v="1495.4900000000052"/>
    <n v="5.8479532163742687E-3"/>
    <n v="3.1085975173873827E-2"/>
  </r>
  <r>
    <s v="PO-00784"/>
    <x v="0"/>
    <x v="4"/>
    <x v="483"/>
    <d v="2023-05-01T00:00:00"/>
    <x v="0"/>
    <n v="436"/>
    <x v="781"/>
    <n v="48991.76"/>
    <n v="3"/>
    <x v="0"/>
    <n v="11"/>
    <n v="1797.0299999999988"/>
    <n v="6.8807339449541288E-3"/>
    <n v="3.5382414111460397E-2"/>
  </r>
  <r>
    <s v="PO-00785"/>
    <x v="0"/>
    <x v="10"/>
    <x v="119"/>
    <d v="2024-06-21T00:00:00"/>
    <x v="0"/>
    <n v="500"/>
    <x v="782"/>
    <n v="49868.85"/>
    <n v="1"/>
    <x v="0"/>
    <n v="3"/>
    <n v="2686.4400000000023"/>
    <n v="2E-3"/>
    <n v="5.111645278715049E-2"/>
  </r>
  <r>
    <s v="PO-00786"/>
    <x v="5"/>
    <x v="7"/>
    <x v="474"/>
    <d v="2024-08-29T00:00:00"/>
    <x v="0"/>
    <n v="499"/>
    <x v="783"/>
    <n v="12525.91"/>
    <n v="4"/>
    <x v="0"/>
    <n v="14"/>
    <n v="133.47999999999956"/>
    <n v="8.0160320641282558E-3"/>
    <n v="1.054395195977054E-2"/>
  </r>
  <r>
    <s v="PO-00787"/>
    <x v="5"/>
    <x v="5"/>
    <x v="489"/>
    <s v="Not Yet Delivered"/>
    <x v="2"/>
    <n v="297"/>
    <x v="784"/>
    <n v="828.17"/>
    <n v="2"/>
    <x v="0"/>
    <s v="Not Applicable"/>
    <n v="23.740000000000009"/>
    <n v="6.7340067340067337E-3"/>
    <n v="2.7866793440621672E-2"/>
  </r>
  <r>
    <s v="PO-00788"/>
    <x v="0"/>
    <x v="0"/>
    <x v="490"/>
    <d v="2024-04-09T00:00:00"/>
    <x v="0"/>
    <n v="294"/>
    <x v="785"/>
    <n v="4651.93"/>
    <n v="0"/>
    <x v="0"/>
    <n v="7"/>
    <n v="9.569999999999709"/>
    <n v="0"/>
    <n v="2.0529872358682204E-3"/>
  </r>
  <r>
    <s v="PO-00789"/>
    <x v="7"/>
    <x v="10"/>
    <x v="185"/>
    <s v="Not Yet Delivered"/>
    <x v="2"/>
    <n v="436"/>
    <x v="786"/>
    <n v="51688.73"/>
    <n v="2"/>
    <x v="0"/>
    <s v="Not Applicable"/>
    <n v="1971.6199999999953"/>
    <n v="4.5871559633027525E-3"/>
    <n v="3.6742585540347678E-2"/>
  </r>
  <r>
    <s v="PO-00790"/>
    <x v="1"/>
    <x v="4"/>
    <x v="491"/>
    <s v="Not Yet Delivered"/>
    <x v="2"/>
    <n v="383"/>
    <x v="787"/>
    <n v="44078.239999999998"/>
    <n v="2"/>
    <x v="0"/>
    <s v="Not Applicable"/>
    <n v="1964.6300000000047"/>
    <n v="5.2219321148825066E-3"/>
    <n v="4.2669581631205974E-2"/>
  </r>
  <r>
    <s v="PO-00791"/>
    <x v="3"/>
    <x v="8"/>
    <x v="265"/>
    <d v="2023-06-14T00:00:00"/>
    <x v="0"/>
    <n v="418"/>
    <x v="788"/>
    <n v="8655.9"/>
    <n v="4"/>
    <x v="0"/>
    <n v="11"/>
    <n v="440.09000000000015"/>
    <n v="9.5693779904306216E-3"/>
    <n v="4.8382858820205404E-2"/>
  </r>
  <r>
    <s v="PO-00792"/>
    <x v="2"/>
    <x v="0"/>
    <x v="438"/>
    <d v="2023-10-14T00:00:00"/>
    <x v="3"/>
    <n v="183"/>
    <x v="789"/>
    <n v="3646.05"/>
    <n v="4"/>
    <x v="0"/>
    <n v="12"/>
    <n v="153.41999999999962"/>
    <n v="2.185792349726776E-2"/>
    <n v="4.0379316062503355E-2"/>
  </r>
  <r>
    <s v="PO-00793"/>
    <x v="4"/>
    <x v="1"/>
    <x v="283"/>
    <d v="2023-12-16T00:00:00"/>
    <x v="0"/>
    <n v="23"/>
    <x v="790"/>
    <n v="4736.3900000000003"/>
    <n v="0"/>
    <x v="0"/>
    <n v="5"/>
    <n v="228.19999999999982"/>
    <n v="0"/>
    <n v="4.5965527868363713E-2"/>
  </r>
  <r>
    <s v="PO-00794"/>
    <x v="7"/>
    <x v="2"/>
    <x v="492"/>
    <d v="2024-03-17T00:00:00"/>
    <x v="0"/>
    <n v="173"/>
    <x v="791"/>
    <n v="110.28"/>
    <n v="1"/>
    <x v="0"/>
    <n v="23"/>
    <n v="2.5699999999999932"/>
    <n v="5.7803468208092483E-3"/>
    <n v="2.2773593265396484E-2"/>
  </r>
  <r>
    <s v="PO-00795"/>
    <x v="5"/>
    <x v="11"/>
    <x v="493"/>
    <d v="2024-01-24T00:00:00"/>
    <x v="0"/>
    <n v="160"/>
    <x v="792"/>
    <n v="12868.96"/>
    <n v="4"/>
    <x v="1"/>
    <n v="11"/>
    <n v="812.88000000000102"/>
    <n v="2.5000000000000001E-2"/>
    <n v="5.9413061401098172E-2"/>
  </r>
  <r>
    <s v="PO-00796"/>
    <x v="0"/>
    <x v="11"/>
    <x v="494"/>
    <d v="2024-08-09T00:00:00"/>
    <x v="0"/>
    <n v="405"/>
    <x v="793"/>
    <n v="14155.65"/>
    <n v="6"/>
    <x v="0"/>
    <n v="30"/>
    <n v="428.80000000000109"/>
    <n v="1.4814814814814815E-2"/>
    <n v="2.9401177281282536E-2"/>
  </r>
  <r>
    <s v="PO-00797"/>
    <x v="4"/>
    <x v="10"/>
    <x v="366"/>
    <d v="2023-02-19T00:00:00"/>
    <x v="0"/>
    <n v="318"/>
    <x v="794"/>
    <n v="45088.74"/>
    <n v="1"/>
    <x v="0"/>
    <n v="19"/>
    <n v="543.37000000000262"/>
    <n v="3.1446540880503146E-3"/>
    <n v="1.1907623820156522E-2"/>
  </r>
  <r>
    <s v="PO-00798"/>
    <x v="1"/>
    <x v="3"/>
    <x v="488"/>
    <d v="2023-09-13T00:00:00"/>
    <x v="0"/>
    <n v="346"/>
    <x v="795"/>
    <n v="11235.54"/>
    <n v="3"/>
    <x v="0"/>
    <n v="20"/>
    <n v="135.13999999999942"/>
    <n v="8.670520231213872E-3"/>
    <n v="1.1884953230589499E-2"/>
  </r>
  <r>
    <s v="PO-00799"/>
    <x v="1"/>
    <x v="5"/>
    <x v="495"/>
    <s v="Not Yet Delivered"/>
    <x v="2"/>
    <n v="179"/>
    <x v="796"/>
    <n v="821.53"/>
    <n v="2"/>
    <x v="0"/>
    <s v="Not Applicable"/>
    <n v="12.25"/>
    <n v="1.11731843575419E-2"/>
    <n v="1.4692125020988751E-2"/>
  </r>
  <r>
    <s v="PO-00800"/>
    <x v="5"/>
    <x v="2"/>
    <x v="184"/>
    <d v="2023-08-15T00:00:00"/>
    <x v="0"/>
    <n v="440"/>
    <x v="797"/>
    <n v="118.16"/>
    <n v="2"/>
    <x v="0"/>
    <n v="14"/>
    <n v="2.7900000000000063"/>
    <n v="4.5454545454545452E-3"/>
    <n v="2.3067383216205096E-2"/>
  </r>
  <r>
    <s v="PO-00801"/>
    <x v="4"/>
    <x v="8"/>
    <x v="345"/>
    <s v="Not Yet Delivered"/>
    <x v="1"/>
    <n v="337"/>
    <x v="798"/>
    <n v="7435.7"/>
    <n v="2"/>
    <x v="0"/>
    <s v="Not Applicable"/>
    <n v="395.18000000000029"/>
    <n v="5.9347181008902079E-3"/>
    <n v="5.0464315632470461E-2"/>
  </r>
  <r>
    <s v="PO-00802"/>
    <x v="0"/>
    <x v="8"/>
    <x v="496"/>
    <d v="2023-09-29T00:00:00"/>
    <x v="0"/>
    <n v="70"/>
    <x v="799"/>
    <n v="8553.41"/>
    <n v="0"/>
    <x v="0"/>
    <n v="27"/>
    <n v="369.38999999999942"/>
    <n v="0"/>
    <n v="4.139843995158464E-2"/>
  </r>
  <r>
    <s v="PO-00803"/>
    <x v="2"/>
    <x v="10"/>
    <x v="459"/>
    <d v="2023-06-17T00:00:00"/>
    <x v="0"/>
    <n v="162"/>
    <x v="800"/>
    <n v="46976.23"/>
    <n v="2"/>
    <x v="0"/>
    <n v="16"/>
    <n v="829.25"/>
    <n v="1.2345679012345678E-2"/>
    <n v="1.7346337700196713E-2"/>
  </r>
  <r>
    <s v="PO-00804"/>
    <x v="7"/>
    <x v="3"/>
    <x v="220"/>
    <d v="2023-10-17T00:00:00"/>
    <x v="0"/>
    <n v="88"/>
    <x v="801"/>
    <n v="11831.59"/>
    <n v="1"/>
    <x v="0"/>
    <n v="22"/>
    <n v="335.25"/>
    <n v="1.1363636363636364E-2"/>
    <n v="2.7554401964684339E-2"/>
  </r>
  <r>
    <s v="PO-00805"/>
    <x v="0"/>
    <x v="7"/>
    <x v="359"/>
    <s v="Not Yet Delivered"/>
    <x v="2"/>
    <n v="342"/>
    <x v="802"/>
    <n v="11650.4"/>
    <n v="2"/>
    <x v="0"/>
    <s v="Not Applicable"/>
    <n v="644.39999999999964"/>
    <n v="5.8479532163742687E-3"/>
    <n v="5.2412401991085635E-2"/>
  </r>
  <r>
    <s v="PO-00806"/>
    <x v="6"/>
    <x v="0"/>
    <x v="256"/>
    <d v="2024-08-03T00:00:00"/>
    <x v="0"/>
    <n v="68"/>
    <x v="803"/>
    <n v="4145.62"/>
    <n v="0"/>
    <x v="0"/>
    <n v="23"/>
    <n v="151.25"/>
    <n v="0"/>
    <n v="3.5200040960047661E-2"/>
  </r>
  <r>
    <s v="PO-00807"/>
    <x v="2"/>
    <x v="1"/>
    <x v="243"/>
    <d v="2023-03-22T00:00:00"/>
    <x v="0"/>
    <n v="154"/>
    <x v="804"/>
    <n v="4994.32"/>
    <n v="3"/>
    <x v="0"/>
    <n v="15"/>
    <n v="19.610000000000582"/>
    <n v="1.948051948051948E-2"/>
    <n v="3.9111036651888996E-3"/>
  </r>
  <r>
    <s v="PO-00808"/>
    <x v="5"/>
    <x v="1"/>
    <x v="28"/>
    <d v="2023-09-05T00:00:00"/>
    <x v="0"/>
    <n v="180"/>
    <x v="805"/>
    <n v="5356.94"/>
    <n v="2"/>
    <x v="0"/>
    <n v="2"/>
    <n v="64.340000000000146"/>
    <n v="1.1111111111111112E-2"/>
    <n v="1.1868045922734142E-2"/>
  </r>
  <r>
    <s v="PO-00809"/>
    <x v="3"/>
    <x v="9"/>
    <x v="333"/>
    <d v="2024-08-29T00:00:00"/>
    <x v="0"/>
    <n v="14"/>
    <x v="806"/>
    <n v="6359.4"/>
    <n v="0"/>
    <x v="0"/>
    <n v="28"/>
    <n v="147.78000000000065"/>
    <n v="0"/>
    <n v="2.2710298470305208E-2"/>
  </r>
  <r>
    <s v="PO-00810"/>
    <x v="7"/>
    <x v="1"/>
    <x v="0"/>
    <d v="2023-10-19T00:00:00"/>
    <x v="0"/>
    <n v="487"/>
    <x v="807"/>
    <n v="5066.71"/>
    <n v="0"/>
    <x v="0"/>
    <n v="21"/>
    <n v="288.78999999999996"/>
    <n v="0"/>
    <n v="5.392400336103071E-2"/>
  </r>
  <r>
    <s v="PO-00811"/>
    <x v="6"/>
    <x v="0"/>
    <x v="88"/>
    <s v="Not Yet Delivered"/>
    <x v="2"/>
    <n v="404"/>
    <x v="808"/>
    <n v="4152.21"/>
    <n v="2"/>
    <x v="0"/>
    <s v="Not Applicable"/>
    <n v="243"/>
    <n v="4.9504950495049506E-3"/>
    <n v="5.5287460667408382E-2"/>
  </r>
  <r>
    <s v="PO-00812"/>
    <x v="2"/>
    <x v="5"/>
    <x v="77"/>
    <d v="2024-03-01T00:00:00"/>
    <x v="0"/>
    <n v="195"/>
    <x v="809"/>
    <n v="885"/>
    <n v="2"/>
    <x v="0"/>
    <n v="24"/>
    <n v="16.200000000000045"/>
    <n v="1.0256410256410256E-2"/>
    <n v="1.7976031957390195E-2"/>
  </r>
  <r>
    <s v="PO-00813"/>
    <x v="1"/>
    <x v="5"/>
    <x v="497"/>
    <d v="2024-10-11T00:00:00"/>
    <x v="0"/>
    <n v="109"/>
    <x v="810"/>
    <n v="803.62"/>
    <n v="4"/>
    <x v="1"/>
    <n v="10"/>
    <n v="20.480000000000018"/>
    <n v="3.669724770642202E-2"/>
    <n v="2.4851352991141874E-2"/>
  </r>
  <r>
    <s v="PO-00814"/>
    <x v="6"/>
    <x v="6"/>
    <x v="498"/>
    <d v="2024-06-30T00:00:00"/>
    <x v="0"/>
    <n v="272"/>
    <x v="811"/>
    <n v="582.66"/>
    <n v="4"/>
    <x v="0"/>
    <n v="10"/>
    <n v="17.810000000000059"/>
    <n v="1.4705882352941176E-2"/>
    <n v="2.9660099588655651E-2"/>
  </r>
  <r>
    <s v="PO-00815"/>
    <x v="4"/>
    <x v="10"/>
    <x v="499"/>
    <d v="2023-09-20T00:00:00"/>
    <x v="0"/>
    <n v="213"/>
    <x v="812"/>
    <n v="47416.92"/>
    <n v="1"/>
    <x v="0"/>
    <n v="6"/>
    <n v="348.91999999999825"/>
    <n v="4.6948356807511738E-3"/>
    <n v="7.304801925392671E-3"/>
  </r>
  <r>
    <s v="PO-00816"/>
    <x v="3"/>
    <x v="10"/>
    <x v="134"/>
    <d v="2023-01-31T00:00:00"/>
    <x v="0"/>
    <n v="498"/>
    <x v="813"/>
    <n v="55286.05"/>
    <n v="3"/>
    <x v="0"/>
    <n v="17"/>
    <n v="297.39999999999418"/>
    <n v="6.024096385542169E-3"/>
    <n v="5.3505135071679468E-3"/>
  </r>
  <r>
    <s v="PO-00817"/>
    <x v="6"/>
    <x v="0"/>
    <x v="323"/>
    <d v="2023-04-06T00:00:00"/>
    <x v="0"/>
    <n v="422"/>
    <x v="814"/>
    <n v="4375.82"/>
    <n v="4"/>
    <x v="0"/>
    <n v="24"/>
    <n v="19.909999999999854"/>
    <n v="9.4786729857819912E-3"/>
    <n v="4.5293955725214828E-3"/>
  </r>
  <r>
    <s v="PO-00818"/>
    <x v="7"/>
    <x v="8"/>
    <x v="245"/>
    <d v="2023-12-05T00:00:00"/>
    <x v="0"/>
    <n v="328"/>
    <x v="815"/>
    <n v="8305"/>
    <n v="0"/>
    <x v="0"/>
    <n v="18"/>
    <n v="184.70000000000073"/>
    <n v="0"/>
    <n v="2.1755774644569386E-2"/>
  </r>
  <r>
    <s v="PO-00819"/>
    <x v="3"/>
    <x v="2"/>
    <x v="500"/>
    <d v="2024-02-12T00:00:00"/>
    <x v="0"/>
    <n v="407"/>
    <x v="816"/>
    <n v="112.94"/>
    <n v="4"/>
    <x v="0"/>
    <n v="28"/>
    <n v="2.3900000000000006"/>
    <n v="9.8280098280098278E-3"/>
    <n v="2.0723142287349349E-2"/>
  </r>
  <r>
    <s v="PO-00820"/>
    <x v="2"/>
    <x v="2"/>
    <x v="501"/>
    <d v="2023-02-16T00:00:00"/>
    <x v="0"/>
    <n v="355"/>
    <x v="817"/>
    <n v="110.45"/>
    <n v="4"/>
    <x v="0"/>
    <n v="30"/>
    <n v="2.769999999999996"/>
    <n v="1.1267605633802818E-2"/>
    <n v="2.44656421127009E-2"/>
  </r>
  <r>
    <s v="PO-00821"/>
    <x v="4"/>
    <x v="6"/>
    <x v="147"/>
    <d v="2024-01-18T00:00:00"/>
    <x v="0"/>
    <n v="334"/>
    <x v="818"/>
    <n v="467.16"/>
    <n v="4"/>
    <x v="0"/>
    <n v="8"/>
    <n v="20.089999999999975"/>
    <n v="1.1976047904191617E-2"/>
    <n v="4.1231400718317032E-2"/>
  </r>
  <r>
    <s v="PO-00822"/>
    <x v="6"/>
    <x v="6"/>
    <x v="69"/>
    <s v="Not Yet Delivered"/>
    <x v="2"/>
    <n v="246"/>
    <x v="819"/>
    <n v="576.76"/>
    <n v="2"/>
    <x v="0"/>
    <s v="Not Applicable"/>
    <n v="30.669999999999959"/>
    <n v="8.130081300813009E-3"/>
    <n v="5.0491414648601421E-2"/>
  </r>
  <r>
    <s v="PO-00823"/>
    <x v="6"/>
    <x v="9"/>
    <x v="502"/>
    <d v="2024-01-25T00:00:00"/>
    <x v="0"/>
    <n v="96"/>
    <x v="820"/>
    <n v="6603"/>
    <n v="1"/>
    <x v="0"/>
    <n v="9"/>
    <n v="91.220000000000255"/>
    <n v="1.0416666666666666E-2"/>
    <n v="1.3626680927725747E-2"/>
  </r>
  <r>
    <s v="PO-00824"/>
    <x v="2"/>
    <x v="11"/>
    <x v="280"/>
    <d v="2024-08-10T00:00:00"/>
    <x v="0"/>
    <n v="66"/>
    <x v="821"/>
    <n v="13173.97"/>
    <n v="0"/>
    <x v="0"/>
    <n v="19"/>
    <n v="198.72000000000116"/>
    <n v="0"/>
    <n v="1.4860136591815197E-2"/>
  </r>
  <r>
    <s v="PO-00825"/>
    <x v="1"/>
    <x v="8"/>
    <x v="207"/>
    <d v="2023-11-23T00:00:00"/>
    <x v="3"/>
    <n v="369"/>
    <x v="822"/>
    <n v="7950"/>
    <n v="5"/>
    <x v="0"/>
    <n v="14"/>
    <n v="161.0600000000004"/>
    <n v="1.3550135501355014E-2"/>
    <n v="1.985683745404428E-2"/>
  </r>
  <r>
    <s v="PO-00826"/>
    <x v="5"/>
    <x v="4"/>
    <x v="422"/>
    <d v="2023-06-26T00:00:00"/>
    <x v="0"/>
    <n v="275"/>
    <x v="823"/>
    <n v="47144.36"/>
    <n v="2"/>
    <x v="0"/>
    <n v="14"/>
    <n v="2317.6100000000006"/>
    <n v="7.2727272727272727E-3"/>
    <n v="4.685640301023191E-2"/>
  </r>
  <r>
    <s v="PO-00827"/>
    <x v="4"/>
    <x v="6"/>
    <x v="503"/>
    <d v="2024-05-12T00:00:00"/>
    <x v="3"/>
    <n v="196"/>
    <x v="824"/>
    <n v="496.05"/>
    <n v="2"/>
    <x v="0"/>
    <n v="16"/>
    <n v="15.069999999999993"/>
    <n v="1.020408163265306E-2"/>
    <n v="2.9484269838785399E-2"/>
  </r>
  <r>
    <s v="PO-00828"/>
    <x v="0"/>
    <x v="4"/>
    <x v="213"/>
    <d v="2024-10-23T00:00:00"/>
    <x v="0"/>
    <n v="439"/>
    <x v="825"/>
    <n v="48737.38"/>
    <n v="5"/>
    <x v="0"/>
    <n v="25"/>
    <n v="2939.4800000000032"/>
    <n v="1.1389521640091117E-2"/>
    <n v="5.6881939034221569E-2"/>
  </r>
  <r>
    <s v="PO-00829"/>
    <x v="0"/>
    <x v="7"/>
    <x v="30"/>
    <d v="2023-03-17T00:00:00"/>
    <x v="0"/>
    <n v="279"/>
    <x v="826"/>
    <n v="12560.76"/>
    <n v="7"/>
    <x v="0"/>
    <n v="25"/>
    <n v="504.53999999999905"/>
    <n v="2.5089605734767026E-2"/>
    <n v="3.861679410346483E-2"/>
  </r>
  <r>
    <s v="PO-00830"/>
    <x v="7"/>
    <x v="8"/>
    <x v="68"/>
    <d v="2023-10-30T00:00:00"/>
    <x v="0"/>
    <n v="72"/>
    <x v="827"/>
    <n v="8213.84"/>
    <n v="0"/>
    <x v="0"/>
    <n v="30"/>
    <n v="109.82999999999993"/>
    <n v="0"/>
    <n v="1.319490080697576E-2"/>
  </r>
  <r>
    <s v="PO-00831"/>
    <x v="2"/>
    <x v="9"/>
    <x v="70"/>
    <d v="2024-12-29T00:00:00"/>
    <x v="0"/>
    <n v="286"/>
    <x v="828"/>
    <n v="6201.81"/>
    <n v="2"/>
    <x v="0"/>
    <n v="19"/>
    <n v="348.58999999999924"/>
    <n v="6.993006993006993E-3"/>
    <n v="5.3216597459697007E-2"/>
  </r>
  <r>
    <s v="PO-00832"/>
    <x v="7"/>
    <x v="9"/>
    <x v="0"/>
    <d v="2023-10-14T00:00:00"/>
    <x v="0"/>
    <n v="12"/>
    <x v="829"/>
    <n v="6153.91"/>
    <n v="0"/>
    <x v="1"/>
    <n v="16"/>
    <n v="99.690000000000509"/>
    <n v="0"/>
    <n v="1.5941217858513577E-2"/>
  </r>
  <r>
    <s v="PO-00833"/>
    <x v="6"/>
    <x v="6"/>
    <x v="196"/>
    <s v="Not Yet Delivered"/>
    <x v="2"/>
    <n v="215"/>
    <x v="830"/>
    <n v="578.45000000000005"/>
    <n v="2"/>
    <x v="0"/>
    <s v="Not Applicable"/>
    <n v="7.2199999999999136"/>
    <n v="9.3023255813953487E-3"/>
    <n v="1.2327761367322748E-2"/>
  </r>
  <r>
    <s v="PO-00834"/>
    <x v="4"/>
    <x v="1"/>
    <x v="464"/>
    <d v="2024-07-29T00:00:00"/>
    <x v="0"/>
    <n v="173"/>
    <x v="831"/>
    <n v="4721.78"/>
    <n v="0"/>
    <x v="1"/>
    <n v="26"/>
    <n v="126.32000000000062"/>
    <n v="0"/>
    <n v="2.6055568160722884E-2"/>
  </r>
  <r>
    <s v="PO-00835"/>
    <x v="0"/>
    <x v="7"/>
    <x v="238"/>
    <d v="2024-01-10T00:00:00"/>
    <x v="0"/>
    <n v="94"/>
    <x v="832"/>
    <n v="13175.24"/>
    <n v="1"/>
    <x v="0"/>
    <n v="10"/>
    <n v="22.130000000001019"/>
    <n v="1.0638297872340425E-2"/>
    <n v="1.676849251025092E-3"/>
  </r>
  <r>
    <s v="PO-00836"/>
    <x v="7"/>
    <x v="10"/>
    <x v="504"/>
    <d v="2024-10-05T00:00:00"/>
    <x v="0"/>
    <n v="128"/>
    <x v="833"/>
    <n v="49811.7"/>
    <n v="3"/>
    <x v="0"/>
    <n v="29"/>
    <n v="338.19000000000233"/>
    <n v="2.34375E-2"/>
    <n v="6.7435840836341287E-3"/>
  </r>
  <r>
    <s v="PO-00837"/>
    <x v="5"/>
    <x v="4"/>
    <x v="505"/>
    <d v="2025-01-12T00:00:00"/>
    <x v="0"/>
    <n v="324"/>
    <x v="834"/>
    <n v="44163.02"/>
    <n v="1"/>
    <x v="0"/>
    <n v="25"/>
    <n v="1086.2900000000009"/>
    <n v="3.0864197530864196E-3"/>
    <n v="2.4006774909937873E-2"/>
  </r>
  <r>
    <s v="PO-00838"/>
    <x v="2"/>
    <x v="8"/>
    <x v="137"/>
    <s v="Not Yet Delivered"/>
    <x v="2"/>
    <n v="161"/>
    <x v="835"/>
    <n v="8020.4"/>
    <n v="2"/>
    <x v="0"/>
    <s v="Not Applicable"/>
    <n v="81.070000000000618"/>
    <n v="1.2422360248447204E-2"/>
    <n v="1.0006825921715519E-2"/>
  </r>
  <r>
    <s v="PO-00839"/>
    <x v="0"/>
    <x v="10"/>
    <x v="506"/>
    <d v="2024-07-31T00:00:00"/>
    <x v="0"/>
    <n v="115"/>
    <x v="836"/>
    <n v="57504.73"/>
    <n v="1"/>
    <x v="0"/>
    <n v="10"/>
    <n v="260.0199999999968"/>
    <n v="8.6956521739130436E-3"/>
    <n v="4.5013611242149722E-3"/>
  </r>
  <r>
    <s v="PO-00840"/>
    <x v="6"/>
    <x v="1"/>
    <x v="339"/>
    <s v="Not Yet Delivered"/>
    <x v="2"/>
    <n v="351"/>
    <x v="837"/>
    <n v="5368.12"/>
    <n v="2"/>
    <x v="0"/>
    <s v="Not Applicable"/>
    <n v="171.21000000000004"/>
    <n v="5.6980056980056983E-3"/>
    <n v="3.0908070109561994E-2"/>
  </r>
  <r>
    <s v="PO-00841"/>
    <x v="5"/>
    <x v="4"/>
    <x v="507"/>
    <d v="2024-08-11T00:00:00"/>
    <x v="3"/>
    <n v="206"/>
    <x v="838"/>
    <n v="48057.71"/>
    <n v="5"/>
    <x v="0"/>
    <n v="29"/>
    <n v="2102.3400000000038"/>
    <n v="2.4271844660194174E-2"/>
    <n v="4.1912637646892369E-2"/>
  </r>
  <r>
    <s v="PO-00842"/>
    <x v="0"/>
    <x v="7"/>
    <x v="508"/>
    <s v="Not Yet Delivered"/>
    <x v="2"/>
    <n v="361"/>
    <x v="839"/>
    <n v="11796.45"/>
    <n v="2"/>
    <x v="1"/>
    <s v="Not Applicable"/>
    <n v="361.77999999999884"/>
    <n v="5.5401662049861496E-3"/>
    <n v="2.9755975993216024E-2"/>
  </r>
  <r>
    <s v="PO-00843"/>
    <x v="2"/>
    <x v="1"/>
    <x v="220"/>
    <d v="2023-09-27T00:00:00"/>
    <x v="0"/>
    <n v="73"/>
    <x v="840"/>
    <n v="5125.6099999999997"/>
    <n v="2"/>
    <x v="0"/>
    <n v="2"/>
    <n v="143.07000000000062"/>
    <n v="2.7397260273972601E-2"/>
    <n v="2.715480917421453E-2"/>
  </r>
  <r>
    <s v="PO-00844"/>
    <x v="1"/>
    <x v="2"/>
    <x v="439"/>
    <d v="2024-03-17T00:00:00"/>
    <x v="0"/>
    <n v="438"/>
    <x v="841"/>
    <n v="108.7"/>
    <n v="4"/>
    <x v="0"/>
    <n v="29"/>
    <n v="5.9899999999999949"/>
    <n v="9.1324200913242004E-3"/>
    <n v="5.2227744354346455E-2"/>
  </r>
  <r>
    <s v="PO-00845"/>
    <x v="1"/>
    <x v="4"/>
    <x v="509"/>
    <s v="Not Yet Delivered"/>
    <x v="1"/>
    <n v="61"/>
    <x v="842"/>
    <n v="43397.85"/>
    <n v="2"/>
    <x v="0"/>
    <s v="Not Applicable"/>
    <n v="1613.9599999999991"/>
    <n v="3.2786885245901641E-2"/>
    <n v="3.5856367473336426E-2"/>
  </r>
  <r>
    <s v="PO-00846"/>
    <x v="6"/>
    <x v="7"/>
    <x v="510"/>
    <d v="2023-06-14T00:00:00"/>
    <x v="0"/>
    <n v="234"/>
    <x v="843"/>
    <n v="13200.34"/>
    <n v="5"/>
    <x v="0"/>
    <n v="17"/>
    <n v="21.719999999999345"/>
    <n v="2.1367521367521368E-2"/>
    <n v="1.6427092298778969E-3"/>
  </r>
  <r>
    <s v="PO-00847"/>
    <x v="4"/>
    <x v="10"/>
    <x v="151"/>
    <d v="2024-09-20T00:00:00"/>
    <x v="3"/>
    <n v="480"/>
    <x v="844"/>
    <n v="46264.31"/>
    <n v="5"/>
    <x v="0"/>
    <n v="28"/>
    <n v="2740.3100000000049"/>
    <n v="1.0416666666666666E-2"/>
    <n v="5.5919421474954906E-2"/>
  </r>
  <r>
    <s v="PO-00848"/>
    <x v="1"/>
    <x v="9"/>
    <x v="139"/>
    <d v="2023-09-05T00:00:00"/>
    <x v="3"/>
    <n v="231"/>
    <x v="845"/>
    <n v="5885.59"/>
    <n v="2"/>
    <x v="1"/>
    <n v="11"/>
    <n v="237.97000000000025"/>
    <n v="8.658008658008658E-3"/>
    <n v="3.8861381288008978E-2"/>
  </r>
  <r>
    <s v="PO-00849"/>
    <x v="5"/>
    <x v="7"/>
    <x v="300"/>
    <d v="2023-11-02T00:00:00"/>
    <x v="0"/>
    <n v="442"/>
    <x v="846"/>
    <n v="11902.92"/>
    <n v="2"/>
    <x v="0"/>
    <n v="14"/>
    <n v="376.23999999999978"/>
    <n v="4.5248868778280547E-3"/>
    <n v="3.0640532414269363E-2"/>
  </r>
  <r>
    <s v="PO-00850"/>
    <x v="1"/>
    <x v="3"/>
    <x v="219"/>
    <s v="Not Yet Delivered"/>
    <x v="1"/>
    <n v="306"/>
    <x v="847"/>
    <n v="10768.9"/>
    <n v="2"/>
    <x v="0"/>
    <s v="Not Applicable"/>
    <n v="335.60000000000036"/>
    <n v="6.5359477124183009E-3"/>
    <n v="3.022198207933724E-2"/>
  </r>
  <r>
    <s v="PO-00851"/>
    <x v="3"/>
    <x v="3"/>
    <x v="414"/>
    <d v="2023-04-16T00:00:00"/>
    <x v="0"/>
    <n v="177"/>
    <x v="848"/>
    <n v="12850.81"/>
    <n v="2"/>
    <x v="0"/>
    <n v="25"/>
    <n v="230.77000000000044"/>
    <n v="1.1299435028248588E-2"/>
    <n v="1.7640835434251861E-2"/>
  </r>
  <r>
    <s v="PO-00852"/>
    <x v="4"/>
    <x v="1"/>
    <x v="295"/>
    <s v="Not Yet Delivered"/>
    <x v="2"/>
    <n v="449"/>
    <x v="849"/>
    <n v="4842.92"/>
    <n v="2"/>
    <x v="0"/>
    <s v="Not Applicable"/>
    <n v="145.25"/>
    <n v="4.4543429844097994E-3"/>
    <n v="2.9118895306294693E-2"/>
  </r>
  <r>
    <s v="PO-00853"/>
    <x v="5"/>
    <x v="2"/>
    <x v="228"/>
    <d v="2024-03-10T00:00:00"/>
    <x v="0"/>
    <n v="130"/>
    <x v="850"/>
    <n v="115.09"/>
    <n v="0"/>
    <x v="0"/>
    <n v="8"/>
    <n v="6.4099999999999966"/>
    <n v="0"/>
    <n v="5.2757201646090504E-2"/>
  </r>
  <r>
    <s v="PO-00854"/>
    <x v="7"/>
    <x v="3"/>
    <x v="51"/>
    <d v="2024-07-22T00:00:00"/>
    <x v="0"/>
    <n v="108"/>
    <x v="851"/>
    <n v="12666.02"/>
    <n v="0"/>
    <x v="1"/>
    <n v="3"/>
    <n v="121.72999999999956"/>
    <n v="0"/>
    <n v="9.5192664855036704E-3"/>
  </r>
  <r>
    <s v="PO-00855"/>
    <x v="4"/>
    <x v="10"/>
    <x v="511"/>
    <d v="2024-02-03T00:00:00"/>
    <x v="0"/>
    <n v="395"/>
    <x v="852"/>
    <n v="45850.49"/>
    <n v="0"/>
    <x v="0"/>
    <n v="15"/>
    <n v="2849.8499999999985"/>
    <n v="0"/>
    <n v="5.8518071947752291E-2"/>
  </r>
  <r>
    <s v="PO-00856"/>
    <x v="3"/>
    <x v="7"/>
    <x v="450"/>
    <d v="2023-05-27T00:00:00"/>
    <x v="0"/>
    <n v="111"/>
    <x v="853"/>
    <n v="11207.03"/>
    <n v="0"/>
    <x v="0"/>
    <n v="13"/>
    <n v="665.6299999999992"/>
    <n v="0"/>
    <n v="5.6064100210062376E-2"/>
  </r>
  <r>
    <s v="PO-00857"/>
    <x v="1"/>
    <x v="5"/>
    <x v="512"/>
    <d v="2023-08-09T00:00:00"/>
    <x v="0"/>
    <n v="187"/>
    <x v="854"/>
    <n v="758.63"/>
    <n v="2"/>
    <x v="0"/>
    <n v="5"/>
    <n v="43.840000000000032"/>
    <n v="1.06951871657754E-2"/>
    <n v="5.4631325781649198E-2"/>
  </r>
  <r>
    <s v="PO-00858"/>
    <x v="1"/>
    <x v="4"/>
    <x v="69"/>
    <d v="2023-03-17T00:00:00"/>
    <x v="0"/>
    <n v="117"/>
    <x v="855"/>
    <n v="42142.47"/>
    <n v="1"/>
    <x v="0"/>
    <n v="9"/>
    <n v="735.47999999999593"/>
    <n v="8.5470085470085479E-3"/>
    <n v="1.7152872280507721E-2"/>
  </r>
  <r>
    <s v="PO-00859"/>
    <x v="0"/>
    <x v="6"/>
    <x v="383"/>
    <d v="2024-08-24T00:00:00"/>
    <x v="0"/>
    <n v="277"/>
    <x v="856"/>
    <n v="560.07000000000005"/>
    <n v="1"/>
    <x v="0"/>
    <n v="11"/>
    <n v="33.659999999999968"/>
    <n v="3.6101083032490976E-3"/>
    <n v="5.6692435955737398E-2"/>
  </r>
  <r>
    <s v="PO-00860"/>
    <x v="0"/>
    <x v="7"/>
    <x v="410"/>
    <d v="2024-06-22T00:00:00"/>
    <x v="0"/>
    <n v="135"/>
    <x v="857"/>
    <n v="12525.44"/>
    <n v="1"/>
    <x v="0"/>
    <n v="26"/>
    <n v="105.48999999999978"/>
    <n v="7.4074074074074077E-3"/>
    <n v="8.3517207363194776E-3"/>
  </r>
  <r>
    <s v="PO-00861"/>
    <x v="1"/>
    <x v="4"/>
    <x v="508"/>
    <d v="2024-03-02T00:00:00"/>
    <x v="0"/>
    <n v="410"/>
    <x v="858"/>
    <n v="46152.53"/>
    <n v="3"/>
    <x v="0"/>
    <n v="10"/>
    <n v="440.66999999999825"/>
    <n v="7.3170731707317077E-3"/>
    <n v="9.4578178790037659E-3"/>
  </r>
  <r>
    <s v="PO-00862"/>
    <x v="3"/>
    <x v="9"/>
    <x v="100"/>
    <d v="2023-08-31T00:00:00"/>
    <x v="0"/>
    <n v="298"/>
    <x v="859"/>
    <n v="6660.93"/>
    <n v="10"/>
    <x v="0"/>
    <n v="16"/>
    <n v="51.819999999999709"/>
    <n v="3.3557046979865772E-2"/>
    <n v="7.719638002308995E-3"/>
  </r>
  <r>
    <s v="PO-00863"/>
    <x v="4"/>
    <x v="10"/>
    <x v="75"/>
    <d v="2023-12-17T00:00:00"/>
    <x v="0"/>
    <n v="373"/>
    <x v="860"/>
    <n v="48312.34"/>
    <n v="9"/>
    <x v="0"/>
    <n v="17"/>
    <n v="1903.2900000000009"/>
    <n v="2.4128686327077747E-2"/>
    <n v="3.7902342358345421E-2"/>
  </r>
  <r>
    <s v="PO-00864"/>
    <x v="2"/>
    <x v="0"/>
    <x v="513"/>
    <d v="2024-11-29T00:00:00"/>
    <x v="0"/>
    <n v="289"/>
    <x v="861"/>
    <n v="3788.72"/>
    <n v="6"/>
    <x v="0"/>
    <n v="26"/>
    <n v="164.01000000000022"/>
    <n v="2.0761245674740483E-2"/>
    <n v="4.1492841656273059E-2"/>
  </r>
  <r>
    <s v="PO-00865"/>
    <x v="6"/>
    <x v="9"/>
    <x v="352"/>
    <d v="2024-08-29T00:00:00"/>
    <x v="0"/>
    <n v="391"/>
    <x v="862"/>
    <n v="6299.9"/>
    <n v="3"/>
    <x v="0"/>
    <n v="18"/>
    <n v="379.01000000000022"/>
    <n v="7.6726342710997444E-3"/>
    <n v="5.6747283613643576E-2"/>
  </r>
  <r>
    <s v="PO-00866"/>
    <x v="5"/>
    <x v="10"/>
    <x v="514"/>
    <s v="Not Yet Delivered"/>
    <x v="2"/>
    <n v="124"/>
    <x v="863"/>
    <n v="52011.67"/>
    <n v="2"/>
    <x v="0"/>
    <s v="Not Applicable"/>
    <n v="607.81999999999971"/>
    <n v="1.6129032258064516E-2"/>
    <n v="1.1551233202754335E-2"/>
  </r>
  <r>
    <s v="PO-00867"/>
    <x v="4"/>
    <x v="0"/>
    <x v="109"/>
    <d v="2024-09-17T00:00:00"/>
    <x v="0"/>
    <n v="316"/>
    <x v="864"/>
    <n v="3795.52"/>
    <n v="4"/>
    <x v="0"/>
    <n v="18"/>
    <n v="116.51000000000022"/>
    <n v="1.2658227848101266E-2"/>
    <n v="2.9782491443061585E-2"/>
  </r>
  <r>
    <s v="PO-00868"/>
    <x v="2"/>
    <x v="10"/>
    <x v="515"/>
    <d v="2023-07-21T00:00:00"/>
    <x v="0"/>
    <n v="298"/>
    <x v="865"/>
    <n v="50098.66"/>
    <n v="5"/>
    <x v="0"/>
    <n v="5"/>
    <n v="161.69999999999709"/>
    <n v="1.6778523489932886E-2"/>
    <n v="3.2172471506371442E-3"/>
  </r>
  <r>
    <s v="PO-00869"/>
    <x v="7"/>
    <x v="6"/>
    <x v="78"/>
    <d v="2024-06-07T00:00:00"/>
    <x v="0"/>
    <n v="252"/>
    <x v="866"/>
    <n v="507.03"/>
    <n v="5"/>
    <x v="0"/>
    <n v="21"/>
    <n v="12.170000000000073"/>
    <n v="1.984126984126984E-2"/>
    <n v="2.3439907550077181E-2"/>
  </r>
  <r>
    <s v="PO-00870"/>
    <x v="2"/>
    <x v="8"/>
    <x v="345"/>
    <d v="2023-05-16T00:00:00"/>
    <x v="0"/>
    <n v="183"/>
    <x v="867"/>
    <n v="8573.9599999999991"/>
    <n v="2"/>
    <x v="0"/>
    <n v="30"/>
    <n v="35.600000000000364"/>
    <n v="1.092896174863388E-2"/>
    <n v="4.1349383708343245E-3"/>
  </r>
  <r>
    <s v="PO-00871"/>
    <x v="5"/>
    <x v="0"/>
    <x v="516"/>
    <d v="2024-10-12T00:00:00"/>
    <x v="0"/>
    <n v="25"/>
    <x v="868"/>
    <n v="3821.63"/>
    <n v="0"/>
    <x v="0"/>
    <n v="12"/>
    <n v="186.48000000000002"/>
    <n v="0"/>
    <n v="4.6525669205685474E-2"/>
  </r>
  <r>
    <s v="PO-00872"/>
    <x v="3"/>
    <x v="1"/>
    <x v="127"/>
    <d v="2024-06-19T00:00:00"/>
    <x v="0"/>
    <n v="285"/>
    <x v="869"/>
    <n v="4820.17"/>
    <n v="8"/>
    <x v="0"/>
    <n v="15"/>
    <n v="287.71000000000004"/>
    <n v="2.8070175438596492E-2"/>
    <n v="5.6326695223850212E-2"/>
  </r>
  <r>
    <s v="PO-00873"/>
    <x v="4"/>
    <x v="9"/>
    <x v="387"/>
    <d v="2024-12-27T00:00:00"/>
    <x v="0"/>
    <n v="354"/>
    <x v="870"/>
    <n v="5729.42"/>
    <n v="4"/>
    <x v="0"/>
    <n v="19"/>
    <n v="325.02999999999975"/>
    <n v="1.1299435028248588E-2"/>
    <n v="5.3684480010570697E-2"/>
  </r>
  <r>
    <s v="PO-00874"/>
    <x v="2"/>
    <x v="9"/>
    <x v="388"/>
    <d v="2024-03-11T00:00:00"/>
    <x v="0"/>
    <n v="177"/>
    <x v="871"/>
    <n v="5885.58"/>
    <n v="2"/>
    <x v="0"/>
    <n v="25"/>
    <n v="154.52000000000044"/>
    <n v="1.1299435028248588E-2"/>
    <n v="2.5582357907981728E-2"/>
  </r>
  <r>
    <s v="PO-00875"/>
    <x v="1"/>
    <x v="2"/>
    <x v="111"/>
    <d v="2024-01-02T00:00:00"/>
    <x v="0"/>
    <n v="332"/>
    <x v="872"/>
    <n v="105.63"/>
    <n v="7"/>
    <x v="0"/>
    <n v="23"/>
    <n v="1.1500000000000057"/>
    <n v="2.1084337349397589E-2"/>
    <n v="1.0769807079977578E-2"/>
  </r>
  <r>
    <s v="PO-00876"/>
    <x v="1"/>
    <x v="5"/>
    <x v="213"/>
    <d v="2024-10-15T00:00:00"/>
    <x v="0"/>
    <n v="431"/>
    <x v="873"/>
    <n v="872.6"/>
    <n v="7"/>
    <x v="0"/>
    <n v="17"/>
    <n v="15.699999999999932"/>
    <n v="1.6241299303944315E-2"/>
    <n v="1.7674209163570789E-2"/>
  </r>
  <r>
    <s v="PO-00877"/>
    <x v="2"/>
    <x v="2"/>
    <x v="52"/>
    <d v="2023-01-10T00:00:00"/>
    <x v="0"/>
    <n v="212"/>
    <x v="874"/>
    <n v="114.99"/>
    <n v="1"/>
    <x v="0"/>
    <n v="2"/>
    <n v="3.4000000000000057"/>
    <n v="4.7169811320754715E-3"/>
    <n v="2.8718641777177173E-2"/>
  </r>
  <r>
    <s v="PO-00878"/>
    <x v="3"/>
    <x v="10"/>
    <x v="405"/>
    <d v="2023-12-31T00:00:00"/>
    <x v="3"/>
    <n v="442"/>
    <x v="875"/>
    <n v="48155.19"/>
    <n v="1"/>
    <x v="0"/>
    <n v="26"/>
    <n v="3035.239999999998"/>
    <n v="2.2624434389140274E-3"/>
    <n v="5.9293113966809773E-2"/>
  </r>
  <r>
    <s v="PO-00879"/>
    <x v="6"/>
    <x v="10"/>
    <x v="517"/>
    <s v="Not Yet Delivered"/>
    <x v="2"/>
    <n v="385"/>
    <x v="876"/>
    <n v="54515.03"/>
    <n v="2"/>
    <x v="0"/>
    <s v="Not Applicable"/>
    <n v="2792.3499999999985"/>
    <n v="5.1948051948051948E-3"/>
    <n v="4.8725836009253932E-2"/>
  </r>
  <r>
    <s v="PO-00880"/>
    <x v="7"/>
    <x v="7"/>
    <x v="397"/>
    <d v="2024-01-20T00:00:00"/>
    <x v="0"/>
    <n v="349"/>
    <x v="877"/>
    <n v="11974.47"/>
    <n v="3"/>
    <x v="1"/>
    <n v="17"/>
    <n v="391.09000000000015"/>
    <n v="8.5959885386819486E-3"/>
    <n v="3.1627358566858284E-2"/>
  </r>
  <r>
    <s v="PO-00881"/>
    <x v="7"/>
    <x v="9"/>
    <x v="518"/>
    <d v="2024-11-28T00:00:00"/>
    <x v="0"/>
    <n v="265"/>
    <x v="878"/>
    <n v="6020.83"/>
    <n v="6"/>
    <x v="0"/>
    <n v="2"/>
    <n v="99.319999999999709"/>
    <n v="2.2641509433962263E-2"/>
    <n v="1.622836041600283E-2"/>
  </r>
  <r>
    <s v="PO-00882"/>
    <x v="7"/>
    <x v="4"/>
    <x v="318"/>
    <s v="Not Yet Delivered"/>
    <x v="2"/>
    <n v="351"/>
    <x v="879"/>
    <n v="46325.27"/>
    <n v="2"/>
    <x v="0"/>
    <s v="Not Applicable"/>
    <n v="1129.75"/>
    <n v="5.6980056980056983E-3"/>
    <n v="2.3806754269622057E-2"/>
  </r>
  <r>
    <s v="PO-00883"/>
    <x v="6"/>
    <x v="3"/>
    <x v="338"/>
    <s v="Not Yet Delivered"/>
    <x v="2"/>
    <n v="246"/>
    <x v="880"/>
    <n v="12924.09"/>
    <n v="2"/>
    <x v="1"/>
    <s v="Not Applicable"/>
    <n v="775.68000000000029"/>
    <n v="8.130081300813009E-3"/>
    <n v="5.6619928655736576E-2"/>
  </r>
  <r>
    <s v="PO-00884"/>
    <x v="3"/>
    <x v="9"/>
    <x v="42"/>
    <d v="2024-12-13T00:00:00"/>
    <x v="0"/>
    <n v="132"/>
    <x v="881"/>
    <n v="6307.85"/>
    <n v="0"/>
    <x v="0"/>
    <n v="18"/>
    <n v="93.729999999999563"/>
    <n v="0"/>
    <n v="1.4641697830847941E-2"/>
  </r>
  <r>
    <s v="PO-00885"/>
    <x v="3"/>
    <x v="1"/>
    <x v="370"/>
    <d v="2023-05-05T00:00:00"/>
    <x v="3"/>
    <n v="346"/>
    <x v="882"/>
    <n v="5287.74"/>
    <n v="6"/>
    <x v="0"/>
    <n v="2"/>
    <n v="60.360000000000582"/>
    <n v="1.7341040462427744E-2"/>
    <n v="1.1286251192012224E-2"/>
  </r>
  <r>
    <s v="PO-00886"/>
    <x v="4"/>
    <x v="7"/>
    <x v="519"/>
    <d v="2023-01-25T00:00:00"/>
    <x v="0"/>
    <n v="475"/>
    <x v="883"/>
    <n v="11051.64"/>
    <n v="2"/>
    <x v="0"/>
    <n v="18"/>
    <n v="149.28000000000065"/>
    <n v="4.2105263157894736E-3"/>
    <n v="1.3327476671559181E-2"/>
  </r>
  <r>
    <s v="PO-00887"/>
    <x v="5"/>
    <x v="8"/>
    <x v="140"/>
    <s v="Not Yet Delivered"/>
    <x v="2"/>
    <n v="211"/>
    <x v="884"/>
    <n v="8335.85"/>
    <n v="2"/>
    <x v="0"/>
    <s v="Not Applicable"/>
    <n v="434.32999999999993"/>
    <n v="9.4786729857819912E-3"/>
    <n v="4.9523498947570049E-2"/>
  </r>
  <r>
    <s v="PO-00888"/>
    <x v="0"/>
    <x v="1"/>
    <x v="265"/>
    <d v="2023-06-17T00:00:00"/>
    <x v="0"/>
    <n v="14"/>
    <x v="885"/>
    <n v="5611.44"/>
    <n v="0"/>
    <x v="0"/>
    <n v="14"/>
    <n v="11.910000000000764"/>
    <n v="0"/>
    <n v="2.1179546000161405E-3"/>
  </r>
  <r>
    <s v="PO-00889"/>
    <x v="1"/>
    <x v="1"/>
    <x v="520"/>
    <d v="2024-07-24T00:00:00"/>
    <x v="0"/>
    <n v="363"/>
    <x v="886"/>
    <n v="4517.49"/>
    <n v="3"/>
    <x v="0"/>
    <n v="29"/>
    <n v="236.94000000000051"/>
    <n v="8.2644628099173556E-3"/>
    <n v="4.9835626983676377E-2"/>
  </r>
  <r>
    <s v="PO-00890"/>
    <x v="1"/>
    <x v="3"/>
    <x v="300"/>
    <s v="Not Yet Delivered"/>
    <x v="2"/>
    <n v="303"/>
    <x v="887"/>
    <n v="12125.95"/>
    <n v="2"/>
    <x v="0"/>
    <s v="Not Applicable"/>
    <n v="238.79999999999927"/>
    <n v="6.6006600660066007E-3"/>
    <n v="1.9312966295315252E-2"/>
  </r>
  <r>
    <s v="PO-00891"/>
    <x v="0"/>
    <x v="10"/>
    <x v="159"/>
    <d v="2023-04-11T00:00:00"/>
    <x v="0"/>
    <n v="165"/>
    <x v="888"/>
    <n v="48964.98"/>
    <n v="0"/>
    <x v="0"/>
    <n v="24"/>
    <n v="3014.1199999999953"/>
    <n v="0"/>
    <n v="5.7987152528612376E-2"/>
  </r>
  <r>
    <s v="PO-00892"/>
    <x v="4"/>
    <x v="5"/>
    <x v="521"/>
    <d v="2025-01-07T00:00:00"/>
    <x v="0"/>
    <n v="99"/>
    <x v="889"/>
    <n v="811.88"/>
    <n v="1"/>
    <x v="0"/>
    <n v="15"/>
    <n v="49.980000000000018"/>
    <n v="1.0101010101010102E-2"/>
    <n v="5.799085698373288E-2"/>
  </r>
  <r>
    <s v="PO-00893"/>
    <x v="1"/>
    <x v="0"/>
    <x v="47"/>
    <d v="2023-03-31T00:00:00"/>
    <x v="0"/>
    <n v="222"/>
    <x v="890"/>
    <n v="3696.79"/>
    <n v="0"/>
    <x v="0"/>
    <n v="20"/>
    <n v="81.670000000000073"/>
    <n v="0"/>
    <n v="2.1614626064587177E-2"/>
  </r>
  <r>
    <s v="PO-00894"/>
    <x v="5"/>
    <x v="4"/>
    <x v="464"/>
    <d v="2024-07-23T00:00:00"/>
    <x v="0"/>
    <n v="52"/>
    <x v="891"/>
    <n v="46713.78"/>
    <n v="0"/>
    <x v="0"/>
    <n v="20"/>
    <n v="834.37000000000262"/>
    <n v="0"/>
    <n v="1.7547896185235442E-2"/>
  </r>
  <r>
    <s v="PO-00895"/>
    <x v="3"/>
    <x v="8"/>
    <x v="38"/>
    <d v="2023-12-30T00:00:00"/>
    <x v="3"/>
    <n v="99"/>
    <x v="892"/>
    <n v="8764.1299999999992"/>
    <n v="0"/>
    <x v="0"/>
    <n v="28"/>
    <n v="45.130000000001019"/>
    <n v="0"/>
    <n v="5.123018278493428E-3"/>
  </r>
  <r>
    <s v="PO-00896"/>
    <x v="3"/>
    <x v="1"/>
    <x v="179"/>
    <d v="2023-08-14T00:00:00"/>
    <x v="0"/>
    <n v="124"/>
    <x v="893"/>
    <n v="5405.93"/>
    <n v="1"/>
    <x v="0"/>
    <n v="3"/>
    <n v="209.77999999999975"/>
    <n v="8.0645161290322578E-3"/>
    <n v="3.7355917595459837E-2"/>
  </r>
  <r>
    <s v="PO-00897"/>
    <x v="0"/>
    <x v="9"/>
    <x v="202"/>
    <d v="2024-10-12T00:00:00"/>
    <x v="0"/>
    <n v="168"/>
    <x v="894"/>
    <n v="6295.67"/>
    <n v="5"/>
    <x v="0"/>
    <n v="2"/>
    <n v="224.81999999999971"/>
    <n v="2.976190476190476E-2"/>
    <n v="3.447900387854283E-2"/>
  </r>
  <r>
    <s v="PO-00898"/>
    <x v="0"/>
    <x v="4"/>
    <x v="522"/>
    <d v="2024-08-26T00:00:00"/>
    <x v="0"/>
    <n v="19"/>
    <x v="895"/>
    <n v="46651.24"/>
    <n v="0"/>
    <x v="0"/>
    <n v="12"/>
    <n v="1214.3400000000038"/>
    <n v="0"/>
    <n v="2.5369795999547144E-2"/>
  </r>
  <r>
    <s v="PO-00899"/>
    <x v="1"/>
    <x v="0"/>
    <x v="195"/>
    <s v="Not Yet Delivered"/>
    <x v="2"/>
    <n v="273"/>
    <x v="896"/>
    <n v="3931.15"/>
    <n v="2"/>
    <x v="0"/>
    <s v="Not Applicable"/>
    <n v="120.61000000000013"/>
    <n v="7.326007326007326E-3"/>
    <n v="2.9767310995715474E-2"/>
  </r>
  <r>
    <s v="PO-00900"/>
    <x v="3"/>
    <x v="6"/>
    <x v="205"/>
    <d v="2024-11-09T00:00:00"/>
    <x v="0"/>
    <n v="206"/>
    <x v="897"/>
    <n v="543.80999999999995"/>
    <n v="4"/>
    <x v="0"/>
    <n v="4"/>
    <n v="6.4900000000000091"/>
    <n v="1.9417475728155338E-2"/>
    <n v="1.1793567145193548E-2"/>
  </r>
  <r>
    <s v="PO-00901"/>
    <x v="0"/>
    <x v="2"/>
    <x v="251"/>
    <s v="Not Yet Delivered"/>
    <x v="2"/>
    <n v="44"/>
    <x v="898"/>
    <n v="118.45"/>
    <n v="2"/>
    <x v="0"/>
    <s v="Not Applicable"/>
    <n v="4.4299999999999926"/>
    <n v="4.5454545454545456E-2"/>
    <n v="3.6051432291666609E-2"/>
  </r>
  <r>
    <s v="PO-00902"/>
    <x v="1"/>
    <x v="10"/>
    <x v="502"/>
    <d v="2024-02-13T00:00:00"/>
    <x v="3"/>
    <n v="448"/>
    <x v="899"/>
    <n v="50320.69"/>
    <n v="2"/>
    <x v="0"/>
    <n v="28"/>
    <n v="1226.0499999999956"/>
    <n v="4.464285714285714E-3"/>
    <n v="2.3785209307125837E-2"/>
  </r>
  <r>
    <s v="PO-00903"/>
    <x v="6"/>
    <x v="2"/>
    <x v="298"/>
    <d v="2024-05-06T00:00:00"/>
    <x v="0"/>
    <n v="148"/>
    <x v="900"/>
    <n v="129.88"/>
    <n v="0"/>
    <x v="0"/>
    <n v="11"/>
    <n v="4.4000000000000057"/>
    <n v="0"/>
    <n v="3.2767351802204393E-2"/>
  </r>
  <r>
    <s v="PO-00904"/>
    <x v="0"/>
    <x v="4"/>
    <x v="230"/>
    <d v="2023-06-24T00:00:00"/>
    <x v="0"/>
    <n v="359"/>
    <x v="901"/>
    <n v="47109.77"/>
    <n v="2"/>
    <x v="0"/>
    <n v="20"/>
    <n v="1713.0500000000029"/>
    <n v="5.5710306406685237E-3"/>
    <n v="3.508707608450317E-2"/>
  </r>
  <r>
    <s v="PO-00905"/>
    <x v="3"/>
    <x v="2"/>
    <x v="161"/>
    <d v="2024-01-07T00:00:00"/>
    <x v="0"/>
    <n v="427"/>
    <x v="902"/>
    <n v="125.02"/>
    <n v="5"/>
    <x v="0"/>
    <n v="19"/>
    <n v="3.3400000000000176"/>
    <n v="1.1709601873536301E-2"/>
    <n v="2.6020567154877043E-2"/>
  </r>
  <r>
    <s v="PO-00906"/>
    <x v="1"/>
    <x v="2"/>
    <x v="523"/>
    <d v="2023-10-11T00:00:00"/>
    <x v="0"/>
    <n v="321"/>
    <x v="903"/>
    <n v="107.87"/>
    <n v="1"/>
    <x v="0"/>
    <n v="17"/>
    <n v="4.0799999999999983"/>
    <n v="3.1152647975077881E-3"/>
    <n v="3.644484144707457E-2"/>
  </r>
  <r>
    <s v="PO-00907"/>
    <x v="1"/>
    <x v="10"/>
    <x v="524"/>
    <d v="2023-04-06T00:00:00"/>
    <x v="0"/>
    <n v="66"/>
    <x v="904"/>
    <n v="49251.57"/>
    <n v="0"/>
    <x v="0"/>
    <n v="10"/>
    <n v="1614.2200000000012"/>
    <n v="0"/>
    <n v="3.1734885076983986E-2"/>
  </r>
  <r>
    <s v="PO-00908"/>
    <x v="4"/>
    <x v="3"/>
    <x v="525"/>
    <d v="2023-06-04T00:00:00"/>
    <x v="0"/>
    <n v="150"/>
    <x v="905"/>
    <n v="10324.049999999999"/>
    <n v="1"/>
    <x v="0"/>
    <n v="11"/>
    <n v="649.43000000000029"/>
    <n v="6.6666666666666671E-3"/>
    <n v="5.9181772783109855E-2"/>
  </r>
  <r>
    <s v="PO-00909"/>
    <x v="3"/>
    <x v="4"/>
    <x v="397"/>
    <d v="2024-01-15T00:00:00"/>
    <x v="0"/>
    <n v="187"/>
    <x v="906"/>
    <n v="44926.41"/>
    <n v="0"/>
    <x v="0"/>
    <n v="12"/>
    <n v="2455.2099999999991"/>
    <n v="0"/>
    <n v="5.1817772376714831E-2"/>
  </r>
  <r>
    <s v="PO-00910"/>
    <x v="4"/>
    <x v="9"/>
    <x v="526"/>
    <d v="2024-01-09T00:00:00"/>
    <x v="0"/>
    <n v="206"/>
    <x v="907"/>
    <n v="5924.27"/>
    <n v="1"/>
    <x v="1"/>
    <n v="10"/>
    <n v="5.5399999999999636"/>
    <n v="4.8543689320388345E-3"/>
    <n v="9.3426264922484245E-4"/>
  </r>
  <r>
    <s v="PO-00911"/>
    <x v="2"/>
    <x v="3"/>
    <x v="527"/>
    <d v="2024-12-27T00:00:00"/>
    <x v="0"/>
    <n v="467"/>
    <x v="908"/>
    <m/>
    <n v="3"/>
    <x v="0"/>
    <n v="21"/>
    <n v="12062.78"/>
    <n v="6.4239828693790149E-3"/>
    <n v="1"/>
  </r>
  <r>
    <s v="PO-00912"/>
    <x v="2"/>
    <x v="8"/>
    <x v="254"/>
    <d v="2025-01-01T00:00:00"/>
    <x v="0"/>
    <n v="96"/>
    <x v="909"/>
    <n v="7973.29"/>
    <n v="0"/>
    <x v="0"/>
    <n v="4"/>
    <n v="249.57000000000062"/>
    <n v="0"/>
    <n v="3.0350753873956336E-2"/>
  </r>
  <r>
    <s v="PO-00913"/>
    <x v="2"/>
    <x v="10"/>
    <x v="422"/>
    <d v="2023-06-20T00:00:00"/>
    <x v="0"/>
    <n v="376"/>
    <x v="910"/>
    <n v="49577.62"/>
    <n v="3"/>
    <x v="0"/>
    <n v="8"/>
    <n v="1587.0899999999965"/>
    <n v="7.9787234042553185E-3"/>
    <n v="3.1019231810362972E-2"/>
  </r>
  <r>
    <s v="PO-00914"/>
    <x v="2"/>
    <x v="8"/>
    <x v="528"/>
    <d v="2023-11-16T00:00:00"/>
    <x v="0"/>
    <n v="343"/>
    <x v="911"/>
    <n v="7840.2"/>
    <n v="1"/>
    <x v="0"/>
    <n v="13"/>
    <n v="93.720000000000255"/>
    <n v="2.9154518950437317E-3"/>
    <n v="1.1812571843426737E-2"/>
  </r>
  <r>
    <s v="PO-00915"/>
    <x v="6"/>
    <x v="2"/>
    <x v="529"/>
    <d v="2024-04-24T00:00:00"/>
    <x v="0"/>
    <n v="239"/>
    <x v="912"/>
    <n v="130.11000000000001"/>
    <n v="0"/>
    <x v="0"/>
    <n v="16"/>
    <n v="2.1199999999999761"/>
    <n v="0"/>
    <n v="1.603267034712226E-2"/>
  </r>
  <r>
    <s v="PO-00916"/>
    <x v="7"/>
    <x v="0"/>
    <x v="530"/>
    <s v="Not Yet Delivered"/>
    <x v="1"/>
    <n v="353"/>
    <x v="913"/>
    <n v="4026.65"/>
    <n v="2"/>
    <x v="0"/>
    <s v="Not Applicable"/>
    <n v="86.919999999999618"/>
    <n v="5.6657223796033997E-3"/>
    <n v="2.1130064639716749E-2"/>
  </r>
  <r>
    <s v="PO-00917"/>
    <x v="1"/>
    <x v="0"/>
    <x v="414"/>
    <d v="2023-04-13T00:00:00"/>
    <x v="3"/>
    <n v="40"/>
    <x v="914"/>
    <n v="3796.02"/>
    <n v="0"/>
    <x v="0"/>
    <n v="22"/>
    <n v="215.21000000000004"/>
    <n v="0"/>
    <n v="5.3651872368325935E-2"/>
  </r>
  <r>
    <s v="PO-00918"/>
    <x v="5"/>
    <x v="2"/>
    <x v="383"/>
    <d v="2024-08-27T00:00:00"/>
    <x v="0"/>
    <n v="394"/>
    <x v="915"/>
    <n v="112.87"/>
    <n v="3"/>
    <x v="0"/>
    <n v="14"/>
    <n v="6.3399999999999892"/>
    <n v="7.6142131979695434E-3"/>
    <n v="5.3183457763610345E-2"/>
  </r>
  <r>
    <s v="PO-00919"/>
    <x v="4"/>
    <x v="8"/>
    <x v="56"/>
    <s v="Not Yet Delivered"/>
    <x v="1"/>
    <n v="429"/>
    <x v="916"/>
    <n v="7226.08"/>
    <n v="2"/>
    <x v="1"/>
    <s v="Not Applicable"/>
    <n v="278.53999999999996"/>
    <n v="4.662004662004662E-3"/>
    <n v="3.7115803331814266E-2"/>
  </r>
  <r>
    <s v="PO-00920"/>
    <x v="6"/>
    <x v="8"/>
    <x v="16"/>
    <d v="2024-03-05T00:00:00"/>
    <x v="0"/>
    <n v="161"/>
    <x v="917"/>
    <n v="8562.11"/>
    <n v="1"/>
    <x v="0"/>
    <n v="27"/>
    <n v="447.94999999999891"/>
    <n v="6.2111801242236021E-3"/>
    <n v="4.9716650055604397E-2"/>
  </r>
  <r>
    <s v="PO-00921"/>
    <x v="6"/>
    <x v="4"/>
    <x v="531"/>
    <d v="2024-05-22T00:00:00"/>
    <x v="0"/>
    <n v="175"/>
    <x v="918"/>
    <n v="48613.8"/>
    <n v="6"/>
    <x v="0"/>
    <n v="30"/>
    <n v="355.86999999999534"/>
    <n v="3.4285714285714287E-2"/>
    <n v="7.267151279557231E-3"/>
  </r>
  <r>
    <s v="PO-00922"/>
    <x v="7"/>
    <x v="0"/>
    <x v="532"/>
    <s v="Not Yet Delivered"/>
    <x v="1"/>
    <n v="162"/>
    <x v="919"/>
    <m/>
    <n v="2"/>
    <x v="0"/>
    <s v="Not Applicable"/>
    <n v="4209.96"/>
    <n v="1.2345679012345678E-2"/>
    <n v="1"/>
  </r>
  <r>
    <s v="PO-00923"/>
    <x v="1"/>
    <x v="3"/>
    <x v="231"/>
    <d v="2023-05-12T00:00:00"/>
    <x v="3"/>
    <n v="303"/>
    <x v="920"/>
    <n v="11855.38"/>
    <n v="6"/>
    <x v="0"/>
    <n v="10"/>
    <n v="479.57000000000153"/>
    <n v="1.9801980198019802E-2"/>
    <n v="3.8878957758239921E-2"/>
  </r>
  <r>
    <s v="PO-00924"/>
    <x v="1"/>
    <x v="3"/>
    <x v="388"/>
    <d v="2024-02-29T00:00:00"/>
    <x v="3"/>
    <n v="12"/>
    <x v="921"/>
    <n v="11125.43"/>
    <n v="0"/>
    <x v="0"/>
    <n v="14"/>
    <n v="356.28999999999905"/>
    <n v="0"/>
    <n v="3.1031065032068286E-2"/>
  </r>
  <r>
    <s v="PO-00925"/>
    <x v="4"/>
    <x v="9"/>
    <x v="533"/>
    <s v="Not Yet Delivered"/>
    <x v="1"/>
    <n v="153"/>
    <x v="922"/>
    <n v="5578.66"/>
    <n v="2"/>
    <x v="0"/>
    <s v="Not Applicable"/>
    <n v="239.17000000000007"/>
    <n v="1.3071895424836602E-2"/>
    <n v="4.1109829610009245E-2"/>
  </r>
  <r>
    <s v="PO-00926"/>
    <x v="0"/>
    <x v="3"/>
    <x v="60"/>
    <d v="2023-09-18T00:00:00"/>
    <x v="0"/>
    <n v="216"/>
    <x v="923"/>
    <n v="12931.82"/>
    <n v="4"/>
    <x v="0"/>
    <n v="12"/>
    <n v="563.98999999999978"/>
    <n v="1.8518518518518517E-2"/>
    <n v="4.1790007417116852E-2"/>
  </r>
  <r>
    <s v="PO-00927"/>
    <x v="7"/>
    <x v="5"/>
    <x v="399"/>
    <d v="2024-06-12T00:00:00"/>
    <x v="0"/>
    <n v="92"/>
    <x v="924"/>
    <n v="858.11"/>
    <n v="0"/>
    <x v="0"/>
    <n v="15"/>
    <n v="51.490000000000009"/>
    <n v="0"/>
    <n v="5.6607299912049262E-2"/>
  </r>
  <r>
    <s v="PO-00928"/>
    <x v="5"/>
    <x v="0"/>
    <x v="71"/>
    <s v="Not Yet Delivered"/>
    <x v="2"/>
    <n v="142"/>
    <x v="925"/>
    <n v="4106.97"/>
    <n v="2"/>
    <x v="0"/>
    <s v="Not Applicable"/>
    <n v="205.38999999999942"/>
    <n v="1.4084507042253521E-2"/>
    <n v="4.7628212857924533E-2"/>
  </r>
  <r>
    <s v="PO-00929"/>
    <x v="0"/>
    <x v="9"/>
    <x v="534"/>
    <d v="2023-06-19T00:00:00"/>
    <x v="3"/>
    <n v="361"/>
    <x v="926"/>
    <n v="6338.11"/>
    <n v="3"/>
    <x v="0"/>
    <n v="8"/>
    <n v="86.130000000000109"/>
    <n v="8.3102493074792248E-3"/>
    <n v="1.3407033361144682E-2"/>
  </r>
  <r>
    <s v="PO-00930"/>
    <x v="6"/>
    <x v="9"/>
    <x v="535"/>
    <d v="2024-06-23T00:00:00"/>
    <x v="0"/>
    <n v="498"/>
    <x v="927"/>
    <n v="6935.4"/>
    <n v="16"/>
    <x v="0"/>
    <n v="7"/>
    <n v="318.1200000000008"/>
    <n v="3.2128514056224897E-2"/>
    <n v="4.3857327201138316E-2"/>
  </r>
  <r>
    <s v="PO-00931"/>
    <x v="3"/>
    <x v="4"/>
    <x v="536"/>
    <d v="2024-05-17T00:00:00"/>
    <x v="0"/>
    <n v="37"/>
    <x v="928"/>
    <n v="45796.32"/>
    <n v="0"/>
    <x v="0"/>
    <n v="4"/>
    <n v="818.0199999999968"/>
    <n v="0"/>
    <n v="1.7548677080915377E-2"/>
  </r>
  <r>
    <s v="PO-00932"/>
    <x v="5"/>
    <x v="9"/>
    <x v="168"/>
    <d v="2023-01-19T00:00:00"/>
    <x v="0"/>
    <n v="323"/>
    <x v="929"/>
    <n v="6491.65"/>
    <n v="3"/>
    <x v="0"/>
    <n v="7"/>
    <n v="243.42000000000007"/>
    <n v="9.2879256965944269E-3"/>
    <n v="3.6142163333120529E-2"/>
  </r>
  <r>
    <s v="PO-00933"/>
    <x v="0"/>
    <x v="5"/>
    <x v="137"/>
    <d v="2024-06-24T00:00:00"/>
    <x v="0"/>
    <n v="130"/>
    <x v="930"/>
    <n v="929.82"/>
    <n v="1"/>
    <x v="0"/>
    <n v="25"/>
    <n v="3.4699999999999136"/>
    <n v="7.6923076923076927E-3"/>
    <n v="3.7180297656675991E-3"/>
  </r>
  <r>
    <s v="PO-00934"/>
    <x v="6"/>
    <x v="8"/>
    <x v="537"/>
    <d v="2024-01-19T00:00:00"/>
    <x v="0"/>
    <n v="79"/>
    <x v="931"/>
    <n v="8940.49"/>
    <n v="0"/>
    <x v="0"/>
    <n v="30"/>
    <n v="145.71000000000095"/>
    <n v="0"/>
    <n v="1.6036406858752936E-2"/>
  </r>
  <r>
    <s v="PO-00935"/>
    <x v="6"/>
    <x v="8"/>
    <x v="482"/>
    <d v="2023-03-12T00:00:00"/>
    <x v="0"/>
    <n v="97"/>
    <x v="932"/>
    <n v="9306.5499999999993"/>
    <n v="0"/>
    <x v="0"/>
    <n v="29"/>
    <n v="370.76000000000022"/>
    <n v="0"/>
    <n v="3.8312299595652119E-2"/>
  </r>
  <r>
    <s v="PO-00936"/>
    <x v="6"/>
    <x v="10"/>
    <x v="82"/>
    <d v="2023-04-28T00:00:00"/>
    <x v="0"/>
    <n v="330"/>
    <x v="933"/>
    <n v="52772.07"/>
    <n v="2"/>
    <x v="0"/>
    <n v="23"/>
    <n v="369.08000000000175"/>
    <n v="6.0606060606060606E-3"/>
    <n v="6.9452768711253283E-3"/>
  </r>
  <r>
    <s v="PO-00937"/>
    <x v="7"/>
    <x v="1"/>
    <x v="45"/>
    <d v="2023-04-05T00:00:00"/>
    <x v="3"/>
    <n v="129"/>
    <x v="934"/>
    <n v="5019.3599999999997"/>
    <n v="2"/>
    <x v="0"/>
    <n v="21"/>
    <n v="281.99000000000069"/>
    <n v="1.5503875968992248E-2"/>
    <n v="5.3192111443311735E-2"/>
  </r>
  <r>
    <s v="PO-00938"/>
    <x v="0"/>
    <x v="5"/>
    <x v="538"/>
    <d v="2024-04-02T00:00:00"/>
    <x v="0"/>
    <n v="398"/>
    <x v="935"/>
    <n v="883.2"/>
    <n v="3"/>
    <x v="0"/>
    <n v="3"/>
    <n v="27.6099999999999"/>
    <n v="7.537688442211055E-3"/>
    <n v="3.0313676837100935E-2"/>
  </r>
  <r>
    <s v="PO-00939"/>
    <x v="2"/>
    <x v="8"/>
    <x v="402"/>
    <d v="2024-09-23T00:00:00"/>
    <x v="0"/>
    <n v="282"/>
    <x v="936"/>
    <n v="7869.96"/>
    <n v="1"/>
    <x v="0"/>
    <n v="10"/>
    <n v="124.56999999999971"/>
    <n v="3.5460992907801418E-3"/>
    <n v="1.5581904126946764E-2"/>
  </r>
  <r>
    <s v="PO-00940"/>
    <x v="7"/>
    <x v="6"/>
    <x v="206"/>
    <d v="2024-10-26T00:00:00"/>
    <x v="0"/>
    <n v="43"/>
    <x v="937"/>
    <n v="530.77"/>
    <n v="0"/>
    <x v="0"/>
    <n v="14"/>
    <n v="23.850000000000023"/>
    <n v="0"/>
    <n v="4.3002416068659663E-2"/>
  </r>
  <r>
    <s v="PO-00941"/>
    <x v="3"/>
    <x v="2"/>
    <x v="229"/>
    <d v="2024-05-23T00:00:00"/>
    <x v="0"/>
    <n v="9"/>
    <x v="938"/>
    <n v="120.51"/>
    <n v="1"/>
    <x v="0"/>
    <n v="23"/>
    <n v="1.5300000000000011"/>
    <n v="0.1111111111111111"/>
    <n v="1.2536873156342191E-2"/>
  </r>
  <r>
    <s v="PO-00942"/>
    <x v="5"/>
    <x v="8"/>
    <x v="213"/>
    <d v="2024-10-16T00:00:00"/>
    <x v="0"/>
    <n v="238"/>
    <x v="939"/>
    <n v="7915.03"/>
    <n v="0"/>
    <x v="0"/>
    <n v="18"/>
    <n v="485.80000000000018"/>
    <n v="0"/>
    <n v="5.7827619413796043E-2"/>
  </r>
  <r>
    <s v="PO-00943"/>
    <x v="1"/>
    <x v="9"/>
    <x v="539"/>
    <d v="2023-06-01T00:00:00"/>
    <x v="0"/>
    <n v="364"/>
    <x v="940"/>
    <n v="6056.63"/>
    <n v="4"/>
    <x v="0"/>
    <n v="20"/>
    <n v="343.46000000000004"/>
    <n v="1.098901098901099E-2"/>
    <n v="5.3664870337760878E-2"/>
  </r>
  <r>
    <s v="PO-00944"/>
    <x v="7"/>
    <x v="7"/>
    <x v="540"/>
    <d v="2023-02-06T00:00:00"/>
    <x v="0"/>
    <n v="230"/>
    <x v="941"/>
    <n v="11669.78"/>
    <n v="0"/>
    <x v="0"/>
    <n v="18"/>
    <n v="197.96999999999935"/>
    <n v="0"/>
    <n v="1.6681342293189471E-2"/>
  </r>
  <r>
    <s v="PO-00945"/>
    <x v="7"/>
    <x v="3"/>
    <x v="239"/>
    <d v="2024-03-27T00:00:00"/>
    <x v="0"/>
    <n v="325"/>
    <x v="942"/>
    <n v="12692.15"/>
    <n v="7"/>
    <x v="1"/>
    <n v="9"/>
    <n v="152.15999999999985"/>
    <n v="2.1538461538461538E-2"/>
    <n v="1.184649078074259E-2"/>
  </r>
  <r>
    <s v="PO-00946"/>
    <x v="1"/>
    <x v="10"/>
    <x v="371"/>
    <d v="2024-05-31T00:00:00"/>
    <x v="0"/>
    <n v="345"/>
    <x v="943"/>
    <n v="45912.33"/>
    <n v="1"/>
    <x v="1"/>
    <n v="26"/>
    <n v="365.69999999999709"/>
    <n v="2.8985507246376812E-3"/>
    <n v="7.9022378437456631E-3"/>
  </r>
  <r>
    <s v="PO-00947"/>
    <x v="6"/>
    <x v="1"/>
    <x v="541"/>
    <d v="2024-07-11T00:00:00"/>
    <x v="0"/>
    <n v="257"/>
    <x v="944"/>
    <n v="5283.49"/>
    <n v="2"/>
    <x v="0"/>
    <n v="29"/>
    <n v="221.19000000000051"/>
    <n v="7.7821011673151752E-3"/>
    <n v="4.0182172260694628E-2"/>
  </r>
  <r>
    <s v="PO-00948"/>
    <x v="5"/>
    <x v="11"/>
    <x v="542"/>
    <d v="2024-12-29T00:00:00"/>
    <x v="0"/>
    <n v="220"/>
    <x v="945"/>
    <n v="14370.13"/>
    <n v="1"/>
    <x v="1"/>
    <n v="17"/>
    <n v="273.25"/>
    <n v="4.5454545454545452E-3"/>
    <n v="1.8660309300175235E-2"/>
  </r>
  <r>
    <s v="PO-00949"/>
    <x v="7"/>
    <x v="8"/>
    <x v="4"/>
    <d v="2024-01-07T00:00:00"/>
    <x v="0"/>
    <n v="370"/>
    <x v="946"/>
    <n v="8322.9699999999993"/>
    <n v="0"/>
    <x v="0"/>
    <n v="26"/>
    <n v="26.630000000001019"/>
    <n v="0"/>
    <n v="3.1893743412859318E-3"/>
  </r>
  <r>
    <s v="PO-00950"/>
    <x v="7"/>
    <x v="6"/>
    <x v="264"/>
    <d v="2023-09-26T00:00:00"/>
    <x v="0"/>
    <n v="16"/>
    <x v="947"/>
    <n v="520.73"/>
    <n v="0"/>
    <x v="0"/>
    <n v="17"/>
    <n v="15.889999999999986"/>
    <n v="0"/>
    <n v="2.961127054526478E-2"/>
  </r>
  <r>
    <s v="PO-00951"/>
    <x v="3"/>
    <x v="11"/>
    <x v="238"/>
    <d v="2024-01-26T00:00:00"/>
    <x v="0"/>
    <n v="39"/>
    <x v="948"/>
    <n v="13785.26"/>
    <n v="0"/>
    <x v="0"/>
    <n v="26"/>
    <n v="724.07999999999993"/>
    <n v="0"/>
    <n v="4.9904406403047961E-2"/>
  </r>
  <r>
    <s v="PO-00952"/>
    <x v="7"/>
    <x v="1"/>
    <x v="343"/>
    <d v="2024-08-27T00:00:00"/>
    <x v="0"/>
    <n v="125"/>
    <x v="949"/>
    <n v="4770.6400000000003"/>
    <n v="2"/>
    <x v="0"/>
    <n v="22"/>
    <n v="268.78999999999996"/>
    <n v="1.6E-2"/>
    <n v="5.3337381410199163E-2"/>
  </r>
  <r>
    <s v="PO-00953"/>
    <x v="3"/>
    <x v="10"/>
    <x v="40"/>
    <d v="2024-10-10T00:00:00"/>
    <x v="0"/>
    <n v="188"/>
    <x v="950"/>
    <n v="48247.85"/>
    <n v="2"/>
    <x v="0"/>
    <n v="23"/>
    <n v="1765.2200000000012"/>
    <n v="1.0638297872340425E-2"/>
    <n v="3.5295173841557843E-2"/>
  </r>
  <r>
    <s v="PO-00954"/>
    <x v="0"/>
    <x v="3"/>
    <x v="282"/>
    <s v="Not Yet Delivered"/>
    <x v="1"/>
    <n v="226"/>
    <x v="951"/>
    <n v="12074.66"/>
    <n v="2"/>
    <x v="0"/>
    <s v="Not Applicable"/>
    <n v="279.64999999999964"/>
    <n v="8.8495575221238937E-3"/>
    <n v="2.2635825068336446E-2"/>
  </r>
  <r>
    <s v="PO-00955"/>
    <x v="5"/>
    <x v="10"/>
    <x v="183"/>
    <d v="2024-11-05T00:00:00"/>
    <x v="3"/>
    <n v="317"/>
    <x v="952"/>
    <n v="48511.28"/>
    <n v="1"/>
    <x v="0"/>
    <n v="28"/>
    <n v="2413.2900000000009"/>
    <n v="3.1545741324921135E-3"/>
    <n v="4.7389501767025249E-2"/>
  </r>
  <r>
    <s v="PO-00956"/>
    <x v="0"/>
    <x v="0"/>
    <x v="224"/>
    <d v="2024-01-19T00:00:00"/>
    <x v="0"/>
    <n v="308"/>
    <x v="953"/>
    <n v="4319.6499999999996"/>
    <n v="1"/>
    <x v="0"/>
    <n v="27"/>
    <n v="257.40000000000055"/>
    <n v="3.246753246753247E-3"/>
    <n v="5.6237095946078924E-2"/>
  </r>
  <r>
    <s v="PO-00957"/>
    <x v="1"/>
    <x v="8"/>
    <x v="320"/>
    <d v="2023-07-06T00:00:00"/>
    <x v="0"/>
    <n v="99"/>
    <x v="954"/>
    <n v="7466.43"/>
    <n v="4"/>
    <x v="0"/>
    <n v="3"/>
    <n v="179.46999999999935"/>
    <n v="4.0404040404040407E-2"/>
    <n v="2.3472710864646328E-2"/>
  </r>
  <r>
    <s v="PO-00958"/>
    <x v="1"/>
    <x v="4"/>
    <x v="543"/>
    <s v="Not Yet Delivered"/>
    <x v="2"/>
    <n v="129"/>
    <x v="955"/>
    <n v="42162.19"/>
    <n v="2"/>
    <x v="0"/>
    <s v="Not Applicable"/>
    <n v="2639.8499999999985"/>
    <n v="1.5503875968992248E-2"/>
    <n v="5.8922540134333137E-2"/>
  </r>
  <r>
    <s v="PO-00959"/>
    <x v="3"/>
    <x v="5"/>
    <x v="433"/>
    <s v="Not Yet Delivered"/>
    <x v="2"/>
    <n v="96"/>
    <x v="956"/>
    <n v="848.1"/>
    <n v="2"/>
    <x v="0"/>
    <s v="Not Applicable"/>
    <n v="25.100000000000023"/>
    <n v="2.0833333333333332E-2"/>
    <n v="2.8744846541456735E-2"/>
  </r>
  <r>
    <s v="PO-00960"/>
    <x v="4"/>
    <x v="1"/>
    <x v="92"/>
    <d v="2023-07-20T00:00:00"/>
    <x v="0"/>
    <n v="301"/>
    <x v="957"/>
    <n v="4367.7700000000004"/>
    <n v="0"/>
    <x v="0"/>
    <n v="23"/>
    <n v="140.82999999999993"/>
    <n v="0"/>
    <n v="3.1235860355764519E-2"/>
  </r>
  <r>
    <s v="PO-00961"/>
    <x v="5"/>
    <x v="3"/>
    <x v="544"/>
    <d v="2024-03-09T00:00:00"/>
    <x v="0"/>
    <n v="119"/>
    <x v="958"/>
    <n v="12119.97"/>
    <n v="5"/>
    <x v="0"/>
    <n v="19"/>
    <n v="392.84000000000015"/>
    <n v="4.2016806722689079E-2"/>
    <n v="3.1395026376968893E-2"/>
  </r>
  <r>
    <s v="PO-00962"/>
    <x v="6"/>
    <x v="3"/>
    <x v="151"/>
    <d v="2024-09-13T00:00:00"/>
    <x v="0"/>
    <n v="479"/>
    <x v="959"/>
    <n v="12236.42"/>
    <n v="5"/>
    <x v="0"/>
    <n v="21"/>
    <n v="732.02000000000044"/>
    <n v="1.0438413361169102E-2"/>
    <n v="5.6446264932405163E-2"/>
  </r>
  <r>
    <s v="PO-00963"/>
    <x v="1"/>
    <x v="6"/>
    <x v="57"/>
    <d v="2024-03-21T00:00:00"/>
    <x v="0"/>
    <n v="340"/>
    <x v="960"/>
    <n v="515.64"/>
    <n v="6"/>
    <x v="0"/>
    <n v="9"/>
    <n v="14.029999999999973"/>
    <n v="1.7647058823529412E-2"/>
    <n v="2.6488190760284656E-2"/>
  </r>
  <r>
    <s v="PO-00964"/>
    <x v="3"/>
    <x v="8"/>
    <x v="203"/>
    <d v="2024-12-20T00:00:00"/>
    <x v="0"/>
    <n v="264"/>
    <x v="961"/>
    <n v="8847.4500000000007"/>
    <n v="1"/>
    <x v="0"/>
    <n v="19"/>
    <n v="281.32999999999993"/>
    <n v="3.787878787878788E-3"/>
    <n v="3.081791871422029E-2"/>
  </r>
  <r>
    <s v="PO-00965"/>
    <x v="3"/>
    <x v="0"/>
    <x v="545"/>
    <s v="Not Yet Delivered"/>
    <x v="2"/>
    <n v="421"/>
    <x v="962"/>
    <n v="4364.05"/>
    <n v="2"/>
    <x v="0"/>
    <s v="Not Applicable"/>
    <n v="50.010000000000218"/>
    <n v="4.7505938242280287E-3"/>
    <n v="1.1329705531868668E-2"/>
  </r>
  <r>
    <s v="PO-00966"/>
    <x v="4"/>
    <x v="6"/>
    <x v="546"/>
    <d v="2023-10-17T00:00:00"/>
    <x v="0"/>
    <n v="175"/>
    <x v="963"/>
    <n v="510.18"/>
    <n v="0"/>
    <x v="0"/>
    <n v="18"/>
    <n v="16.109999999999957"/>
    <n v="0"/>
    <n v="3.0610499914495732E-2"/>
  </r>
  <r>
    <s v="PO-00967"/>
    <x v="1"/>
    <x v="11"/>
    <x v="122"/>
    <d v="2024-12-11T00:00:00"/>
    <x v="0"/>
    <n v="28"/>
    <x v="964"/>
    <n v="12429.8"/>
    <n v="0"/>
    <x v="1"/>
    <n v="7"/>
    <n v="599.29000000000087"/>
    <n v="0"/>
    <n v="4.5996305190922841E-2"/>
  </r>
  <r>
    <s v="PO-00968"/>
    <x v="4"/>
    <x v="10"/>
    <x v="343"/>
    <d v="2024-08-31T00:00:00"/>
    <x v="3"/>
    <n v="218"/>
    <x v="965"/>
    <n v="43905.42"/>
    <n v="2"/>
    <x v="0"/>
    <n v="26"/>
    <n v="1425.0299999999988"/>
    <n v="9.1743119266055051E-3"/>
    <n v="3.1436484747007783E-2"/>
  </r>
  <r>
    <s v="PO-00969"/>
    <x v="5"/>
    <x v="7"/>
    <x v="100"/>
    <d v="2023-08-29T00:00:00"/>
    <x v="0"/>
    <n v="427"/>
    <x v="966"/>
    <n v="11543.71"/>
    <n v="2"/>
    <x v="0"/>
    <n v="14"/>
    <n v="346.04000000000087"/>
    <n v="4.6838407494145199E-3"/>
    <n v="2.9104060219937413E-2"/>
  </r>
  <r>
    <s v="PO-00970"/>
    <x v="0"/>
    <x v="11"/>
    <x v="124"/>
    <d v="2024-09-10T00:00:00"/>
    <x v="0"/>
    <n v="196"/>
    <x v="967"/>
    <n v="14372.33"/>
    <n v="2"/>
    <x v="0"/>
    <n v="15"/>
    <n v="471.71000000000095"/>
    <n v="1.020408163265306E-2"/>
    <n v="3.1777737058105535E-2"/>
  </r>
  <r>
    <s v="PO-00971"/>
    <x v="5"/>
    <x v="9"/>
    <x v="433"/>
    <s v="Not Yet Delivered"/>
    <x v="1"/>
    <n v="362"/>
    <x v="968"/>
    <n v="6111.34"/>
    <n v="2"/>
    <x v="0"/>
    <s v="Not Applicable"/>
    <n v="277.75"/>
    <n v="5.5248618784530384E-3"/>
    <n v="4.3472544603378571E-2"/>
  </r>
  <r>
    <s v="PO-00972"/>
    <x v="6"/>
    <x v="8"/>
    <x v="494"/>
    <s v="Not Yet Delivered"/>
    <x v="2"/>
    <n v="385"/>
    <x v="969"/>
    <n v="8920.43"/>
    <n v="2"/>
    <x v="0"/>
    <s v="Not Applicable"/>
    <n v="301.85000000000036"/>
    <n v="5.1948051948051948E-3"/>
    <n v="3.273051783290036E-2"/>
  </r>
  <r>
    <s v="PO-00973"/>
    <x v="6"/>
    <x v="4"/>
    <x v="547"/>
    <d v="2024-05-19T00:00:00"/>
    <x v="0"/>
    <n v="42"/>
    <x v="970"/>
    <n v="49939.01"/>
    <n v="0"/>
    <x v="0"/>
    <n v="13"/>
    <n v="2045.8899999999994"/>
    <n v="0"/>
    <n v="3.9355466683594645E-2"/>
  </r>
  <r>
    <s v="PO-00974"/>
    <x v="5"/>
    <x v="2"/>
    <x v="548"/>
    <d v="2023-08-11T00:00:00"/>
    <x v="0"/>
    <n v="429"/>
    <x v="971"/>
    <n v="112.01"/>
    <n v="7"/>
    <x v="0"/>
    <n v="15"/>
    <n v="2.9499999999999886"/>
    <n v="1.6317016317016316E-2"/>
    <n v="2.5661099512873944E-2"/>
  </r>
  <r>
    <s v="PO-00975"/>
    <x v="1"/>
    <x v="1"/>
    <x v="549"/>
    <d v="2023-01-28T00:00:00"/>
    <x v="0"/>
    <n v="81"/>
    <x v="972"/>
    <n v="4526.55"/>
    <n v="1"/>
    <x v="1"/>
    <n v="23"/>
    <n v="249.19999999999982"/>
    <n v="1.2345679012345678E-2"/>
    <n v="5.2180285818981272E-2"/>
  </r>
  <r>
    <s v="PO-00976"/>
    <x v="0"/>
    <x v="3"/>
    <x v="497"/>
    <d v="2024-10-29T00:00:00"/>
    <x v="0"/>
    <n v="259"/>
    <x v="973"/>
    <n v="12877.29"/>
    <n v="3"/>
    <x v="0"/>
    <n v="28"/>
    <n v="469.32999999999993"/>
    <n v="1.1583011583011582E-2"/>
    <n v="3.5164708368111169E-2"/>
  </r>
  <r>
    <s v="PO-00977"/>
    <x v="4"/>
    <x v="10"/>
    <x v="550"/>
    <d v="2023-06-10T00:00:00"/>
    <x v="0"/>
    <n v="140"/>
    <x v="974"/>
    <n v="44621.49"/>
    <n v="1"/>
    <x v="0"/>
    <n v="19"/>
    <n v="2126.2000000000044"/>
    <n v="7.1428571428571426E-3"/>
    <n v="4.5482461272418041E-2"/>
  </r>
  <r>
    <s v="PO-00978"/>
    <x v="5"/>
    <x v="9"/>
    <x v="65"/>
    <d v="2023-02-27T00:00:00"/>
    <x v="0"/>
    <n v="19"/>
    <x v="975"/>
    <n v="6366.25"/>
    <n v="0"/>
    <x v="0"/>
    <n v="2"/>
    <n v="245.15999999999985"/>
    <n v="0"/>
    <n v="3.708134875919053E-2"/>
  </r>
  <r>
    <s v="PO-00979"/>
    <x v="6"/>
    <x v="11"/>
    <x v="309"/>
    <d v="2024-12-27T00:00:00"/>
    <x v="0"/>
    <n v="249"/>
    <x v="976"/>
    <n v="14681.7"/>
    <n v="2"/>
    <x v="0"/>
    <n v="28"/>
    <n v="513.5"/>
    <n v="8.0321285140562242E-3"/>
    <n v="3.3793566389386118E-2"/>
  </r>
  <r>
    <s v="PO-00980"/>
    <x v="0"/>
    <x v="2"/>
    <x v="122"/>
    <d v="2024-12-27T00:00:00"/>
    <x v="0"/>
    <n v="236"/>
    <x v="977"/>
    <n v="126.84"/>
    <n v="6"/>
    <x v="0"/>
    <n v="23"/>
    <n v="2.5099999999999909"/>
    <n v="2.5423728813559324E-2"/>
    <n v="1.9404715887127878E-2"/>
  </r>
  <r>
    <s v="PO-00981"/>
    <x v="2"/>
    <x v="2"/>
    <x v="382"/>
    <d v="2023-01-30T00:00:00"/>
    <x v="0"/>
    <n v="19"/>
    <x v="978"/>
    <n v="106.14"/>
    <n v="0"/>
    <x v="0"/>
    <n v="6"/>
    <n v="6.519999999999996"/>
    <n v="0"/>
    <n v="5.787324693768859E-2"/>
  </r>
  <r>
    <s v="PO-00982"/>
    <x v="7"/>
    <x v="5"/>
    <x v="217"/>
    <d v="2024-03-20T00:00:00"/>
    <x v="0"/>
    <n v="249"/>
    <x v="979"/>
    <n v="892.07"/>
    <n v="1"/>
    <x v="0"/>
    <n v="21"/>
    <n v="45.819999999999936"/>
    <n v="4.0160642570281121E-3"/>
    <n v="4.8854343259870495E-2"/>
  </r>
  <r>
    <s v="PO-00983"/>
    <x v="0"/>
    <x v="3"/>
    <x v="528"/>
    <d v="2023-11-26T00:00:00"/>
    <x v="0"/>
    <n v="339"/>
    <x v="980"/>
    <n v="13237.99"/>
    <n v="0"/>
    <x v="0"/>
    <n v="23"/>
    <n v="58.25"/>
    <n v="0"/>
    <n v="4.3809377688730049E-3"/>
  </r>
  <r>
    <s v="PO-00984"/>
    <x v="5"/>
    <x v="11"/>
    <x v="390"/>
    <s v="Not Yet Delivered"/>
    <x v="2"/>
    <n v="341"/>
    <x v="981"/>
    <n v="13661.22"/>
    <n v="2"/>
    <x v="0"/>
    <s v="Not Applicable"/>
    <n v="291.60000000000036"/>
    <n v="5.8651026392961877E-3"/>
    <n v="2.0899001062150903E-2"/>
  </r>
  <r>
    <s v="PO-00985"/>
    <x v="5"/>
    <x v="2"/>
    <x v="502"/>
    <s v="Not Yet Delivered"/>
    <x v="2"/>
    <n v="61"/>
    <x v="982"/>
    <n v="114.47"/>
    <n v="2"/>
    <x v="0"/>
    <s v="Not Applicable"/>
    <n v="5.2900000000000063"/>
    <n v="3.2786885245901641E-2"/>
    <n v="4.4171676686706796E-2"/>
  </r>
  <r>
    <s v="PO-00986"/>
    <x v="7"/>
    <x v="0"/>
    <x v="219"/>
    <d v="2024-07-11T00:00:00"/>
    <x v="0"/>
    <n v="138"/>
    <x v="983"/>
    <n v="3840.48"/>
    <n v="3"/>
    <x v="0"/>
    <n v="9"/>
    <n v="121.82000000000016"/>
    <n v="2.1739130434782608E-2"/>
    <n v="3.074476945208595E-2"/>
  </r>
  <r>
    <s v="PO-00987"/>
    <x v="6"/>
    <x v="0"/>
    <x v="509"/>
    <d v="2024-08-06T00:00:00"/>
    <x v="0"/>
    <n v="429"/>
    <x v="984"/>
    <n v="4345.01"/>
    <n v="7"/>
    <x v="0"/>
    <n v="29"/>
    <n v="232.88000000000011"/>
    <n v="1.6317016317016316E-2"/>
    <n v="5.0870597589719305E-2"/>
  </r>
  <r>
    <s v="PO-00988"/>
    <x v="0"/>
    <x v="1"/>
    <x v="54"/>
    <d v="2024-12-17T00:00:00"/>
    <x v="0"/>
    <n v="490"/>
    <x v="985"/>
    <n v="5543.61"/>
    <n v="10"/>
    <x v="0"/>
    <n v="8"/>
    <n v="115.74000000000069"/>
    <n v="2.0408163265306121E-2"/>
    <n v="2.0451111876805761E-2"/>
  </r>
  <r>
    <s v="PO-00989"/>
    <x v="5"/>
    <x v="2"/>
    <x v="551"/>
    <d v="2023-06-14T00:00:00"/>
    <x v="0"/>
    <n v="353"/>
    <x v="986"/>
    <n v="111.7"/>
    <n v="7"/>
    <x v="0"/>
    <n v="22"/>
    <n v="2.4099999999999966"/>
    <n v="1.9830028328611898E-2"/>
    <n v="2.1119971956883678E-2"/>
  </r>
  <r>
    <s v="PO-00990"/>
    <x v="1"/>
    <x v="5"/>
    <x v="334"/>
    <d v="2024-04-25T00:00:00"/>
    <x v="0"/>
    <n v="97"/>
    <x v="987"/>
    <n v="832.61"/>
    <n v="2"/>
    <x v="0"/>
    <n v="10"/>
    <n v="30.049999999999955"/>
    <n v="2.0618556701030927E-2"/>
    <n v="3.4834117728885026E-2"/>
  </r>
  <r>
    <s v="PO-00991"/>
    <x v="0"/>
    <x v="8"/>
    <x v="515"/>
    <d v="2023-08-02T00:00:00"/>
    <x v="0"/>
    <n v="137"/>
    <x v="988"/>
    <n v="8483.35"/>
    <n v="0"/>
    <x v="0"/>
    <n v="17"/>
    <n v="386.1299999999992"/>
    <n v="0"/>
    <n v="4.353468298028737E-2"/>
  </r>
  <r>
    <s v="PO-00992"/>
    <x v="7"/>
    <x v="4"/>
    <x v="70"/>
    <d v="2024-12-20T00:00:00"/>
    <x v="0"/>
    <n v="303"/>
    <x v="989"/>
    <n v="45592.39"/>
    <n v="3"/>
    <x v="0"/>
    <n v="10"/>
    <n v="951.37000000000262"/>
    <n v="9.9009900990099011E-3"/>
    <n v="2.0440333999659731E-2"/>
  </r>
  <r>
    <s v="PO-00993"/>
    <x v="2"/>
    <x v="10"/>
    <x v="552"/>
    <d v="2023-03-10T00:00:00"/>
    <x v="0"/>
    <n v="315"/>
    <x v="990"/>
    <n v="51415.56"/>
    <n v="1"/>
    <x v="0"/>
    <n v="6"/>
    <n v="742.31000000000495"/>
    <n v="3.1746031746031746E-3"/>
    <n v="1.4231984549982675E-2"/>
  </r>
  <r>
    <s v="PO-00994"/>
    <x v="6"/>
    <x v="1"/>
    <x v="391"/>
    <d v="2023-02-16T00:00:00"/>
    <x v="0"/>
    <n v="447"/>
    <x v="991"/>
    <n v="5261.9"/>
    <n v="6"/>
    <x v="0"/>
    <n v="2"/>
    <n v="22.980000000000473"/>
    <n v="1.3422818791946308E-2"/>
    <n v="4.3482538865594811E-3"/>
  </r>
  <r>
    <s v="PO-00995"/>
    <x v="6"/>
    <x v="8"/>
    <x v="337"/>
    <d v="2023-02-22T00:00:00"/>
    <x v="0"/>
    <n v="270"/>
    <x v="992"/>
    <n v="9302.93"/>
    <n v="2"/>
    <x v="0"/>
    <n v="23"/>
    <n v="295.01000000000022"/>
    <n v="7.4074074074074077E-3"/>
    <n v="3.0736803939178638E-2"/>
  </r>
  <r>
    <s v="PO-00996"/>
    <x v="7"/>
    <x v="0"/>
    <x v="361"/>
    <s v="Not Yet Delivered"/>
    <x v="1"/>
    <n v="262"/>
    <x v="993"/>
    <n v="3779.17"/>
    <n v="2"/>
    <x v="0"/>
    <s v="Not Applicable"/>
    <n v="182.28999999999996"/>
    <n v="7.6335877862595417E-3"/>
    <n v="4.601586283844844E-2"/>
  </r>
  <r>
    <s v="PO-00997"/>
    <x v="7"/>
    <x v="6"/>
    <x v="157"/>
    <d v="2024-02-09T00:00:00"/>
    <x v="0"/>
    <n v="64"/>
    <x v="994"/>
    <n v="507.96"/>
    <n v="2"/>
    <x v="0"/>
    <n v="20"/>
    <n v="15.630000000000052"/>
    <n v="3.125E-2"/>
    <n v="2.985160144387794E-2"/>
  </r>
  <r>
    <s v="PO-00998"/>
    <x v="6"/>
    <x v="8"/>
    <x v="438"/>
    <d v="2023-10-04T00:00:00"/>
    <x v="0"/>
    <n v="250"/>
    <x v="995"/>
    <n v="8934.15"/>
    <n v="7"/>
    <x v="0"/>
    <n v="2"/>
    <n v="437.77000000000044"/>
    <n v="2.8000000000000001E-2"/>
    <n v="4.6710812725674185E-2"/>
  </r>
  <r>
    <s v="PO-00999"/>
    <x v="3"/>
    <x v="3"/>
    <x v="455"/>
    <d v="2024-05-14T00:00:00"/>
    <x v="0"/>
    <n v="147"/>
    <x v="996"/>
    <n v="12828.44"/>
    <n v="0"/>
    <x v="0"/>
    <n v="25"/>
    <n v="513.82999999999993"/>
    <n v="0"/>
    <n v="3.851143770887562E-2"/>
  </r>
  <r>
    <s v="PO-01000"/>
    <x v="5"/>
    <x v="4"/>
    <x v="140"/>
    <d v="2023-11-02T00:00:00"/>
    <x v="0"/>
    <n v="308"/>
    <x v="997"/>
    <n v="44874.29"/>
    <n v="9"/>
    <x v="0"/>
    <n v="13"/>
    <n v="770.65999999999622"/>
    <n v="2.922077922077922E-2"/>
    <n v="1.6883795469159156E-2"/>
  </r>
  <r>
    <s v="PO-01001"/>
    <x v="3"/>
    <x v="4"/>
    <x v="169"/>
    <s v="Not Yet Delivered"/>
    <x v="1"/>
    <n v="136"/>
    <x v="998"/>
    <n v="46828.25"/>
    <n v="2"/>
    <x v="0"/>
    <s v="Not Applicable"/>
    <n v="2350.1299999999974"/>
    <n v="1.4705882352941176E-2"/>
    <n v="4.7787869384880055E-2"/>
  </r>
  <r>
    <s v="PO-01002"/>
    <x v="4"/>
    <x v="3"/>
    <x v="438"/>
    <d v="2023-10-17T00:00:00"/>
    <x v="0"/>
    <n v="191"/>
    <x v="999"/>
    <n v="12000.57"/>
    <n v="1"/>
    <x v="0"/>
    <n v="15"/>
    <n v="49.800000000001091"/>
    <n v="5.235602094240838E-3"/>
    <n v="4.1326531882424434E-3"/>
  </r>
  <r>
    <s v="PO-01003"/>
    <x v="0"/>
    <x v="3"/>
    <x v="215"/>
    <d v="2023-01-30T00:00:00"/>
    <x v="0"/>
    <n v="270"/>
    <x v="1000"/>
    <n v="12786.45"/>
    <n v="1"/>
    <x v="0"/>
    <n v="4"/>
    <n v="358.13999999999942"/>
    <n v="3.7037037037037038E-3"/>
    <n v="2.7246190257740974E-2"/>
  </r>
  <r>
    <s v="PO-01004"/>
    <x v="1"/>
    <x v="2"/>
    <x v="222"/>
    <s v="Not Yet Delivered"/>
    <x v="2"/>
    <n v="91"/>
    <x v="1001"/>
    <n v="104.94"/>
    <n v="2"/>
    <x v="0"/>
    <s v="Not Applicable"/>
    <n v="1.2199999999999989"/>
    <n v="2.197802197802198E-2"/>
    <n v="1.1492087415222296E-2"/>
  </r>
  <r>
    <s v="PO-01005"/>
    <x v="0"/>
    <x v="4"/>
    <x v="171"/>
    <d v="2024-04-19T00:00:00"/>
    <x v="0"/>
    <n v="264"/>
    <x v="1002"/>
    <n v="49172.79"/>
    <n v="3"/>
    <x v="0"/>
    <n v="8"/>
    <n v="2125.5"/>
    <n v="1.1363636363636364E-2"/>
    <n v="4.143412967566755E-2"/>
  </r>
  <r>
    <s v="PO-01006"/>
    <x v="0"/>
    <x v="7"/>
    <x v="45"/>
    <s v="Not Yet Delivered"/>
    <x v="2"/>
    <n v="346"/>
    <x v="1003"/>
    <n v="12731.48"/>
    <n v="2"/>
    <x v="0"/>
    <s v="Not Applicable"/>
    <n v="28.430000000000291"/>
    <n v="5.7803468208092483E-3"/>
    <n v="2.2280721415746893E-3"/>
  </r>
  <r>
    <s v="PO-01007"/>
    <x v="0"/>
    <x v="10"/>
    <x v="64"/>
    <d v="2023-08-23T00:00:00"/>
    <x v="0"/>
    <n v="270"/>
    <x v="1004"/>
    <n v="54718.33"/>
    <n v="4"/>
    <x v="0"/>
    <n v="2"/>
    <n v="717.08999999999651"/>
    <n v="1.4814814814814815E-2"/>
    <n v="1.2935592442521343E-2"/>
  </r>
  <r>
    <s v="PO-01008"/>
    <x v="5"/>
    <x v="7"/>
    <x v="9"/>
    <d v="2024-09-21T00:00:00"/>
    <x v="0"/>
    <n v="230"/>
    <x v="1005"/>
    <n v="11805.01"/>
    <n v="6"/>
    <x v="0"/>
    <n v="17"/>
    <n v="203.75"/>
    <n v="2.6086956521739129E-2"/>
    <n v="1.6966780916597549E-2"/>
  </r>
  <r>
    <s v="PO-01009"/>
    <x v="7"/>
    <x v="2"/>
    <x v="397"/>
    <d v="2024-01-06T00:00:00"/>
    <x v="0"/>
    <n v="349"/>
    <x v="1006"/>
    <n v="121.06"/>
    <n v="5"/>
    <x v="0"/>
    <n v="3"/>
    <n v="2.3499999999999943"/>
    <n v="1.4326647564469915E-2"/>
    <n v="1.9042217000243045E-2"/>
  </r>
  <r>
    <s v="PO-01010"/>
    <x v="2"/>
    <x v="9"/>
    <x v="415"/>
    <d v="2024-11-22T00:00:00"/>
    <x v="3"/>
    <n v="156"/>
    <x v="1007"/>
    <n v="6138.33"/>
    <n v="1"/>
    <x v="0"/>
    <n v="28"/>
    <n v="219.47000000000025"/>
    <n v="6.41025641025641E-3"/>
    <n v="3.4519802447387497E-2"/>
  </r>
  <r>
    <s v="PO-01011"/>
    <x v="4"/>
    <x v="0"/>
    <x v="489"/>
    <d v="2023-05-26T00:00:00"/>
    <x v="0"/>
    <n v="381"/>
    <x v="1008"/>
    <n v="3561.17"/>
    <n v="3"/>
    <x v="0"/>
    <n v="16"/>
    <n v="126.98999999999978"/>
    <n v="7.874015748031496E-3"/>
    <n v="3.4431803392477492E-2"/>
  </r>
  <r>
    <s v="PO-01012"/>
    <x v="0"/>
    <x v="3"/>
    <x v="427"/>
    <d v="2024-06-14T00:00:00"/>
    <x v="0"/>
    <n v="312"/>
    <x v="1009"/>
    <n v="13113.82"/>
    <n v="2"/>
    <x v="0"/>
    <n v="26"/>
    <n v="421.72000000000116"/>
    <n v="6.41025641025641E-3"/>
    <n v="3.1156496157523167E-2"/>
  </r>
  <r>
    <s v="PO-01013"/>
    <x v="1"/>
    <x v="2"/>
    <x v="20"/>
    <d v="2023-03-21T00:00:00"/>
    <x v="0"/>
    <n v="462"/>
    <x v="1010"/>
    <n v="104.9"/>
    <n v="4"/>
    <x v="0"/>
    <n v="26"/>
    <n v="4.019999999999996"/>
    <n v="8.658008658008658E-3"/>
    <n v="3.690782225486592E-2"/>
  </r>
  <r>
    <s v="PO-01014"/>
    <x v="0"/>
    <x v="9"/>
    <x v="530"/>
    <d v="2023-09-14T00:00:00"/>
    <x v="0"/>
    <n v="154"/>
    <x v="1011"/>
    <n v="6094.77"/>
    <n v="0"/>
    <x v="0"/>
    <n v="22"/>
    <n v="378.15999999999985"/>
    <n v="0"/>
    <n v="5.8421765722787025E-2"/>
  </r>
  <r>
    <s v="PO-01015"/>
    <x v="4"/>
    <x v="11"/>
    <x v="102"/>
    <d v="2024-07-04T00:00:00"/>
    <x v="0"/>
    <n v="196"/>
    <x v="1012"/>
    <n v="13319.91"/>
    <n v="2"/>
    <x v="0"/>
    <n v="27"/>
    <n v="736.81999999999971"/>
    <n v="1.020408163265306E-2"/>
    <n v="5.2417596411114091E-2"/>
  </r>
  <r>
    <s v="PO-01016"/>
    <x v="0"/>
    <x v="5"/>
    <x v="475"/>
    <d v="2024-06-30T00:00:00"/>
    <x v="0"/>
    <n v="57"/>
    <x v="1013"/>
    <n v="937.96"/>
    <n v="0"/>
    <x v="0"/>
    <n v="9"/>
    <n v="25.049999999999955"/>
    <n v="0"/>
    <n v="2.6012190942980816E-2"/>
  </r>
  <r>
    <s v="PO-01017"/>
    <x v="7"/>
    <x v="8"/>
    <x v="362"/>
    <d v="2024-07-02T00:00:00"/>
    <x v="0"/>
    <n v="277"/>
    <x v="1014"/>
    <n v="8236.0499999999993"/>
    <n v="0"/>
    <x v="0"/>
    <n v="21"/>
    <n v="188.26000000000022"/>
    <n v="0"/>
    <n v="2.2347230811781645E-2"/>
  </r>
  <r>
    <s v="PO-01018"/>
    <x v="7"/>
    <x v="8"/>
    <x v="189"/>
    <s v="Not Yet Delivered"/>
    <x v="1"/>
    <n v="215"/>
    <x v="1015"/>
    <n v="8074.15"/>
    <n v="2"/>
    <x v="0"/>
    <s v="Not Applicable"/>
    <n v="333.45000000000073"/>
    <n v="9.3023255813953487E-3"/>
    <n v="3.966054522099062E-2"/>
  </r>
  <r>
    <s v="PO-01019"/>
    <x v="0"/>
    <x v="1"/>
    <x v="134"/>
    <d v="2023-01-31T00:00:00"/>
    <x v="0"/>
    <n v="137"/>
    <x v="1016"/>
    <n v="5196.93"/>
    <n v="2"/>
    <x v="0"/>
    <n v="17"/>
    <n v="277.4399999999996"/>
    <n v="1.4598540145985401E-2"/>
    <n v="5.0679804251448038E-2"/>
  </r>
  <r>
    <s v="PO-01020"/>
    <x v="2"/>
    <x v="10"/>
    <x v="411"/>
    <d v="2024-03-25T00:00:00"/>
    <x v="0"/>
    <n v="11"/>
    <x v="1017"/>
    <n v="48393.32"/>
    <n v="1"/>
    <x v="0"/>
    <n v="30"/>
    <n v="1988.260000000002"/>
    <n v="9.0909090909090912E-2"/>
    <n v="3.9464026336609573E-2"/>
  </r>
  <r>
    <s v="PO-01021"/>
    <x v="3"/>
    <x v="11"/>
    <x v="50"/>
    <d v="2023-07-24T00:00:00"/>
    <x v="0"/>
    <n v="292"/>
    <x v="1018"/>
    <n v="13957.58"/>
    <n v="1"/>
    <x v="0"/>
    <n v="2"/>
    <n v="528.94000000000051"/>
    <n v="3.4246575342465752E-3"/>
    <n v="3.6512564784365084E-2"/>
  </r>
  <r>
    <s v="PO-01022"/>
    <x v="6"/>
    <x v="4"/>
    <x v="238"/>
    <s v="Not Yet Delivered"/>
    <x v="2"/>
    <n v="107"/>
    <x v="1019"/>
    <n v="48500.2"/>
    <n v="2"/>
    <x v="0"/>
    <s v="Not Applicable"/>
    <n v="2150.2900000000009"/>
    <n v="1.8691588785046728E-2"/>
    <n v="4.245348860396022E-2"/>
  </r>
  <r>
    <s v="PO-01023"/>
    <x v="7"/>
    <x v="5"/>
    <x v="553"/>
    <d v="2024-02-27T00:00:00"/>
    <x v="3"/>
    <n v="360"/>
    <x v="1020"/>
    <n v="857"/>
    <n v="8"/>
    <x v="0"/>
    <n v="5"/>
    <n v="6.4099999999999682"/>
    <n v="2.2222222222222223E-2"/>
    <n v="7.4240511460371876E-3"/>
  </r>
  <r>
    <s v="PO-01024"/>
    <x v="3"/>
    <x v="6"/>
    <x v="554"/>
    <s v="Not Yet Delivered"/>
    <x v="2"/>
    <n v="181"/>
    <x v="1021"/>
    <n v="526.42999999999995"/>
    <n v="2"/>
    <x v="0"/>
    <s v="Not Applicable"/>
    <n v="32.57000000000005"/>
    <n v="1.1049723756906077E-2"/>
    <n v="5.8264758497316729E-2"/>
  </r>
  <r>
    <s v="PO-01025"/>
    <x v="6"/>
    <x v="1"/>
    <x v="555"/>
    <d v="2024-06-22T00:00:00"/>
    <x v="0"/>
    <n v="451"/>
    <x v="1022"/>
    <n v="5537.57"/>
    <n v="10"/>
    <x v="0"/>
    <n v="8"/>
    <n v="128.5"/>
    <n v="2.2172949002217297E-2"/>
    <n v="2.2678858538634362E-2"/>
  </r>
  <r>
    <s v="PO-01026"/>
    <x v="4"/>
    <x v="7"/>
    <x v="295"/>
    <d v="2024-09-18T00:00:00"/>
    <x v="0"/>
    <n v="323"/>
    <x v="1023"/>
    <n v="10293.719999999999"/>
    <n v="3"/>
    <x v="0"/>
    <n v="30"/>
    <n v="349.94000000000051"/>
    <n v="9.2879256965944269E-3"/>
    <n v="3.2877788279595602E-2"/>
  </r>
  <r>
    <s v="PO-01027"/>
    <x v="6"/>
    <x v="6"/>
    <x v="556"/>
    <d v="2023-09-23T00:00:00"/>
    <x v="0"/>
    <n v="63"/>
    <x v="1024"/>
    <n v="562.26"/>
    <n v="0"/>
    <x v="0"/>
    <n v="16"/>
    <n v="7.0600000000000591"/>
    <n v="0"/>
    <n v="1.2400758799972E-2"/>
  </r>
  <r>
    <s v="PO-01028"/>
    <x v="2"/>
    <x v="10"/>
    <x v="108"/>
    <d v="2023-01-29T00:00:00"/>
    <x v="0"/>
    <n v="48"/>
    <x v="1025"/>
    <n v="50213.56"/>
    <n v="0"/>
    <x v="0"/>
    <n v="13"/>
    <n v="842.83000000000175"/>
    <n v="0"/>
    <n v="1.6507825954792374E-2"/>
  </r>
  <r>
    <s v="PO-01029"/>
    <x v="6"/>
    <x v="7"/>
    <x v="506"/>
    <d v="2024-07-31T00:00:00"/>
    <x v="0"/>
    <n v="36"/>
    <x v="1026"/>
    <n v="12341.55"/>
    <n v="1"/>
    <x v="0"/>
    <n v="10"/>
    <n v="304.60000000000036"/>
    <n v="2.7777777777777776E-2"/>
    <n v="2.4086382021405752E-2"/>
  </r>
  <r>
    <s v="PO-01030"/>
    <x v="7"/>
    <x v="4"/>
    <x v="48"/>
    <d v="2024-10-16T00:00:00"/>
    <x v="0"/>
    <n v="255"/>
    <x v="1027"/>
    <n v="43075.56"/>
    <n v="4"/>
    <x v="0"/>
    <n v="17"/>
    <n v="1710.2099999999991"/>
    <n v="1.5686274509803921E-2"/>
    <n v="3.8186459672346802E-2"/>
  </r>
  <r>
    <s v="PO-01031"/>
    <x v="3"/>
    <x v="8"/>
    <x v="406"/>
    <d v="2023-09-26T00:00:00"/>
    <x v="0"/>
    <n v="315"/>
    <x v="1028"/>
    <n v="8889.59"/>
    <n v="3"/>
    <x v="1"/>
    <n v="11"/>
    <n v="68.549999999999272"/>
    <n v="9.5238095238095247E-3"/>
    <n v="7.6522581696646039E-3"/>
  </r>
  <r>
    <s v="PO-01032"/>
    <x v="2"/>
    <x v="2"/>
    <x v="445"/>
    <d v="2023-02-10T00:00:00"/>
    <x v="0"/>
    <n v="151"/>
    <x v="1029"/>
    <n v="108.91"/>
    <n v="1"/>
    <x v="0"/>
    <n v="28"/>
    <n v="0.90999999999999659"/>
    <n v="6.6225165562913907E-3"/>
    <n v="8.2862866508832331E-3"/>
  </r>
  <r>
    <s v="PO-01033"/>
    <x v="4"/>
    <x v="0"/>
    <x v="12"/>
    <d v="2024-10-20T00:00:00"/>
    <x v="0"/>
    <n v="477"/>
    <x v="1030"/>
    <n v="3684.99"/>
    <n v="4"/>
    <x v="0"/>
    <n v="13"/>
    <n v="4.4200000000000728"/>
    <n v="8.385744234800839E-3"/>
    <n v="1.1980235322179083E-3"/>
  </r>
  <r>
    <s v="PO-01034"/>
    <x v="4"/>
    <x v="4"/>
    <x v="167"/>
    <d v="2023-07-01T00:00:00"/>
    <x v="0"/>
    <n v="44"/>
    <x v="1031"/>
    <n v="41056.82"/>
    <n v="0"/>
    <x v="0"/>
    <n v="2"/>
    <n v="786.86000000000058"/>
    <n v="0"/>
    <n v="1.8804751398538575E-2"/>
  </r>
  <r>
    <s v="PO-01035"/>
    <x v="6"/>
    <x v="11"/>
    <x v="118"/>
    <d v="2023-02-23T00:00:00"/>
    <x v="0"/>
    <n v="177"/>
    <x v="1032"/>
    <n v="16129.66"/>
    <n v="1"/>
    <x v="0"/>
    <n v="14"/>
    <n v="214.25"/>
    <n v="5.6497175141242938E-3"/>
    <n v="1.310885828421718E-2"/>
  </r>
  <r>
    <s v="PO-01036"/>
    <x v="3"/>
    <x v="1"/>
    <x v="557"/>
    <d v="2023-10-01T00:00:00"/>
    <x v="0"/>
    <n v="170"/>
    <x v="1033"/>
    <n v="4990.2700000000004"/>
    <n v="0"/>
    <x v="0"/>
    <n v="11"/>
    <n v="211.38999999999942"/>
    <n v="0"/>
    <n v="4.0638949873694055E-2"/>
  </r>
  <r>
    <s v="PO-01037"/>
    <x v="2"/>
    <x v="7"/>
    <x v="302"/>
    <d v="2024-09-28T00:00:00"/>
    <x v="0"/>
    <n v="254"/>
    <x v="1034"/>
    <n v="11983.86"/>
    <n v="4"/>
    <x v="0"/>
    <n v="18"/>
    <n v="163.8799999999992"/>
    <n v="1.5748031496062992E-2"/>
    <n v="1.3490575201642379E-2"/>
  </r>
  <r>
    <s v="PO-01038"/>
    <x v="0"/>
    <x v="10"/>
    <x v="245"/>
    <d v="2023-11-27T00:00:00"/>
    <x v="0"/>
    <n v="314"/>
    <x v="1035"/>
    <n v="50071.47"/>
    <n v="5"/>
    <x v="0"/>
    <n v="10"/>
    <n v="1774.3600000000006"/>
    <n v="1.5923566878980892E-2"/>
    <n v="3.4223774602509027E-2"/>
  </r>
  <r>
    <s v="PO-01039"/>
    <x v="2"/>
    <x v="7"/>
    <x v="6"/>
    <d v="2023-08-18T00:00:00"/>
    <x v="0"/>
    <n v="380"/>
    <x v="1036"/>
    <n v="11396.24"/>
    <n v="6"/>
    <x v="0"/>
    <n v="13"/>
    <n v="313.76000000000022"/>
    <n v="1.5789473684210527E-2"/>
    <n v="2.6794192997438106E-2"/>
  </r>
  <r>
    <s v="PO-01040"/>
    <x v="1"/>
    <x v="10"/>
    <x v="145"/>
    <d v="2024-12-08T00:00:00"/>
    <x v="0"/>
    <n v="68"/>
    <x v="1037"/>
    <n v="46438.04"/>
    <n v="2"/>
    <x v="0"/>
    <n v="17"/>
    <n v="1505.7200000000012"/>
    <n v="2.9411764705882353E-2"/>
    <n v="3.1405963987805735E-2"/>
  </r>
  <r>
    <s v="PO-01041"/>
    <x v="3"/>
    <x v="5"/>
    <x v="452"/>
    <d v="2024-05-12T00:00:00"/>
    <x v="0"/>
    <n v="425"/>
    <x v="1038"/>
    <n v="828.47"/>
    <n v="4"/>
    <x v="0"/>
    <n v="18"/>
    <n v="38.990000000000009"/>
    <n v="9.4117647058823521E-3"/>
    <n v="4.4947317455559917E-2"/>
  </r>
  <r>
    <s v="PO-01042"/>
    <x v="2"/>
    <x v="5"/>
    <x v="277"/>
    <d v="2023-11-26T00:00:00"/>
    <x v="0"/>
    <n v="73"/>
    <x v="1039"/>
    <n v="834.92"/>
    <n v="2"/>
    <x v="0"/>
    <n v="15"/>
    <n v="37.330000000000041"/>
    <n v="2.7397260273972601E-2"/>
    <n v="4.2797363141301281E-2"/>
  </r>
  <r>
    <s v="PO-01043"/>
    <x v="1"/>
    <x v="11"/>
    <x v="558"/>
    <d v="2024-06-12T00:00:00"/>
    <x v="0"/>
    <n v="357"/>
    <x v="1040"/>
    <n v="13205.92"/>
    <n v="6"/>
    <x v="0"/>
    <n v="11"/>
    <n v="585.40999999999985"/>
    <n v="1.680672268907563E-2"/>
    <n v="4.2447682710804534E-2"/>
  </r>
  <r>
    <s v="PO-01044"/>
    <x v="1"/>
    <x v="8"/>
    <x v="559"/>
    <d v="2023-03-06T00:00:00"/>
    <x v="0"/>
    <n v="230"/>
    <x v="1041"/>
    <n v="7623.88"/>
    <n v="0"/>
    <x v="0"/>
    <n v="8"/>
    <n v="427.76999999999953"/>
    <n v="0"/>
    <n v="5.3128240795364871E-2"/>
  </r>
  <r>
    <s v="PO-01045"/>
    <x v="2"/>
    <x v="3"/>
    <x v="273"/>
    <s v="Not Yet Delivered"/>
    <x v="2"/>
    <n v="24"/>
    <x v="1042"/>
    <n v="11590.61"/>
    <n v="2"/>
    <x v="0"/>
    <s v="Not Applicable"/>
    <n v="439.01000000000022"/>
    <n v="8.3333333333333329E-2"/>
    <n v="3.6494087095020472E-2"/>
  </r>
  <r>
    <s v="PO-01046"/>
    <x v="2"/>
    <x v="8"/>
    <x v="91"/>
    <d v="2023-10-04T00:00:00"/>
    <x v="0"/>
    <n v="153"/>
    <x v="1043"/>
    <n v="8241.5300000000007"/>
    <n v="1"/>
    <x v="0"/>
    <n v="13"/>
    <n v="384.63999999999942"/>
    <n v="6.5359477124183009E-3"/>
    <n v="4.4589893313022974E-2"/>
  </r>
  <r>
    <s v="PO-01047"/>
    <x v="3"/>
    <x v="8"/>
    <x v="91"/>
    <d v="2023-10-14T00:00:00"/>
    <x v="0"/>
    <n v="142"/>
    <x v="1044"/>
    <n v="8018.47"/>
    <n v="4"/>
    <x v="0"/>
    <n v="23"/>
    <n v="451.48999999999887"/>
    <n v="2.8169014084507043E-2"/>
    <n v="5.3304856221280728E-2"/>
  </r>
  <r>
    <s v="PO-01048"/>
    <x v="6"/>
    <x v="11"/>
    <x v="174"/>
    <d v="2024-08-18T00:00:00"/>
    <x v="3"/>
    <n v="50"/>
    <x v="1045"/>
    <n v="15028.23"/>
    <n v="1"/>
    <x v="0"/>
    <n v="22"/>
    <n v="70.210000000000946"/>
    <n v="0.02"/>
    <n v="4.6501492869462637E-3"/>
  </r>
  <r>
    <s v="PO-01049"/>
    <x v="3"/>
    <x v="11"/>
    <x v="560"/>
    <d v="2024-05-19T00:00:00"/>
    <x v="0"/>
    <n v="145"/>
    <x v="1046"/>
    <n v="14960.87"/>
    <n v="0"/>
    <x v="0"/>
    <n v="3"/>
    <n v="592.93999999999869"/>
    <n v="0"/>
    <n v="3.8121849244654442E-2"/>
  </r>
  <r>
    <s v="PO-01050"/>
    <x v="6"/>
    <x v="1"/>
    <x v="247"/>
    <d v="2023-10-19T00:00:00"/>
    <x v="0"/>
    <n v="436"/>
    <x v="1047"/>
    <n v="5309.01"/>
    <n v="3"/>
    <x v="0"/>
    <n v="2"/>
    <n v="322.65999999999985"/>
    <n v="6.8807339449541288E-3"/>
    <n v="5.7293840015483835E-2"/>
  </r>
  <r>
    <s v="PO-01051"/>
    <x v="6"/>
    <x v="10"/>
    <x v="428"/>
    <d v="2024-02-13T00:00:00"/>
    <x v="0"/>
    <n v="381"/>
    <x v="1048"/>
    <n v="55412.75"/>
    <n v="1"/>
    <x v="0"/>
    <n v="20"/>
    <n v="66.860000000000582"/>
    <n v="2.6246719160104987E-3"/>
    <n v="1.2051274333038855E-3"/>
  </r>
  <r>
    <s v="PO-01052"/>
    <x v="5"/>
    <x v="1"/>
    <x v="561"/>
    <d v="2024-10-12T00:00:00"/>
    <x v="3"/>
    <n v="473"/>
    <x v="1049"/>
    <n v="5200.43"/>
    <n v="7"/>
    <x v="0"/>
    <n v="28"/>
    <n v="231.75999999999931"/>
    <n v="1.4799154334038054E-2"/>
    <n v="4.2664192526402668E-2"/>
  </r>
  <r>
    <s v="PO-01053"/>
    <x v="6"/>
    <x v="3"/>
    <x v="562"/>
    <d v="2024-11-07T00:00:00"/>
    <x v="3"/>
    <n v="330"/>
    <x v="1050"/>
    <n v="13203.23"/>
    <n v="2"/>
    <x v="1"/>
    <n v="14"/>
    <n v="55.260000000000218"/>
    <n v="6.0606060606060606E-3"/>
    <n v="4.1678954390733953E-3"/>
  </r>
  <r>
    <s v="PO-01054"/>
    <x v="6"/>
    <x v="2"/>
    <x v="249"/>
    <s v="Not Yet Delivered"/>
    <x v="1"/>
    <n v="325"/>
    <x v="1051"/>
    <n v="128.08000000000001"/>
    <n v="2"/>
    <x v="1"/>
    <s v="Not Applicable"/>
    <n v="3.4499999999999886"/>
    <n v="6.1538461538461538E-3"/>
    <n v="2.622975746977867E-2"/>
  </r>
  <r>
    <s v="PO-01055"/>
    <x v="6"/>
    <x v="2"/>
    <x v="169"/>
    <s v="Not Yet Delivered"/>
    <x v="2"/>
    <n v="226"/>
    <x v="1052"/>
    <n v="127.56"/>
    <n v="2"/>
    <x v="0"/>
    <s v="Not Applicable"/>
    <n v="0.91999999999998749"/>
    <n v="8.8495575221238937E-3"/>
    <n v="7.1606475716063786E-3"/>
  </r>
  <r>
    <s v="PO-01056"/>
    <x v="3"/>
    <x v="7"/>
    <x v="3"/>
    <d v="2024-08-18T00:00:00"/>
    <x v="0"/>
    <n v="408"/>
    <x v="1053"/>
    <n v="11541.63"/>
    <n v="4"/>
    <x v="0"/>
    <n v="29"/>
    <n v="331.17000000000007"/>
    <n v="9.8039215686274508E-3"/>
    <n v="2.7893167576308883E-2"/>
  </r>
  <r>
    <s v="PO-01057"/>
    <x v="6"/>
    <x v="8"/>
    <x v="130"/>
    <d v="2023-09-28T00:00:00"/>
    <x v="0"/>
    <n v="308"/>
    <x v="1054"/>
    <n v="8949.08"/>
    <n v="1"/>
    <x v="0"/>
    <n v="29"/>
    <n v="210.29000000000087"/>
    <n v="3.246753246753247E-3"/>
    <n v="2.2959002638827872E-2"/>
  </r>
  <r>
    <s v="PO-01058"/>
    <x v="1"/>
    <x v="11"/>
    <x v="316"/>
    <d v="2024-09-01T00:00:00"/>
    <x v="3"/>
    <n v="450"/>
    <x v="1055"/>
    <n v="13000.38"/>
    <n v="2"/>
    <x v="0"/>
    <n v="3"/>
    <n v="477.78000000000065"/>
    <n v="4.4444444444444444E-3"/>
    <n v="3.5448458840079113E-2"/>
  </r>
  <r>
    <s v="PO-01059"/>
    <x v="7"/>
    <x v="5"/>
    <x v="213"/>
    <d v="2024-10-27T00:00:00"/>
    <x v="0"/>
    <n v="174"/>
    <x v="1056"/>
    <n v="824.86"/>
    <n v="4"/>
    <x v="0"/>
    <n v="29"/>
    <n v="35.17999999999995"/>
    <n v="2.2988505747126436E-2"/>
    <n v="4.0905074182596105E-2"/>
  </r>
  <r>
    <s v="PO-01060"/>
    <x v="2"/>
    <x v="1"/>
    <x v="386"/>
    <d v="2024-12-12T00:00:00"/>
    <x v="0"/>
    <n v="359"/>
    <x v="1057"/>
    <n v="5138.54"/>
    <n v="0"/>
    <x v="0"/>
    <n v="12"/>
    <n v="45.430000000000291"/>
    <n v="0"/>
    <n v="8.7635538014302333E-3"/>
  </r>
  <r>
    <s v="PO-01061"/>
    <x v="0"/>
    <x v="1"/>
    <x v="112"/>
    <d v="2023-03-09T00:00:00"/>
    <x v="0"/>
    <n v="495"/>
    <x v="1058"/>
    <n v="5407.32"/>
    <n v="8"/>
    <x v="0"/>
    <n v="6"/>
    <n v="132.5"/>
    <n v="1.6161616161616162E-2"/>
    <n v="2.3917744619861295E-2"/>
  </r>
  <r>
    <s v="PO-01062"/>
    <x v="2"/>
    <x v="10"/>
    <x v="544"/>
    <d v="2024-02-22T00:00:00"/>
    <x v="0"/>
    <n v="365"/>
    <x v="1059"/>
    <n v="46682.3"/>
    <n v="5"/>
    <x v="0"/>
    <n v="3"/>
    <n v="925.07999999999447"/>
    <n v="1.3698630136986301E-2"/>
    <n v="1.9431441091696172E-2"/>
  </r>
  <r>
    <s v="PO-01063"/>
    <x v="2"/>
    <x v="10"/>
    <x v="396"/>
    <d v="2024-06-06T00:00:00"/>
    <x v="3"/>
    <n v="51"/>
    <x v="1060"/>
    <n v="48409.85"/>
    <n v="0"/>
    <x v="0"/>
    <n v="11"/>
    <n v="1329.239999999998"/>
    <n v="0"/>
    <n v="2.6724252494366062E-2"/>
  </r>
  <r>
    <s v="PO-01064"/>
    <x v="5"/>
    <x v="5"/>
    <x v="27"/>
    <d v="2024-11-21T00:00:00"/>
    <x v="0"/>
    <n v="485"/>
    <x v="1061"/>
    <n v="884.05"/>
    <n v="8"/>
    <x v="0"/>
    <n v="5"/>
    <n v="6.5800000000000409"/>
    <n v="1.6494845360824743E-2"/>
    <n v="7.3880286987862984E-3"/>
  </r>
  <r>
    <s v="PO-01065"/>
    <x v="1"/>
    <x v="4"/>
    <x v="563"/>
    <d v="2024-01-23T00:00:00"/>
    <x v="0"/>
    <n v="90"/>
    <x v="1062"/>
    <n v="45532.11"/>
    <n v="0"/>
    <x v="0"/>
    <n v="6"/>
    <n v="1168.3899999999994"/>
    <n v="0"/>
    <n v="2.5018789948715741E-2"/>
  </r>
  <r>
    <s v="PO-01066"/>
    <x v="5"/>
    <x v="7"/>
    <x v="564"/>
    <d v="2024-07-03T00:00:00"/>
    <x v="0"/>
    <n v="295"/>
    <x v="1063"/>
    <n v="12475.61"/>
    <n v="3"/>
    <x v="0"/>
    <n v="14"/>
    <n v="115.93000000000029"/>
    <n v="1.0169491525423728E-2"/>
    <n v="9.2069754771854986E-3"/>
  </r>
  <r>
    <s v="PO-01067"/>
    <x v="4"/>
    <x v="5"/>
    <x v="565"/>
    <d v="2024-11-02T00:00:00"/>
    <x v="0"/>
    <n v="431"/>
    <x v="1064"/>
    <n v="812.93"/>
    <n v="0"/>
    <x v="0"/>
    <n v="13"/>
    <n v="5.3900000000001"/>
    <n v="0"/>
    <n v="6.5866653631832285E-3"/>
  </r>
  <r>
    <s v="PO-01068"/>
    <x v="5"/>
    <x v="0"/>
    <x v="566"/>
    <d v="2024-12-28T00:00:00"/>
    <x v="0"/>
    <n v="430"/>
    <x v="1065"/>
    <n v="4129.16"/>
    <n v="5"/>
    <x v="0"/>
    <n v="21"/>
    <n v="220.78999999999996"/>
    <n v="1.1627906976744186E-2"/>
    <n v="5.0756905251784494E-2"/>
  </r>
  <r>
    <s v="PO-01069"/>
    <x v="1"/>
    <x v="11"/>
    <x v="281"/>
    <d v="2024-08-10T00:00:00"/>
    <x v="0"/>
    <n v="218"/>
    <x v="1066"/>
    <n v="12442.83"/>
    <n v="1"/>
    <x v="0"/>
    <n v="29"/>
    <n v="596.97999999999956"/>
    <n v="4.5871559633027525E-3"/>
    <n v="4.5781341906055345E-2"/>
  </r>
  <r>
    <s v="PO-01070"/>
    <x v="0"/>
    <x v="2"/>
    <x v="567"/>
    <d v="2023-10-26T00:00:00"/>
    <x v="3"/>
    <n v="483"/>
    <x v="1067"/>
    <n v="125.51"/>
    <n v="9"/>
    <x v="0"/>
    <n v="20"/>
    <n v="6.1899999999999835"/>
    <n v="1.8633540372670808E-2"/>
    <n v="4.7000759301442555E-2"/>
  </r>
  <r>
    <s v="PO-01071"/>
    <x v="6"/>
    <x v="5"/>
    <x v="568"/>
    <d v="2023-02-01T00:00:00"/>
    <x v="3"/>
    <n v="447"/>
    <x v="1068"/>
    <n v="971.99"/>
    <n v="7"/>
    <x v="1"/>
    <n v="17"/>
    <n v="21.870000000000005"/>
    <n v="1.5659955257270694E-2"/>
    <n v="2.2005111383897134E-2"/>
  </r>
  <r>
    <s v="PO-01072"/>
    <x v="4"/>
    <x v="8"/>
    <x v="569"/>
    <d v="2023-03-08T00:00:00"/>
    <x v="0"/>
    <n v="414"/>
    <x v="1069"/>
    <n v="7870.76"/>
    <n v="5"/>
    <x v="0"/>
    <n v="17"/>
    <n v="115.76999999999953"/>
    <n v="1.2077294685990338E-2"/>
    <n v="1.4495657062579059E-2"/>
  </r>
  <r>
    <s v="PO-01073"/>
    <x v="2"/>
    <x v="1"/>
    <x v="561"/>
    <d v="2024-09-21T00:00:00"/>
    <x v="3"/>
    <n v="424"/>
    <x v="1070"/>
    <n v="4574.74"/>
    <n v="11"/>
    <x v="0"/>
    <n v="7"/>
    <n v="165.53999999999996"/>
    <n v="2.5943396226415096E-2"/>
    <n v="3.4921987730682572E-2"/>
  </r>
  <r>
    <s v="PO-01074"/>
    <x v="0"/>
    <x v="5"/>
    <x v="506"/>
    <d v="2024-08-04T00:00:00"/>
    <x v="0"/>
    <n v="46"/>
    <x v="458"/>
    <n v="947.55"/>
    <n v="0"/>
    <x v="1"/>
    <n v="14"/>
    <n v="11.790000000000077"/>
    <n v="0"/>
    <n v="1.2289699168178203E-2"/>
  </r>
  <r>
    <s v="PO-01075"/>
    <x v="7"/>
    <x v="9"/>
    <x v="272"/>
    <d v="2024-05-28T00:00:00"/>
    <x v="0"/>
    <n v="330"/>
    <x v="1071"/>
    <n v="6645.12"/>
    <n v="4"/>
    <x v="0"/>
    <n v="5"/>
    <n v="22.630000000000109"/>
    <n v="1.2121212121212121E-2"/>
    <n v="3.3939484833714686E-3"/>
  </r>
  <r>
    <s v="PO-01076"/>
    <x v="7"/>
    <x v="1"/>
    <x v="209"/>
    <d v="2024-12-25T00:00:00"/>
    <x v="0"/>
    <n v="100"/>
    <x v="1072"/>
    <n v="5150.66"/>
    <n v="0"/>
    <x v="0"/>
    <n v="23"/>
    <n v="161.42000000000007"/>
    <n v="0"/>
    <n v="3.0387343564102963E-2"/>
  </r>
  <r>
    <s v="PO-01077"/>
    <x v="2"/>
    <x v="7"/>
    <x v="167"/>
    <s v="Not Yet Delivered"/>
    <x v="1"/>
    <n v="412"/>
    <x v="1073"/>
    <n v="10838.65"/>
    <n v="2"/>
    <x v="0"/>
    <s v="Not Applicable"/>
    <n v="128.30000000000109"/>
    <n v="4.8543689320388345E-3"/>
    <n v="1.1698785897628884E-2"/>
  </r>
  <r>
    <s v="PO-01078"/>
    <x v="3"/>
    <x v="5"/>
    <x v="308"/>
    <d v="2023-04-05T00:00:00"/>
    <x v="0"/>
    <n v="346"/>
    <x v="1074"/>
    <n v="917.28"/>
    <n v="8"/>
    <x v="0"/>
    <n v="4"/>
    <n v="0.60000000000002274"/>
    <n v="2.3121387283236993E-2"/>
    <n v="6.5368021963657858E-4"/>
  </r>
  <r>
    <s v="PO-01079"/>
    <x v="5"/>
    <x v="11"/>
    <x v="208"/>
    <d v="2023-08-23T00:00:00"/>
    <x v="0"/>
    <n v="115"/>
    <x v="1075"/>
    <n v="14205.93"/>
    <n v="0"/>
    <x v="0"/>
    <n v="28"/>
    <n v="80.239999999999782"/>
    <n v="0"/>
    <n v="5.6166208297955145E-3"/>
  </r>
  <r>
    <s v="PO-01080"/>
    <x v="4"/>
    <x v="6"/>
    <x v="47"/>
    <s v="Not Yet Delivered"/>
    <x v="2"/>
    <n v="114"/>
    <x v="1076"/>
    <n v="487.4"/>
    <n v="2"/>
    <x v="0"/>
    <s v="Not Applicable"/>
    <n v="9.1200000000000045"/>
    <n v="1.7543859649122806E-2"/>
    <n v="1.836784016756627E-2"/>
  </r>
  <r>
    <s v="PO-01081"/>
    <x v="5"/>
    <x v="8"/>
    <x v="107"/>
    <d v="2023-07-12T00:00:00"/>
    <x v="0"/>
    <n v="479"/>
    <x v="1077"/>
    <n v="8685.94"/>
    <n v="4"/>
    <x v="0"/>
    <n v="22"/>
    <n v="71.510000000000218"/>
    <n v="8.350730688935281E-3"/>
    <n v="8.1656189872622974E-3"/>
  </r>
  <r>
    <s v="PO-01082"/>
    <x v="2"/>
    <x v="0"/>
    <x v="155"/>
    <d v="2023-06-18T00:00:00"/>
    <x v="0"/>
    <n v="57"/>
    <x v="1078"/>
    <n v="4130.22"/>
    <n v="0"/>
    <x v="0"/>
    <n v="13"/>
    <n v="41.179999999999382"/>
    <n v="0"/>
    <n v="9.8719854245575556E-3"/>
  </r>
  <r>
    <s v="PO-01083"/>
    <x v="4"/>
    <x v="9"/>
    <x v="415"/>
    <d v="2024-11-10T00:00:00"/>
    <x v="3"/>
    <n v="28"/>
    <x v="1079"/>
    <n v="5652.65"/>
    <n v="0"/>
    <x v="0"/>
    <n v="16"/>
    <n v="172.96000000000004"/>
    <n v="0"/>
    <n v="2.9689594737718462E-2"/>
  </r>
  <r>
    <s v="PO-01084"/>
    <x v="5"/>
    <x v="0"/>
    <x v="482"/>
    <d v="2023-02-27T00:00:00"/>
    <x v="0"/>
    <n v="371"/>
    <x v="1080"/>
    <n v="3935.12"/>
    <n v="5"/>
    <x v="0"/>
    <n v="16"/>
    <n v="53.130000000000109"/>
    <n v="1.3477088948787063E-2"/>
    <n v="1.3321632294866197E-2"/>
  </r>
  <r>
    <s v="PO-01085"/>
    <x v="6"/>
    <x v="5"/>
    <x v="193"/>
    <d v="2023-02-20T00:00:00"/>
    <x v="0"/>
    <n v="119"/>
    <x v="1081"/>
    <n v="924.73"/>
    <n v="1"/>
    <x v="0"/>
    <n v="2"/>
    <n v="24.019999999999982"/>
    <n v="8.4033613445378148E-3"/>
    <n v="2.5317523056653472E-2"/>
  </r>
  <r>
    <s v="PO-01086"/>
    <x v="3"/>
    <x v="8"/>
    <x v="184"/>
    <d v="2023-08-27T00:00:00"/>
    <x v="3"/>
    <n v="185"/>
    <x v="1082"/>
    <n v="8606.0499999999993"/>
    <n v="0"/>
    <x v="0"/>
    <n v="26"/>
    <n v="147.22000000000116"/>
    <n v="0"/>
    <n v="1.6818857409859535E-2"/>
  </r>
  <r>
    <s v="PO-01087"/>
    <x v="0"/>
    <x v="10"/>
    <x v="570"/>
    <s v="Not Yet Delivered"/>
    <x v="2"/>
    <n v="155"/>
    <x v="1083"/>
    <n v="50505.01"/>
    <n v="2"/>
    <x v="0"/>
    <s v="Not Applicable"/>
    <n v="966.86999999999534"/>
    <n v="1.2903225806451613E-2"/>
    <n v="1.878443142158389E-2"/>
  </r>
  <r>
    <s v="PO-01088"/>
    <x v="2"/>
    <x v="8"/>
    <x v="533"/>
    <d v="2024-05-06T00:00:00"/>
    <x v="0"/>
    <n v="354"/>
    <x v="1084"/>
    <n v="7677.4"/>
    <n v="1"/>
    <x v="0"/>
    <n v="22"/>
    <n v="220.44000000000051"/>
    <n v="2.8248587570621469E-3"/>
    <n v="2.7911428947661705E-2"/>
  </r>
  <r>
    <s v="PO-01089"/>
    <x v="3"/>
    <x v="10"/>
    <x v="183"/>
    <d v="2024-10-11T00:00:00"/>
    <x v="0"/>
    <n v="33"/>
    <x v="1085"/>
    <n v="54368.56"/>
    <n v="0"/>
    <x v="0"/>
    <n v="3"/>
    <n v="1195.5400000000009"/>
    <n v="0"/>
    <n v="2.1516410776022662E-2"/>
  </r>
  <r>
    <s v="PO-01090"/>
    <x v="3"/>
    <x v="0"/>
    <x v="182"/>
    <d v="2024-07-26T00:00:00"/>
    <x v="0"/>
    <n v="309"/>
    <x v="1086"/>
    <n v="4269.1899999999996"/>
    <n v="5"/>
    <x v="0"/>
    <n v="29"/>
    <n v="263.72000000000025"/>
    <n v="1.6181229773462782E-2"/>
    <n v="5.8178962300156026E-2"/>
  </r>
  <r>
    <s v="PO-01091"/>
    <x v="0"/>
    <x v="4"/>
    <x v="228"/>
    <d v="2024-03-19T00:00:00"/>
    <x v="0"/>
    <n v="61"/>
    <x v="1087"/>
    <n v="51376.13"/>
    <n v="0"/>
    <x v="0"/>
    <n v="17"/>
    <n v="1.5500000000029104"/>
    <n v="0"/>
    <n v="3.0168742535725831E-5"/>
  </r>
  <r>
    <s v="PO-01092"/>
    <x v="3"/>
    <x v="11"/>
    <x v="173"/>
    <d v="2024-12-17T00:00:00"/>
    <x v="0"/>
    <n v="338"/>
    <x v="1088"/>
    <n v="14002.54"/>
    <n v="8"/>
    <x v="0"/>
    <n v="14"/>
    <n v="23.419999999998254"/>
    <n v="2.3668639053254437E-2"/>
    <n v="1.669760929020064E-3"/>
  </r>
  <r>
    <s v="PO-01093"/>
    <x v="2"/>
    <x v="5"/>
    <x v="99"/>
    <d v="2023-07-16T00:00:00"/>
    <x v="0"/>
    <n v="218"/>
    <x v="1089"/>
    <n v="787.08"/>
    <n v="5"/>
    <x v="0"/>
    <n v="29"/>
    <n v="40.259999999999991"/>
    <n v="2.2935779816513763E-2"/>
    <n v="4.8661976938139083E-2"/>
  </r>
  <r>
    <s v="PO-01094"/>
    <x v="6"/>
    <x v="10"/>
    <x v="154"/>
    <d v="2024-05-17T00:00:00"/>
    <x v="0"/>
    <n v="238"/>
    <x v="1090"/>
    <n v="55354.99"/>
    <n v="7"/>
    <x v="0"/>
    <n v="5"/>
    <n v="1895.3499999999985"/>
    <n v="2.9411764705882353E-2"/>
    <n v="3.3106353604188177E-2"/>
  </r>
  <r>
    <s v="PO-01095"/>
    <x v="7"/>
    <x v="5"/>
    <x v="272"/>
    <d v="2024-06-01T00:00:00"/>
    <x v="0"/>
    <n v="241"/>
    <x v="1091"/>
    <n v="847.93"/>
    <n v="0"/>
    <x v="0"/>
    <n v="9"/>
    <n v="28.120000000000005"/>
    <n v="0"/>
    <n v="3.2098624507733584E-2"/>
  </r>
  <r>
    <s v="PO-01096"/>
    <x v="5"/>
    <x v="6"/>
    <x v="557"/>
    <d v="2023-10-17T00:00:00"/>
    <x v="0"/>
    <n v="55"/>
    <x v="1092"/>
    <n v="502.52"/>
    <n v="0"/>
    <x v="0"/>
    <n v="27"/>
    <n v="19.620000000000005"/>
    <n v="0"/>
    <n v="3.757612900754588E-2"/>
  </r>
  <r>
    <s v="PO-01097"/>
    <x v="4"/>
    <x v="3"/>
    <x v="274"/>
    <d v="2023-12-26T00:00:00"/>
    <x v="0"/>
    <n v="371"/>
    <x v="1093"/>
    <n v="10289.64"/>
    <n v="4"/>
    <x v="0"/>
    <n v="17"/>
    <n v="528.13000000000102"/>
    <n v="1.078167115902965E-2"/>
    <n v="4.8820597960577916E-2"/>
  </r>
  <r>
    <s v="PO-01098"/>
    <x v="0"/>
    <x v="11"/>
    <x v="571"/>
    <d v="2024-04-05T00:00:00"/>
    <x v="0"/>
    <n v="437"/>
    <x v="1094"/>
    <n v="14693.94"/>
    <n v="3"/>
    <x v="1"/>
    <n v="8"/>
    <n v="522.51000000000022"/>
    <n v="6.8649885583524023E-3"/>
    <n v="3.433849550979369E-2"/>
  </r>
  <r>
    <s v="PO-01099"/>
    <x v="2"/>
    <x v="2"/>
    <x v="572"/>
    <d v="2023-07-03T00:00:00"/>
    <x v="0"/>
    <n v="370"/>
    <x v="1095"/>
    <n v="108.43"/>
    <n v="2"/>
    <x v="1"/>
    <n v="19"/>
    <n v="6.269999999999996"/>
    <n v="5.4054054054054057E-3"/>
    <n v="5.4664341761115919E-2"/>
  </r>
  <r>
    <s v="PO-01100"/>
    <x v="6"/>
    <x v="4"/>
    <x v="395"/>
    <d v="2025-01-20T00:00:00"/>
    <x v="3"/>
    <n v="213"/>
    <x v="1096"/>
    <n v="47815.14"/>
    <n v="2"/>
    <x v="0"/>
    <n v="30"/>
    <n v="2275.1999999999971"/>
    <n v="9.3896713615023476E-3"/>
    <n v="4.54219316538877E-2"/>
  </r>
  <r>
    <s v="PO-01101"/>
    <x v="6"/>
    <x v="2"/>
    <x v="172"/>
    <d v="2024-01-23T00:00:00"/>
    <x v="0"/>
    <n v="452"/>
    <x v="1097"/>
    <n v="124.93"/>
    <n v="6"/>
    <x v="0"/>
    <n v="29"/>
    <n v="7.3400000000000034"/>
    <n v="1.3274336283185841E-2"/>
    <n v="5.549255311106073E-2"/>
  </r>
  <r>
    <s v="PO-01102"/>
    <x v="6"/>
    <x v="4"/>
    <x v="34"/>
    <d v="2023-03-11T00:00:00"/>
    <x v="0"/>
    <n v="258"/>
    <x v="1098"/>
    <n v="47394.16"/>
    <n v="3"/>
    <x v="0"/>
    <n v="12"/>
    <n v="2303.8599999999933"/>
    <n v="1.1627906976744186E-2"/>
    <n v="4.6357178817184132E-2"/>
  </r>
  <r>
    <s v="PO-01103"/>
    <x v="5"/>
    <x v="0"/>
    <x v="333"/>
    <d v="2024-08-25T00:00:00"/>
    <x v="3"/>
    <n v="225"/>
    <x v="1099"/>
    <n v="3883.49"/>
    <n v="0"/>
    <x v="0"/>
    <n v="24"/>
    <n v="158.62000000000035"/>
    <n v="0"/>
    <n v="3.9241881096754007E-2"/>
  </r>
  <r>
    <s v="PO-01104"/>
    <x v="4"/>
    <x v="0"/>
    <x v="448"/>
    <s v="Not Yet Delivered"/>
    <x v="1"/>
    <n v="110"/>
    <x v="1100"/>
    <n v="3798.26"/>
    <n v="2"/>
    <x v="0"/>
    <s v="Not Applicable"/>
    <n v="217.31999999999971"/>
    <n v="1.8181818181818181E-2"/>
    <n v="5.4119205693822489E-2"/>
  </r>
  <r>
    <s v="PO-01105"/>
    <x v="7"/>
    <x v="4"/>
    <x v="267"/>
    <d v="2023-04-09T00:00:00"/>
    <x v="3"/>
    <n v="357"/>
    <x v="1101"/>
    <n v="43933.06"/>
    <n v="9"/>
    <x v="0"/>
    <n v="6"/>
    <n v="1345.4400000000023"/>
    <n v="2.5210084033613446E-2"/>
    <n v="2.9714765285952547E-2"/>
  </r>
  <r>
    <s v="PO-01106"/>
    <x v="7"/>
    <x v="2"/>
    <x v="288"/>
    <d v="2024-08-30T00:00:00"/>
    <x v="0"/>
    <n v="240"/>
    <x v="1102"/>
    <n v="108.06"/>
    <n v="3"/>
    <x v="0"/>
    <n v="5"/>
    <n v="3.7599999999999909"/>
    <n v="1.2500000000000001E-2"/>
    <n v="3.3625469504560822E-2"/>
  </r>
  <r>
    <s v="PO-01107"/>
    <x v="2"/>
    <x v="4"/>
    <x v="14"/>
    <d v="2024-11-30T00:00:00"/>
    <x v="3"/>
    <n v="276"/>
    <x v="1103"/>
    <n v="44484.63"/>
    <n v="0"/>
    <x v="0"/>
    <n v="16"/>
    <n v="779.40000000000146"/>
    <n v="0"/>
    <n v="1.7218970560067264E-2"/>
  </r>
  <r>
    <s v="PO-01108"/>
    <x v="1"/>
    <x v="11"/>
    <x v="107"/>
    <d v="2023-07-19T00:00:00"/>
    <x v="0"/>
    <n v="217"/>
    <x v="1104"/>
    <n v="12609.42"/>
    <n v="1"/>
    <x v="0"/>
    <n v="29"/>
    <n v="453.70999999999913"/>
    <n v="4.608294930875576E-3"/>
    <n v="3.4732104786525067E-2"/>
  </r>
  <r>
    <s v="PO-01109"/>
    <x v="3"/>
    <x v="8"/>
    <x v="289"/>
    <d v="2024-11-24T00:00:00"/>
    <x v="0"/>
    <n v="266"/>
    <x v="1105"/>
    <n v="8595.91"/>
    <n v="2"/>
    <x v="0"/>
    <n v="14"/>
    <n v="322.73999999999978"/>
    <n v="7.5187969924812026E-3"/>
    <n v="3.6187091095625436E-2"/>
  </r>
  <r>
    <s v="PO-01110"/>
    <x v="7"/>
    <x v="7"/>
    <x v="425"/>
    <d v="2023-04-09T00:00:00"/>
    <x v="0"/>
    <n v="13"/>
    <x v="1106"/>
    <n v="11756.99"/>
    <n v="0"/>
    <x v="0"/>
    <n v="23"/>
    <n v="151.52000000000044"/>
    <n v="0"/>
    <n v="1.2723674078453177E-2"/>
  </r>
  <r>
    <s v="PO-01111"/>
    <x v="0"/>
    <x v="3"/>
    <x v="296"/>
    <d v="2024-10-20T00:00:00"/>
    <x v="0"/>
    <n v="171"/>
    <x v="1107"/>
    <n v="13255.42"/>
    <n v="4"/>
    <x v="0"/>
    <n v="25"/>
    <n v="243.20999999999913"/>
    <n v="2.3391812865497075E-2"/>
    <n v="1.8017383986374851E-2"/>
  </r>
  <r>
    <s v="PO-01112"/>
    <x v="4"/>
    <x v="6"/>
    <x v="112"/>
    <d v="2023-04-01T00:00:00"/>
    <x v="0"/>
    <n v="426"/>
    <x v="1108"/>
    <n v="483.38"/>
    <n v="1"/>
    <x v="0"/>
    <n v="29"/>
    <n v="2.2900000000000205"/>
    <n v="2.3474178403755869E-3"/>
    <n v="4.7151357917928228E-3"/>
  </r>
  <r>
    <s v="PO-01113"/>
    <x v="5"/>
    <x v="3"/>
    <x v="422"/>
    <s v="Not Yet Delivered"/>
    <x v="1"/>
    <n v="279"/>
    <x v="1109"/>
    <n v="12546.09"/>
    <n v="2"/>
    <x v="1"/>
    <s v="Not Applicable"/>
    <n v="96.940000000000509"/>
    <n v="7.1684587813620072E-3"/>
    <n v="7.6674657894508285E-3"/>
  </r>
  <r>
    <s v="PO-01114"/>
    <x v="3"/>
    <x v="6"/>
    <x v="243"/>
    <s v="Not Yet Delivered"/>
    <x v="2"/>
    <n v="335"/>
    <x v="1110"/>
    <n v="563.24"/>
    <n v="2"/>
    <x v="0"/>
    <s v="Not Applicable"/>
    <n v="25.590000000000032"/>
    <n v="5.9701492537313433E-3"/>
    <n v="4.3459062887420866E-2"/>
  </r>
  <r>
    <s v="PO-01115"/>
    <x v="5"/>
    <x v="3"/>
    <x v="92"/>
    <d v="2023-07-08T00:00:00"/>
    <x v="0"/>
    <n v="423"/>
    <x v="1111"/>
    <n v="12101.91"/>
    <n v="2"/>
    <x v="0"/>
    <n v="11"/>
    <n v="373.47999999999956"/>
    <n v="4.7281323877068557E-3"/>
    <n v="2.9937340636244605E-2"/>
  </r>
  <r>
    <s v="PO-01116"/>
    <x v="2"/>
    <x v="3"/>
    <x v="46"/>
    <d v="2023-01-31T00:00:00"/>
    <x v="0"/>
    <n v="267"/>
    <x v="1112"/>
    <n v="11408.23"/>
    <n v="1"/>
    <x v="0"/>
    <n v="2"/>
    <n v="329.63000000000102"/>
    <n v="3.7453183520599251E-3"/>
    <n v="2.8082631757407314E-2"/>
  </r>
  <r>
    <s v="PO-01117"/>
    <x v="6"/>
    <x v="8"/>
    <x v="244"/>
    <s v="Not Yet Delivered"/>
    <x v="2"/>
    <n v="455"/>
    <x v="1113"/>
    <n v="9278.0499999999993"/>
    <n v="2"/>
    <x v="0"/>
    <s v="Not Applicable"/>
    <n v="251.44000000000051"/>
    <n v="4.3956043956043956E-3"/>
    <n v="2.6385462390956967E-2"/>
  </r>
  <r>
    <s v="PO-01118"/>
    <x v="4"/>
    <x v="1"/>
    <x v="413"/>
    <d v="2024-05-13T00:00:00"/>
    <x v="0"/>
    <n v="210"/>
    <x v="1114"/>
    <n v="4369.4799999999996"/>
    <n v="3"/>
    <x v="0"/>
    <n v="2"/>
    <n v="159.79000000000087"/>
    <n v="1.4285714285714285E-2"/>
    <n v="3.5279415888211756E-2"/>
  </r>
  <r>
    <s v="PO-01119"/>
    <x v="3"/>
    <x v="7"/>
    <x v="533"/>
    <d v="2024-04-27T00:00:00"/>
    <x v="0"/>
    <n v="25"/>
    <x v="1115"/>
    <n v="11504.5"/>
    <n v="0"/>
    <x v="0"/>
    <n v="13"/>
    <n v="625.32999999999993"/>
    <n v="0"/>
    <n v="5.1553072054595979E-2"/>
  </r>
  <r>
    <s v="PO-01120"/>
    <x v="0"/>
    <x v="10"/>
    <x v="427"/>
    <d v="2024-06-15T00:00:00"/>
    <x v="0"/>
    <n v="402"/>
    <x v="1116"/>
    <n v="55178.400000000001"/>
    <n v="2"/>
    <x v="0"/>
    <n v="27"/>
    <n v="1517.3799999999974"/>
    <n v="4.9751243781094526E-3"/>
    <n v="2.6763543953359448E-2"/>
  </r>
  <r>
    <s v="PO-01121"/>
    <x v="2"/>
    <x v="1"/>
    <x v="573"/>
    <d v="2024-07-15T00:00:00"/>
    <x v="0"/>
    <n v="18"/>
    <x v="1117"/>
    <n v="4879.88"/>
    <n v="0"/>
    <x v="0"/>
    <n v="15"/>
    <n v="207.85999999999967"/>
    <n v="0"/>
    <n v="4.0855075141418326E-2"/>
  </r>
  <r>
    <s v="PO-01122"/>
    <x v="2"/>
    <x v="7"/>
    <x v="434"/>
    <d v="2024-06-03T00:00:00"/>
    <x v="3"/>
    <n v="421"/>
    <x v="1118"/>
    <n v="10775.95"/>
    <n v="2"/>
    <x v="0"/>
    <n v="25"/>
    <n v="328.89999999999964"/>
    <n v="4.7505938242280287E-3"/>
    <n v="2.9617689568071575E-2"/>
  </r>
  <r>
    <s v="PO-01123"/>
    <x v="4"/>
    <x v="10"/>
    <x v="158"/>
    <d v="2023-01-20T00:00:00"/>
    <x v="0"/>
    <n v="156"/>
    <x v="1119"/>
    <n v="45809.23"/>
    <n v="0"/>
    <x v="0"/>
    <n v="10"/>
    <n v="2346"/>
    <n v="0"/>
    <n v="4.8717449797249436E-2"/>
  </r>
  <r>
    <s v="PO-01124"/>
    <x v="7"/>
    <x v="11"/>
    <x v="528"/>
    <d v="2023-11-16T00:00:00"/>
    <x v="3"/>
    <n v="40"/>
    <x v="1120"/>
    <n v="13317.35"/>
    <n v="1"/>
    <x v="0"/>
    <n v="13"/>
    <n v="303.10000000000036"/>
    <n v="2.5000000000000001E-2"/>
    <n v="2.2253302937861843E-2"/>
  </r>
  <r>
    <s v="PO-01125"/>
    <x v="3"/>
    <x v="6"/>
    <x v="480"/>
    <d v="2024-09-20T00:00:00"/>
    <x v="0"/>
    <n v="492"/>
    <x v="1121"/>
    <n v="514.69000000000005"/>
    <n v="5"/>
    <x v="0"/>
    <n v="29"/>
    <n v="26.419999999999959"/>
    <n v="1.016260162601626E-2"/>
    <n v="4.8825562270148323E-2"/>
  </r>
  <r>
    <s v="PO-01126"/>
    <x v="4"/>
    <x v="6"/>
    <x v="438"/>
    <d v="2023-10-12T00:00:00"/>
    <x v="0"/>
    <n v="22"/>
    <x v="1122"/>
    <n v="504.48"/>
    <n v="0"/>
    <x v="0"/>
    <n v="10"/>
    <n v="15.279999999999973"/>
    <n v="0"/>
    <n v="2.9398183777127853E-2"/>
  </r>
  <r>
    <s v="PO-01127"/>
    <x v="6"/>
    <x v="2"/>
    <x v="6"/>
    <d v="2023-08-28T00:00:00"/>
    <x v="0"/>
    <n v="249"/>
    <x v="1123"/>
    <n v="123.59"/>
    <n v="6"/>
    <x v="0"/>
    <n v="23"/>
    <n v="2.3599999999999994"/>
    <n v="2.4096385542168676E-2"/>
    <n v="1.8737594283445808E-2"/>
  </r>
  <r>
    <s v="PO-01128"/>
    <x v="0"/>
    <x v="4"/>
    <x v="144"/>
    <d v="2024-10-10T00:00:00"/>
    <x v="0"/>
    <n v="231"/>
    <x v="1124"/>
    <n v="50763.21"/>
    <n v="5"/>
    <x v="0"/>
    <n v="7"/>
    <n v="1327.6699999999983"/>
    <n v="2.1645021645021644E-2"/>
    <n v="2.5487570952919175E-2"/>
  </r>
  <r>
    <s v="PO-01129"/>
    <x v="7"/>
    <x v="9"/>
    <x v="8"/>
    <d v="2023-07-30T00:00:00"/>
    <x v="3"/>
    <n v="63"/>
    <x v="1125"/>
    <n v="6151.55"/>
    <n v="1"/>
    <x v="0"/>
    <n v="10"/>
    <n v="10.779999999999745"/>
    <n v="1.5873015873015872E-2"/>
    <n v="1.7493383184606708E-3"/>
  </r>
  <r>
    <s v="PO-01130"/>
    <x v="0"/>
    <x v="6"/>
    <x v="407"/>
    <d v="2024-01-16T00:00:00"/>
    <x v="0"/>
    <n v="76"/>
    <x v="1126"/>
    <n v="572.29999999999995"/>
    <n v="1"/>
    <x v="0"/>
    <n v="26"/>
    <n v="23.6400000000001"/>
    <n v="1.3157894736842105E-2"/>
    <n v="3.9668422995603747E-2"/>
  </r>
  <r>
    <s v="PO-01131"/>
    <x v="0"/>
    <x v="0"/>
    <x v="61"/>
    <d v="2024-06-01T00:00:00"/>
    <x v="0"/>
    <n v="383"/>
    <x v="1127"/>
    <n v="4178.09"/>
    <n v="7"/>
    <x v="0"/>
    <n v="10"/>
    <n v="23.699999999999818"/>
    <n v="1.8276762402088774E-2"/>
    <n v="5.6404532354067715E-3"/>
  </r>
  <r>
    <s v="PO-01132"/>
    <x v="7"/>
    <x v="5"/>
    <x v="574"/>
    <d v="2023-02-06T00:00:00"/>
    <x v="3"/>
    <n v="460"/>
    <x v="1128"/>
    <n v="838.83"/>
    <n v="2"/>
    <x v="0"/>
    <n v="10"/>
    <n v="52.399999999999977"/>
    <n v="4.3478260869565218E-3"/>
    <n v="5.8795148278222208E-2"/>
  </r>
  <r>
    <s v="PO-01133"/>
    <x v="4"/>
    <x v="5"/>
    <x v="575"/>
    <s v="Not Yet Delivered"/>
    <x v="2"/>
    <n v="5"/>
    <x v="1129"/>
    <n v="835.98"/>
    <n v="2"/>
    <x v="0"/>
    <s v="Not Applicable"/>
    <n v="35.149999999999977"/>
    <n v="0.4"/>
    <n v="4.0349890372275064E-2"/>
  </r>
  <r>
    <s v="PO-01134"/>
    <x v="0"/>
    <x v="1"/>
    <x v="40"/>
    <d v="2024-09-21T00:00:00"/>
    <x v="3"/>
    <n v="466"/>
    <x v="1130"/>
    <n v="5149.84"/>
    <n v="12"/>
    <x v="0"/>
    <n v="4"/>
    <n v="182.63000000000011"/>
    <n v="2.575107296137339E-2"/>
    <n v="3.4248669003294929E-2"/>
  </r>
  <r>
    <s v="PO-01135"/>
    <x v="5"/>
    <x v="5"/>
    <x v="550"/>
    <s v="Not Yet Delivered"/>
    <x v="2"/>
    <n v="214"/>
    <x v="956"/>
    <n v="861.53"/>
    <n v="2"/>
    <x v="0"/>
    <s v="Not Applicable"/>
    <n v="11.670000000000073"/>
    <n v="9.3457943925233638E-3"/>
    <n v="1.3364635822263023E-2"/>
  </r>
  <r>
    <s v="PO-01136"/>
    <x v="1"/>
    <x v="9"/>
    <x v="131"/>
    <d v="2023-04-30T00:00:00"/>
    <x v="3"/>
    <n v="264"/>
    <x v="1131"/>
    <n v="5819.48"/>
    <n v="2"/>
    <x v="0"/>
    <n v="30"/>
    <n v="125.32000000000062"/>
    <n v="7.575757575757576E-3"/>
    <n v="2.1080608262683456E-2"/>
  </r>
  <r>
    <s v="PO-01137"/>
    <x v="1"/>
    <x v="5"/>
    <x v="372"/>
    <d v="2024-06-30T00:00:00"/>
    <x v="0"/>
    <n v="446"/>
    <x v="1132"/>
    <m/>
    <n v="3"/>
    <x v="0"/>
    <n v="17"/>
    <n v="849.72"/>
    <n v="6.7264573991031393E-3"/>
    <n v="1"/>
  </r>
  <r>
    <s v="PO-01138"/>
    <x v="7"/>
    <x v="11"/>
    <x v="43"/>
    <d v="2024-09-13T00:00:00"/>
    <x v="3"/>
    <n v="242"/>
    <x v="1133"/>
    <n v="13587.16"/>
    <n v="6"/>
    <x v="1"/>
    <n v="10"/>
    <n v="174.02000000000044"/>
    <n v="2.4793388429752067E-2"/>
    <n v="1.264571788175145E-2"/>
  </r>
  <r>
    <s v="PO-01139"/>
    <x v="3"/>
    <x v="5"/>
    <x v="576"/>
    <d v="2024-06-02T00:00:00"/>
    <x v="0"/>
    <n v="67"/>
    <x v="1134"/>
    <n v="844.47"/>
    <n v="0"/>
    <x v="0"/>
    <n v="18"/>
    <n v="31.159999999999968"/>
    <n v="0"/>
    <n v="3.5585806790539347E-2"/>
  </r>
  <r>
    <s v="PO-01140"/>
    <x v="4"/>
    <x v="9"/>
    <x v="236"/>
    <d v="2024-11-12T00:00:00"/>
    <x v="0"/>
    <n v="249"/>
    <x v="1135"/>
    <n v="6089.69"/>
    <n v="1"/>
    <x v="0"/>
    <n v="16"/>
    <n v="59.590000000000146"/>
    <n v="4.0160642570281121E-3"/>
    <n v="9.6905653995264726E-3"/>
  </r>
  <r>
    <s v="PO-01141"/>
    <x v="7"/>
    <x v="11"/>
    <x v="427"/>
    <d v="2024-06-15T00:00:00"/>
    <x v="0"/>
    <n v="421"/>
    <x v="1136"/>
    <n v="14167.46"/>
    <n v="0"/>
    <x v="0"/>
    <n v="27"/>
    <n v="290.16000000000167"/>
    <n v="0"/>
    <n v="2.0069693352017942E-2"/>
  </r>
  <r>
    <s v="PO-01142"/>
    <x v="1"/>
    <x v="1"/>
    <x v="372"/>
    <d v="2024-06-16T00:00:00"/>
    <x v="0"/>
    <n v="317"/>
    <x v="1137"/>
    <n v="4524.05"/>
    <n v="3"/>
    <x v="0"/>
    <n v="3"/>
    <n v="225.14999999999964"/>
    <n v="9.4637223974763408E-3"/>
    <n v="4.7407984502653003E-2"/>
  </r>
  <r>
    <s v="PO-01143"/>
    <x v="3"/>
    <x v="1"/>
    <x v="376"/>
    <s v="Not Yet Delivered"/>
    <x v="2"/>
    <n v="469"/>
    <x v="1138"/>
    <n v="5364.56"/>
    <n v="2"/>
    <x v="0"/>
    <s v="Not Applicable"/>
    <n v="144.55999999999949"/>
    <n v="4.2643923240938165E-3"/>
    <n v="2.6240125464683923E-2"/>
  </r>
  <r>
    <s v="PO-01144"/>
    <x v="6"/>
    <x v="8"/>
    <x v="552"/>
    <s v="Not Yet Delivered"/>
    <x v="1"/>
    <n v="52"/>
    <x v="1139"/>
    <n v="8803.16"/>
    <n v="2"/>
    <x v="0"/>
    <s v="Not Applicable"/>
    <n v="152.03000000000065"/>
    <n v="3.8461538461538464E-2"/>
    <n v="1.6976747562028348E-2"/>
  </r>
  <r>
    <s v="PO-01145"/>
    <x v="5"/>
    <x v="4"/>
    <x v="577"/>
    <d v="2024-12-19T00:00:00"/>
    <x v="3"/>
    <n v="276"/>
    <x v="1140"/>
    <n v="49402.879999999997"/>
    <n v="0"/>
    <x v="0"/>
    <n v="27"/>
    <n v="1298.1200000000026"/>
    <n v="0"/>
    <n v="2.5603439774363475E-2"/>
  </r>
  <r>
    <s v="PO-01146"/>
    <x v="0"/>
    <x v="3"/>
    <x v="496"/>
    <s v="Not Yet Delivered"/>
    <x v="2"/>
    <n v="126"/>
    <x v="1141"/>
    <n v="13279.11"/>
    <n v="2"/>
    <x v="0"/>
    <s v="Not Applicable"/>
    <n v="503.20999999999913"/>
    <n v="1.5873015873015872E-2"/>
    <n v="3.651126951050325E-2"/>
  </r>
  <r>
    <s v="PO-01147"/>
    <x v="5"/>
    <x v="5"/>
    <x v="65"/>
    <d v="2023-03-17T00:00:00"/>
    <x v="0"/>
    <n v="283"/>
    <x v="1142"/>
    <n v="892.93"/>
    <n v="0"/>
    <x v="1"/>
    <n v="20"/>
    <n v="51.150000000000091"/>
    <n v="0"/>
    <n v="5.4179730531310998E-2"/>
  </r>
  <r>
    <s v="PO-01148"/>
    <x v="1"/>
    <x v="2"/>
    <x v="568"/>
    <d v="2023-02-02T00:00:00"/>
    <x v="0"/>
    <n v="374"/>
    <x v="1143"/>
    <n v="107.14"/>
    <n v="5"/>
    <x v="0"/>
    <n v="18"/>
    <n v="3.019999999999996"/>
    <n v="1.3368983957219251E-2"/>
    <n v="2.7414669571532282E-2"/>
  </r>
  <r>
    <s v="PO-01149"/>
    <x v="3"/>
    <x v="2"/>
    <x v="561"/>
    <d v="2024-09-27T00:00:00"/>
    <x v="0"/>
    <n v="5"/>
    <x v="1144"/>
    <n v="126.51"/>
    <n v="0"/>
    <x v="1"/>
    <n v="13"/>
    <n v="0.80999999999998806"/>
    <n v="0"/>
    <n v="6.361922714420265E-3"/>
  </r>
  <r>
    <s v="PO-01150"/>
    <x v="6"/>
    <x v="0"/>
    <x v="578"/>
    <d v="2025-01-16T00:00:00"/>
    <x v="3"/>
    <n v="34"/>
    <x v="1145"/>
    <n v="4348.03"/>
    <n v="0"/>
    <x v="0"/>
    <n v="17"/>
    <n v="253.23000000000047"/>
    <n v="0"/>
    <n v="5.5034925216136552E-2"/>
  </r>
  <r>
    <s v="PO-01151"/>
    <x v="7"/>
    <x v="5"/>
    <x v="105"/>
    <d v="2023-12-30T00:00:00"/>
    <x v="0"/>
    <n v="316"/>
    <x v="1146"/>
    <n v="834.68"/>
    <n v="7"/>
    <x v="0"/>
    <n v="29"/>
    <n v="38.240000000000009"/>
    <n v="2.2151898734177215E-2"/>
    <n v="4.380699262246255E-2"/>
  </r>
  <r>
    <s v="PO-01152"/>
    <x v="0"/>
    <x v="8"/>
    <x v="124"/>
    <d v="2024-09-25T00:00:00"/>
    <x v="3"/>
    <n v="380"/>
    <x v="1147"/>
    <n v="8628.02"/>
    <n v="11"/>
    <x v="0"/>
    <n v="30"/>
    <n v="135.77000000000044"/>
    <n v="2.8947368421052631E-2"/>
    <n v="1.5492155791044791E-2"/>
  </r>
  <r>
    <s v="PO-01153"/>
    <x v="4"/>
    <x v="7"/>
    <x v="243"/>
    <d v="2023-03-21T00:00:00"/>
    <x v="0"/>
    <n v="284"/>
    <x v="1148"/>
    <n v="10741.56"/>
    <n v="1"/>
    <x v="0"/>
    <n v="14"/>
    <n v="287.56000000000131"/>
    <n v="3.5211267605633804E-3"/>
    <n v="2.6072796379040329E-2"/>
  </r>
  <r>
    <s v="PO-01154"/>
    <x v="1"/>
    <x v="8"/>
    <x v="579"/>
    <d v="2023-03-08T00:00:00"/>
    <x v="0"/>
    <n v="390"/>
    <x v="1149"/>
    <n v="8278.65"/>
    <n v="6"/>
    <x v="1"/>
    <n v="8"/>
    <n v="126.02000000000044"/>
    <n v="1.5384615384615385E-2"/>
    <n v="1.4994044977375725E-2"/>
  </r>
  <r>
    <s v="PO-01155"/>
    <x v="1"/>
    <x v="0"/>
    <x v="344"/>
    <d v="2024-03-21T00:00:00"/>
    <x v="0"/>
    <n v="352"/>
    <x v="1150"/>
    <n v="3908.05"/>
    <n v="2"/>
    <x v="0"/>
    <n v="23"/>
    <n v="11.009999999999764"/>
    <n v="5.681818181818182E-3"/>
    <n v="2.8093471393649916E-3"/>
  </r>
  <r>
    <s v="PO-01156"/>
    <x v="2"/>
    <x v="0"/>
    <x v="492"/>
    <d v="2024-03-01T00:00:00"/>
    <x v="0"/>
    <n v="354"/>
    <x v="1151"/>
    <n v="4117.43"/>
    <n v="9"/>
    <x v="1"/>
    <n v="7"/>
    <n v="131.26999999999953"/>
    <n v="2.5423728813559324E-2"/>
    <n v="3.0896509520559119E-2"/>
  </r>
  <r>
    <s v="PO-01157"/>
    <x v="7"/>
    <x v="6"/>
    <x v="244"/>
    <d v="2023-11-08T00:00:00"/>
    <x v="0"/>
    <n v="187"/>
    <x v="1152"/>
    <n v="532.79"/>
    <n v="3"/>
    <x v="0"/>
    <n v="17"/>
    <n v="27.57000000000005"/>
    <n v="1.6042780748663103E-2"/>
    <n v="4.920051395531453E-2"/>
  </r>
  <r>
    <s v="PO-01158"/>
    <x v="1"/>
    <x v="10"/>
    <x v="341"/>
    <d v="2024-07-14T00:00:00"/>
    <x v="0"/>
    <n v="72"/>
    <x v="1153"/>
    <n v="50057.51"/>
    <n v="0"/>
    <x v="0"/>
    <n v="5"/>
    <n v="344.52999999999884"/>
    <n v="0"/>
    <n v="6.8356360179071887E-3"/>
  </r>
  <r>
    <s v="PO-01159"/>
    <x v="4"/>
    <x v="1"/>
    <x v="506"/>
    <d v="2024-08-01T00:00:00"/>
    <x v="0"/>
    <n v="42"/>
    <x v="1154"/>
    <n v="4733.76"/>
    <n v="0"/>
    <x v="0"/>
    <n v="11"/>
    <n v="9.6599999999998545"/>
    <n v="0"/>
    <n v="2.0365053062979567E-3"/>
  </r>
  <r>
    <s v="PO-01160"/>
    <x v="1"/>
    <x v="4"/>
    <x v="417"/>
    <d v="2024-06-22T00:00:00"/>
    <x v="0"/>
    <n v="404"/>
    <x v="1155"/>
    <n v="47047.4"/>
    <n v="2"/>
    <x v="1"/>
    <n v="28"/>
    <n v="304.58000000000175"/>
    <n v="4.9504950495049506E-3"/>
    <n v="6.4322547863891171E-3"/>
  </r>
  <r>
    <s v="PO-01161"/>
    <x v="7"/>
    <x v="4"/>
    <x v="25"/>
    <d v="2023-08-22T00:00:00"/>
    <x v="0"/>
    <n v="87"/>
    <x v="1156"/>
    <n v="47649.29"/>
    <n v="0"/>
    <x v="0"/>
    <n v="14"/>
    <n v="2115.4499999999971"/>
    <n v="0"/>
    <n v="4.2509013409896185E-2"/>
  </r>
  <r>
    <s v="PO-01162"/>
    <x v="6"/>
    <x v="8"/>
    <x v="327"/>
    <d v="2023-11-28T00:00:00"/>
    <x v="0"/>
    <n v="47"/>
    <x v="1157"/>
    <n v="8882.48"/>
    <n v="2"/>
    <x v="0"/>
    <n v="4"/>
    <n v="429"/>
    <n v="4.2553191489361701E-2"/>
    <n v="4.6072160386963192E-2"/>
  </r>
  <r>
    <s v="PO-01163"/>
    <x v="7"/>
    <x v="3"/>
    <x v="580"/>
    <d v="2023-10-20T00:00:00"/>
    <x v="3"/>
    <n v="156"/>
    <x v="1158"/>
    <n v="11367.84"/>
    <n v="3"/>
    <x v="0"/>
    <n v="17"/>
    <n v="467.97999999999956"/>
    <n v="1.9230769230769232E-2"/>
    <n v="3.95392968125571E-2"/>
  </r>
  <r>
    <s v="PO-01164"/>
    <x v="7"/>
    <x v="0"/>
    <x v="146"/>
    <d v="2023-11-19T00:00:00"/>
    <x v="0"/>
    <n v="76"/>
    <x v="1159"/>
    <n v="4119.33"/>
    <n v="1"/>
    <x v="0"/>
    <n v="17"/>
    <n v="139.85000000000036"/>
    <n v="1.3157894736842105E-2"/>
    <n v="3.2834958841842878E-2"/>
  </r>
  <r>
    <s v="PO-01165"/>
    <x v="7"/>
    <x v="3"/>
    <x v="572"/>
    <d v="2023-07-07T00:00:00"/>
    <x v="0"/>
    <n v="382"/>
    <x v="1160"/>
    <n v="12050.96"/>
    <n v="5"/>
    <x v="0"/>
    <n v="23"/>
    <n v="525.40000000000146"/>
    <n v="1.3089005235602094E-2"/>
    <n v="4.1776793921293714E-2"/>
  </r>
  <r>
    <s v="PO-01166"/>
    <x v="3"/>
    <x v="10"/>
    <x v="581"/>
    <d v="2023-09-07T00:00:00"/>
    <x v="3"/>
    <n v="340"/>
    <x v="1161"/>
    <n v="52299.61"/>
    <n v="0"/>
    <x v="0"/>
    <n v="16"/>
    <n v="1102.8799999999974"/>
    <n v="0"/>
    <n v="2.0652220523799496E-2"/>
  </r>
  <r>
    <s v="PO-01167"/>
    <x v="1"/>
    <x v="5"/>
    <x v="582"/>
    <d v="2024-05-08T00:00:00"/>
    <x v="0"/>
    <n v="212"/>
    <x v="1162"/>
    <n v="776.56"/>
    <n v="8"/>
    <x v="0"/>
    <n v="29"/>
    <n v="41.1400000000001"/>
    <n v="3.7735849056603772E-2"/>
    <n v="5.0311850311850433E-2"/>
  </r>
  <r>
    <s v="PO-01168"/>
    <x v="2"/>
    <x v="10"/>
    <x v="2"/>
    <d v="2024-07-17T00:00:00"/>
    <x v="0"/>
    <n v="488"/>
    <x v="1163"/>
    <n v="47851.78"/>
    <n v="3"/>
    <x v="0"/>
    <n v="3"/>
    <n v="80.25"/>
    <n v="6.1475409836065573E-3"/>
    <n v="1.6742458018156126E-3"/>
  </r>
  <r>
    <s v="PO-01169"/>
    <x v="6"/>
    <x v="5"/>
    <x v="56"/>
    <d v="2023-05-03T00:00:00"/>
    <x v="0"/>
    <n v="167"/>
    <x v="1164"/>
    <n v="903.47"/>
    <n v="0"/>
    <x v="0"/>
    <n v="18"/>
    <n v="47.490000000000009"/>
    <n v="0"/>
    <n v="4.993900900143014E-2"/>
  </r>
  <r>
    <s v="PO-01170"/>
    <x v="6"/>
    <x v="4"/>
    <x v="583"/>
    <d v="2023-09-20T00:00:00"/>
    <x v="3"/>
    <n v="22"/>
    <x v="1165"/>
    <n v="53107.34"/>
    <n v="0"/>
    <x v="0"/>
    <n v="22"/>
    <n v="269.25"/>
    <n v="0"/>
    <n v="5.0443462199439874E-3"/>
  </r>
  <r>
    <s v="PO-01171"/>
    <x v="1"/>
    <x v="1"/>
    <x v="234"/>
    <d v="2024-02-02T00:00:00"/>
    <x v="0"/>
    <n v="243"/>
    <x v="1166"/>
    <n v="4921.95"/>
    <n v="3"/>
    <x v="0"/>
    <n v="15"/>
    <n v="154.40999999999985"/>
    <n v="1.2345679012345678E-2"/>
    <n v="3.0417464482424387E-2"/>
  </r>
  <r>
    <s v="PO-01172"/>
    <x v="2"/>
    <x v="1"/>
    <x v="147"/>
    <d v="2024-02-05T00:00:00"/>
    <x v="0"/>
    <n v="360"/>
    <x v="1167"/>
    <n v="4619.4799999999996"/>
    <n v="5"/>
    <x v="0"/>
    <n v="26"/>
    <n v="146.8700000000008"/>
    <n v="1.3888888888888888E-2"/>
    <n v="3.0813935191498901E-2"/>
  </r>
  <r>
    <s v="PO-01173"/>
    <x v="7"/>
    <x v="8"/>
    <x v="255"/>
    <d v="2024-04-12T00:00:00"/>
    <x v="0"/>
    <n v="140"/>
    <x v="1168"/>
    <n v="8524.1299999999992"/>
    <n v="4"/>
    <x v="0"/>
    <n v="30"/>
    <n v="319.65000000000146"/>
    <n v="2.8571428571428571E-2"/>
    <n v="3.6144047002526228E-2"/>
  </r>
  <r>
    <s v="PO-01174"/>
    <x v="0"/>
    <x v="5"/>
    <x v="22"/>
    <d v="2023-10-21T00:00:00"/>
    <x v="0"/>
    <n v="22"/>
    <x v="1169"/>
    <n v="879.94"/>
    <n v="0"/>
    <x v="0"/>
    <n v="17"/>
    <n v="28.479999999999905"/>
    <n v="0"/>
    <n v="3.1351137139208632E-2"/>
  </r>
  <r>
    <s v="PO-01175"/>
    <x v="2"/>
    <x v="3"/>
    <x v="8"/>
    <d v="2023-08-08T00:00:00"/>
    <x v="0"/>
    <n v="253"/>
    <x v="1170"/>
    <n v="11799.99"/>
    <n v="4"/>
    <x v="0"/>
    <n v="19"/>
    <n v="135.72999999999956"/>
    <n v="1.5810276679841896E-2"/>
    <n v="1.1371747996769325E-2"/>
  </r>
  <r>
    <s v="PO-01176"/>
    <x v="6"/>
    <x v="5"/>
    <x v="157"/>
    <d v="2024-01-23T00:00:00"/>
    <x v="0"/>
    <n v="326"/>
    <x v="1171"/>
    <n v="940.16"/>
    <n v="1"/>
    <x v="0"/>
    <n v="3"/>
    <n v="31.620000000000005"/>
    <n v="3.0674846625766872E-3"/>
    <n v="3.2538228817222008E-2"/>
  </r>
  <r>
    <s v="PO-01177"/>
    <x v="7"/>
    <x v="3"/>
    <x v="359"/>
    <d v="2024-06-17T00:00:00"/>
    <x v="3"/>
    <n v="182"/>
    <x v="1172"/>
    <n v="12253.62"/>
    <n v="2"/>
    <x v="0"/>
    <n v="7"/>
    <n v="402.98999999999978"/>
    <n v="1.098901098901099E-2"/>
    <n v="3.1840279506123656E-2"/>
  </r>
  <r>
    <s v="PO-01178"/>
    <x v="4"/>
    <x v="0"/>
    <x v="584"/>
    <d v="2023-08-25T00:00:00"/>
    <x v="0"/>
    <n v="43"/>
    <x v="1173"/>
    <n v="3826.63"/>
    <n v="0"/>
    <x v="0"/>
    <n v="5"/>
    <n v="34.960000000000036"/>
    <n v="0"/>
    <n v="9.0532656237456675E-3"/>
  </r>
  <r>
    <s v="PO-01179"/>
    <x v="0"/>
    <x v="10"/>
    <x v="266"/>
    <d v="2024-06-25T00:00:00"/>
    <x v="3"/>
    <n v="308"/>
    <x v="1174"/>
    <n v="53508.02"/>
    <n v="1"/>
    <x v="0"/>
    <n v="22"/>
    <n v="835.93000000000029"/>
    <n v="3.246753246753247E-3"/>
    <n v="1.5382209059150104E-2"/>
  </r>
  <r>
    <s v="PO-01180"/>
    <x v="5"/>
    <x v="3"/>
    <x v="106"/>
    <d v="2024-01-17T00:00:00"/>
    <x v="3"/>
    <n v="55"/>
    <x v="1175"/>
    <n v="11615.42"/>
    <n v="1"/>
    <x v="0"/>
    <n v="10"/>
    <n v="616.77000000000044"/>
    <n v="1.8181818181818181E-2"/>
    <n v="5.0421878666044299E-2"/>
  </r>
  <r>
    <s v="PO-01181"/>
    <x v="6"/>
    <x v="5"/>
    <x v="2"/>
    <s v="Not Yet Delivered"/>
    <x v="1"/>
    <n v="426"/>
    <x v="1176"/>
    <n v="986.98"/>
    <n v="2"/>
    <x v="0"/>
    <s v="Not Applicable"/>
    <n v="6.1200000000000045"/>
    <n v="4.6948356807511738E-3"/>
    <n v="6.1625213976437459E-3"/>
  </r>
  <r>
    <s v="PO-01182"/>
    <x v="0"/>
    <x v="6"/>
    <x v="403"/>
    <d v="2023-06-14T00:00:00"/>
    <x v="0"/>
    <n v="33"/>
    <x v="1177"/>
    <n v="538.59"/>
    <n v="1"/>
    <x v="0"/>
    <n v="4"/>
    <n v="10.579999999999927"/>
    <n v="3.0303030303030304E-2"/>
    <n v="1.92654369320974E-2"/>
  </r>
  <r>
    <s v="PO-01183"/>
    <x v="2"/>
    <x v="4"/>
    <x v="232"/>
    <d v="2024-01-25T00:00:00"/>
    <x v="0"/>
    <n v="255"/>
    <x v="1178"/>
    <n v="45036.78"/>
    <n v="3"/>
    <x v="0"/>
    <n v="21"/>
    <n v="1636.1600000000035"/>
    <n v="1.1764705882352941E-2"/>
    <n v="3.5055858919536748E-2"/>
  </r>
  <r>
    <s v="PO-01184"/>
    <x v="0"/>
    <x v="11"/>
    <x v="162"/>
    <d v="2024-03-29T00:00:00"/>
    <x v="0"/>
    <n v="87"/>
    <x v="1179"/>
    <n v="14424.62"/>
    <n v="0"/>
    <x v="0"/>
    <n v="26"/>
    <n v="520.92999999999847"/>
    <n v="0"/>
    <n v="3.4855191010032989E-2"/>
  </r>
  <r>
    <s v="PO-01185"/>
    <x v="1"/>
    <x v="5"/>
    <x v="286"/>
    <d v="2023-09-25T00:00:00"/>
    <x v="0"/>
    <n v="413"/>
    <x v="1180"/>
    <n v="848.39"/>
    <n v="11"/>
    <x v="0"/>
    <n v="6"/>
    <n v="45.019999999999982"/>
    <n v="2.6634382566585957E-2"/>
    <n v="5.0391197770340589E-2"/>
  </r>
  <r>
    <s v="PO-01186"/>
    <x v="7"/>
    <x v="1"/>
    <x v="585"/>
    <d v="2023-11-20T00:00:00"/>
    <x v="0"/>
    <n v="366"/>
    <x v="1181"/>
    <n v="5300.65"/>
    <n v="6"/>
    <x v="0"/>
    <n v="24"/>
    <n v="108.3100000000004"/>
    <n v="1.6393442622950821E-2"/>
    <n v="2.0024182097852526E-2"/>
  </r>
  <r>
    <s v="PO-01187"/>
    <x v="7"/>
    <x v="5"/>
    <x v="108"/>
    <d v="2023-02-06T00:00:00"/>
    <x v="0"/>
    <n v="485"/>
    <x v="1182"/>
    <n v="909.77"/>
    <n v="4"/>
    <x v="0"/>
    <n v="21"/>
    <n v="4.0500000000000682"/>
    <n v="8.2474226804123713E-3"/>
    <n v="4.4319450219956532E-3"/>
  </r>
  <r>
    <s v="PO-01188"/>
    <x v="1"/>
    <x v="2"/>
    <x v="586"/>
    <d v="2024-04-14T00:00:00"/>
    <x v="0"/>
    <n v="137"/>
    <x v="1183"/>
    <n v="106.27"/>
    <n v="2"/>
    <x v="0"/>
    <n v="28"/>
    <n v="6.4900000000000091"/>
    <n v="1.4598540145985401E-2"/>
    <n v="5.7555870876197311E-2"/>
  </r>
  <r>
    <s v="PO-01189"/>
    <x v="3"/>
    <x v="8"/>
    <x v="42"/>
    <d v="2024-11-27T00:00:00"/>
    <x v="0"/>
    <n v="341"/>
    <x v="1184"/>
    <n v="8750.6"/>
    <n v="1"/>
    <x v="0"/>
    <n v="2"/>
    <n v="178.27999999999884"/>
    <n v="2.9325513196480938E-3"/>
    <n v="1.9966669951886333E-2"/>
  </r>
  <r>
    <s v="PO-01190"/>
    <x v="6"/>
    <x v="11"/>
    <x v="523"/>
    <d v="2023-10-07T00:00:00"/>
    <x v="0"/>
    <n v="419"/>
    <x v="1185"/>
    <n v="14129.82"/>
    <n v="9"/>
    <x v="0"/>
    <n v="13"/>
    <n v="604.14999999999964"/>
    <n v="2.1479713603818614E-2"/>
    <n v="4.1003884221292676E-2"/>
  </r>
  <r>
    <s v="PO-01191"/>
    <x v="4"/>
    <x v="2"/>
    <x v="587"/>
    <d v="2024-09-09T00:00:00"/>
    <x v="0"/>
    <n v="267"/>
    <x v="1186"/>
    <n v="112.24"/>
    <n v="1"/>
    <x v="0"/>
    <n v="4"/>
    <n v="1.3200000000000074"/>
    <n v="3.7453183520599251E-3"/>
    <n v="1.1623811201127222E-2"/>
  </r>
  <r>
    <s v="PO-01192"/>
    <x v="0"/>
    <x v="3"/>
    <x v="180"/>
    <s v="Not Yet Delivered"/>
    <x v="2"/>
    <n v="17"/>
    <x v="1187"/>
    <n v="12806.78"/>
    <n v="2"/>
    <x v="0"/>
    <s v="Not Applicable"/>
    <n v="18.149999999999636"/>
    <n v="0.11764705882352941"/>
    <n v="1.4152124027187389E-3"/>
  </r>
  <r>
    <s v="PO-01193"/>
    <x v="5"/>
    <x v="6"/>
    <x v="336"/>
    <d v="2024-07-27T00:00:00"/>
    <x v="0"/>
    <n v="367"/>
    <x v="1188"/>
    <n v="530.62"/>
    <n v="2"/>
    <x v="0"/>
    <n v="22"/>
    <n v="14.57000000000005"/>
    <n v="5.4495912806539508E-3"/>
    <n v="2.6724628111300736E-2"/>
  </r>
  <r>
    <s v="PO-01194"/>
    <x v="4"/>
    <x v="10"/>
    <x v="231"/>
    <d v="2023-05-28T00:00:00"/>
    <x v="0"/>
    <n v="448"/>
    <x v="1189"/>
    <n v="44730.81"/>
    <n v="9"/>
    <x v="0"/>
    <n v="26"/>
    <n v="1629.8500000000058"/>
    <n v="2.0089285714285716E-2"/>
    <n v="3.5155884320887704E-2"/>
  </r>
  <r>
    <s v="PO-01195"/>
    <x v="4"/>
    <x v="1"/>
    <x v="133"/>
    <d v="2023-04-28T00:00:00"/>
    <x v="3"/>
    <n v="112"/>
    <x v="1190"/>
    <n v="4725.74"/>
    <n v="0"/>
    <x v="0"/>
    <n v="7"/>
    <n v="222.65999999999985"/>
    <n v="0"/>
    <n v="4.4996362460593298E-2"/>
  </r>
  <r>
    <s v="PO-01196"/>
    <x v="4"/>
    <x v="9"/>
    <x v="280"/>
    <d v="2024-08-16T00:00:00"/>
    <x v="0"/>
    <n v="168"/>
    <x v="1191"/>
    <n v="6057.96"/>
    <n v="0"/>
    <x v="0"/>
    <n v="25"/>
    <n v="212.72000000000025"/>
    <n v="0"/>
    <n v="3.3922955724100139E-2"/>
  </r>
  <r>
    <s v="PO-01197"/>
    <x v="6"/>
    <x v="10"/>
    <x v="469"/>
    <d v="2024-01-18T00:00:00"/>
    <x v="0"/>
    <n v="466"/>
    <x v="1192"/>
    <n v="56348.61"/>
    <n v="8"/>
    <x v="0"/>
    <n v="4"/>
    <n v="1975.4199999999983"/>
    <n v="1.7167381974248927E-2"/>
    <n v="3.3869744597552646E-2"/>
  </r>
  <r>
    <s v="PO-01198"/>
    <x v="4"/>
    <x v="0"/>
    <x v="33"/>
    <d v="2023-05-02T00:00:00"/>
    <x v="0"/>
    <n v="407"/>
    <x v="1193"/>
    <n v="4043.85"/>
    <n v="3"/>
    <x v="0"/>
    <n v="2"/>
    <n v="32.360000000000127"/>
    <n v="7.3710073710073713E-3"/>
    <n v="7.9387470223565831E-3"/>
  </r>
  <r>
    <s v="PO-01199"/>
    <x v="7"/>
    <x v="2"/>
    <x v="412"/>
    <d v="2023-04-18T00:00:00"/>
    <x v="0"/>
    <n v="259"/>
    <x v="1194"/>
    <n v="120.86"/>
    <n v="4"/>
    <x v="0"/>
    <n v="16"/>
    <n v="3.7099999999999937"/>
    <n v="1.5444015444015444E-2"/>
    <n v="2.9782451633619603E-2"/>
  </r>
  <r>
    <s v="PO-01200"/>
    <x v="3"/>
    <x v="5"/>
    <x v="97"/>
    <d v="2023-05-06T00:00:00"/>
    <x v="0"/>
    <n v="400"/>
    <x v="1195"/>
    <n v="860.84"/>
    <n v="10"/>
    <x v="0"/>
    <n v="11"/>
    <n v="7.5499999999999545"/>
    <n v="2.5000000000000001E-2"/>
    <n v="8.6942502792523579E-3"/>
  </r>
  <r>
    <s v="PO-01201"/>
    <x v="7"/>
    <x v="6"/>
    <x v="184"/>
    <d v="2023-08-09T00:00:00"/>
    <x v="0"/>
    <n v="192"/>
    <x v="1196"/>
    <n v="524.17999999999995"/>
    <n v="3"/>
    <x v="0"/>
    <n v="8"/>
    <n v="24.840000000000032"/>
    <n v="1.5625E-2"/>
    <n v="4.524425339696192E-2"/>
  </r>
  <r>
    <s v="PO-01202"/>
    <x v="1"/>
    <x v="8"/>
    <x v="365"/>
    <d v="2023-07-13T00:00:00"/>
    <x v="0"/>
    <n v="253"/>
    <x v="1197"/>
    <n v="7888.96"/>
    <n v="0"/>
    <x v="0"/>
    <n v="25"/>
    <n v="242.65999999999985"/>
    <n v="0"/>
    <n v="2.9841532191617396E-2"/>
  </r>
  <r>
    <s v="PO-01203"/>
    <x v="1"/>
    <x v="4"/>
    <x v="180"/>
    <d v="2024-01-05T00:00:00"/>
    <x v="0"/>
    <n v="214"/>
    <x v="1198"/>
    <n v="42793.07"/>
    <n v="4"/>
    <x v="1"/>
    <n v="19"/>
    <n v="1077.6699999999983"/>
    <n v="1.8691588785046728E-2"/>
    <n v="2.4564664284213084E-2"/>
  </r>
  <r>
    <s v="PO-01204"/>
    <x v="0"/>
    <x v="10"/>
    <x v="588"/>
    <d v="2023-11-03T00:00:00"/>
    <x v="0"/>
    <n v="232"/>
    <x v="1199"/>
    <n v="55705.09"/>
    <n v="3"/>
    <x v="0"/>
    <n v="27"/>
    <n v="1028.7100000000064"/>
    <n v="1.2931034482758621E-2"/>
    <n v="1.8132224529293056E-2"/>
  </r>
  <r>
    <s v="PO-01205"/>
    <x v="0"/>
    <x v="3"/>
    <x v="449"/>
    <d v="2023-08-20T00:00:00"/>
    <x v="0"/>
    <n v="354"/>
    <x v="1200"/>
    <n v="12123.66"/>
    <n v="3"/>
    <x v="0"/>
    <n v="30"/>
    <n v="537.13999999999942"/>
    <n v="8.4745762711864406E-3"/>
    <n v="4.2425439150764521E-2"/>
  </r>
  <r>
    <s v="PO-01206"/>
    <x v="1"/>
    <x v="5"/>
    <x v="29"/>
    <d v="2024-11-18T00:00:00"/>
    <x v="0"/>
    <n v="340"/>
    <x v="1201"/>
    <n v="833.13"/>
    <n v="4"/>
    <x v="0"/>
    <n v="3"/>
    <n v="27.259999999999991"/>
    <n v="1.1764705882352941E-2"/>
    <n v="3.1683306407559356E-2"/>
  </r>
  <r>
    <s v="PO-01207"/>
    <x v="6"/>
    <x v="5"/>
    <x v="203"/>
    <s v="Not Yet Delivered"/>
    <x v="1"/>
    <n v="404"/>
    <x v="1202"/>
    <n v="999.18"/>
    <n v="2"/>
    <x v="0"/>
    <s v="Not Applicable"/>
    <n v="23.100000000000023"/>
    <n v="4.9504950495049506E-3"/>
    <n v="2.2596548890714895E-2"/>
  </r>
  <r>
    <s v="PO-01208"/>
    <x v="6"/>
    <x v="7"/>
    <x v="18"/>
    <d v="2024-05-10T00:00:00"/>
    <x v="3"/>
    <n v="124"/>
    <x v="1203"/>
    <n v="12872.53"/>
    <n v="4"/>
    <x v="0"/>
    <n v="23"/>
    <n v="779.59000000000015"/>
    <n v="3.2258064516129031E-2"/>
    <n v="5.7103951620700678E-2"/>
  </r>
  <r>
    <s v="PO-01209"/>
    <x v="3"/>
    <x v="8"/>
    <x v="214"/>
    <d v="2024-05-22T00:00:00"/>
    <x v="0"/>
    <n v="337"/>
    <x v="1204"/>
    <n v="8092.09"/>
    <n v="4"/>
    <x v="1"/>
    <n v="14"/>
    <n v="208.40999999999985"/>
    <n v="1.1869436201780416E-2"/>
    <n v="2.5108126016505011E-2"/>
  </r>
  <r>
    <s v="PO-01210"/>
    <x v="5"/>
    <x v="0"/>
    <x v="51"/>
    <d v="2024-07-21T00:00:00"/>
    <x v="0"/>
    <n v="263"/>
    <x v="1205"/>
    <n v="3991.04"/>
    <n v="0"/>
    <x v="0"/>
    <n v="2"/>
    <n v="142.88000000000011"/>
    <n v="0"/>
    <n v="3.4562836242597851E-2"/>
  </r>
  <r>
    <s v="PO-01211"/>
    <x v="2"/>
    <x v="1"/>
    <x v="405"/>
    <d v="2023-12-28T00:00:00"/>
    <x v="0"/>
    <n v="311"/>
    <x v="1206"/>
    <n v="4942.37"/>
    <n v="2"/>
    <x v="0"/>
    <n v="23"/>
    <n v="26.730000000000473"/>
    <n v="6.4308681672025723E-3"/>
    <n v="5.3792437262281841E-3"/>
  </r>
  <r>
    <s v="PO-01212"/>
    <x v="6"/>
    <x v="3"/>
    <x v="589"/>
    <d v="2024-11-24T00:00:00"/>
    <x v="0"/>
    <n v="175"/>
    <x v="1207"/>
    <n v="12520.65"/>
    <n v="4"/>
    <x v="0"/>
    <n v="25"/>
    <n v="302.73999999999978"/>
    <n v="2.2857142857142857E-2"/>
    <n v="2.3608421797980082E-2"/>
  </r>
  <r>
    <s v="PO-01213"/>
    <x v="1"/>
    <x v="8"/>
    <x v="79"/>
    <d v="2024-06-11T00:00:00"/>
    <x v="0"/>
    <n v="373"/>
    <x v="1208"/>
    <n v="7336.12"/>
    <n v="4"/>
    <x v="0"/>
    <n v="28"/>
    <n v="400.25"/>
    <n v="1.0723860589812333E-2"/>
    <n v="5.1736150158278364E-2"/>
  </r>
  <r>
    <s v="PO-01214"/>
    <x v="4"/>
    <x v="7"/>
    <x v="590"/>
    <d v="2023-05-17T00:00:00"/>
    <x v="0"/>
    <n v="328"/>
    <x v="1209"/>
    <n v="10249.52"/>
    <n v="6"/>
    <x v="0"/>
    <n v="24"/>
    <n v="162.97999999999956"/>
    <n v="1.8292682926829267E-2"/>
    <n v="1.5652340936374506E-2"/>
  </r>
  <r>
    <s v="PO-01215"/>
    <x v="5"/>
    <x v="6"/>
    <x v="552"/>
    <d v="2023-03-22T00:00:00"/>
    <x v="0"/>
    <n v="188"/>
    <x v="1210"/>
    <n v="527.55999999999995"/>
    <n v="2"/>
    <x v="0"/>
    <n v="18"/>
    <n v="6.1500000000000909"/>
    <n v="1.0638297872340425E-2"/>
    <n v="1.1523111802289803E-2"/>
  </r>
  <r>
    <s v="PO-01216"/>
    <x v="2"/>
    <x v="1"/>
    <x v="488"/>
    <d v="2023-09-02T00:00:00"/>
    <x v="0"/>
    <n v="202"/>
    <x v="1211"/>
    <n v="5045.04"/>
    <n v="2"/>
    <x v="0"/>
    <n v="9"/>
    <n v="90.609999999999673"/>
    <n v="9.9009900990099011E-3"/>
    <n v="1.7643336286545946E-2"/>
  </r>
  <r>
    <s v="PO-01217"/>
    <x v="1"/>
    <x v="4"/>
    <x v="456"/>
    <d v="2023-07-16T00:00:00"/>
    <x v="3"/>
    <n v="16"/>
    <x v="1212"/>
    <n v="45911.31"/>
    <n v="1"/>
    <x v="0"/>
    <n v="7"/>
    <n v="367.76000000000204"/>
    <n v="6.25E-2"/>
    <n v="7.9465728243891254E-3"/>
  </r>
  <r>
    <s v="PO-01218"/>
    <x v="0"/>
    <x v="11"/>
    <x v="175"/>
    <d v="2023-02-14T00:00:00"/>
    <x v="0"/>
    <n v="149"/>
    <x v="1213"/>
    <n v="14282.57"/>
    <n v="0"/>
    <x v="0"/>
    <n v="24"/>
    <n v="34.729999999999563"/>
    <n v="0"/>
    <n v="2.4257366961647495E-3"/>
  </r>
  <r>
    <s v="PO-01219"/>
    <x v="2"/>
    <x v="5"/>
    <x v="157"/>
    <d v="2024-02-13T00:00:00"/>
    <x v="0"/>
    <n v="318"/>
    <x v="1214"/>
    <n v="852.2"/>
    <n v="1"/>
    <x v="0"/>
    <n v="24"/>
    <n v="2.4099999999999682"/>
    <n v="3.1446540880503146E-3"/>
    <n v="2.819999765975086E-3"/>
  </r>
  <r>
    <s v="PO-01220"/>
    <x v="4"/>
    <x v="3"/>
    <x v="347"/>
    <d v="2024-09-14T00:00:00"/>
    <x v="0"/>
    <n v="223"/>
    <x v="1215"/>
    <n v="11055.25"/>
    <n v="3"/>
    <x v="1"/>
    <n v="24"/>
    <n v="651.06999999999971"/>
    <n v="1.3452914798206279E-2"/>
    <n v="5.5616965878260607E-2"/>
  </r>
  <r>
    <s v="PO-01221"/>
    <x v="5"/>
    <x v="5"/>
    <x v="180"/>
    <d v="2023-12-27T00:00:00"/>
    <x v="0"/>
    <n v="190"/>
    <x v="1216"/>
    <n v="920.39"/>
    <n v="3"/>
    <x v="0"/>
    <n v="10"/>
    <n v="27.230000000000018"/>
    <n v="1.5789473684210527E-2"/>
    <n v="2.873514699985228E-2"/>
  </r>
  <r>
    <s v="PO-01222"/>
    <x v="3"/>
    <x v="4"/>
    <x v="550"/>
    <d v="2023-06-13T00:00:00"/>
    <x v="0"/>
    <n v="255"/>
    <x v="1217"/>
    <n v="45915.51"/>
    <n v="3"/>
    <x v="0"/>
    <n v="22"/>
    <n v="1850.6500000000015"/>
    <n v="1.1764705882352941E-2"/>
    <n v="3.8743955972177821E-2"/>
  </r>
  <r>
    <s v="PO-01223"/>
    <x v="0"/>
    <x v="11"/>
    <x v="71"/>
    <d v="2024-06-29T00:00:00"/>
    <x v="0"/>
    <n v="165"/>
    <x v="1218"/>
    <n v="14908.57"/>
    <n v="1"/>
    <x v="0"/>
    <n v="3"/>
    <n v="95.079999999999927"/>
    <n v="6.0606060606060606E-3"/>
    <n v="6.337124633005964E-3"/>
  </r>
  <r>
    <s v="PO-01224"/>
    <x v="1"/>
    <x v="11"/>
    <x v="500"/>
    <d v="2024-02-04T00:00:00"/>
    <x v="0"/>
    <n v="499"/>
    <x v="1219"/>
    <n v="12865.75"/>
    <n v="6"/>
    <x v="0"/>
    <n v="20"/>
    <n v="174.65999999999985"/>
    <n v="1.2024048096192385E-2"/>
    <n v="1.3393750656612779E-2"/>
  </r>
  <r>
    <s v="PO-01225"/>
    <x v="0"/>
    <x v="11"/>
    <x v="591"/>
    <d v="2023-10-22T00:00:00"/>
    <x v="0"/>
    <n v="248"/>
    <x v="1220"/>
    <n v="14673.79"/>
    <n v="2"/>
    <x v="0"/>
    <n v="9"/>
    <n v="880.32999999999993"/>
    <n v="8.0645161290322578E-3"/>
    <n v="5.6597866031636627E-2"/>
  </r>
  <r>
    <s v="PO-01226"/>
    <x v="1"/>
    <x v="4"/>
    <x v="180"/>
    <d v="2024-01-10T00:00:00"/>
    <x v="0"/>
    <n v="338"/>
    <x v="1221"/>
    <n v="40773.03"/>
    <n v="3"/>
    <x v="0"/>
    <n v="24"/>
    <n v="1770.6399999999994"/>
    <n v="8.8757396449704144E-3"/>
    <n v="4.1619352538227176E-2"/>
  </r>
  <r>
    <s v="PO-01227"/>
    <x v="0"/>
    <x v="7"/>
    <x v="592"/>
    <d v="2023-07-23T00:00:00"/>
    <x v="0"/>
    <n v="220"/>
    <x v="1222"/>
    <n v="12100.03"/>
    <n v="1"/>
    <x v="0"/>
    <n v="19"/>
    <n v="64.789999999999054"/>
    <n v="4.5454545454545452E-3"/>
    <n v="5.326013866214137E-3"/>
  </r>
  <r>
    <s v="PO-01228"/>
    <x v="6"/>
    <x v="5"/>
    <x v="557"/>
    <d v="2023-10-03T00:00:00"/>
    <x v="0"/>
    <n v="277"/>
    <x v="1223"/>
    <n v="982.63"/>
    <n v="4"/>
    <x v="0"/>
    <n v="13"/>
    <n v="28.810000000000059"/>
    <n v="1.444043321299639E-2"/>
    <n v="2.848414142213088E-2"/>
  </r>
  <r>
    <s v="PO-01229"/>
    <x v="3"/>
    <x v="6"/>
    <x v="101"/>
    <d v="2023-09-11T00:00:00"/>
    <x v="3"/>
    <n v="352"/>
    <x v="1224"/>
    <n v="571.69000000000005"/>
    <n v="1"/>
    <x v="0"/>
    <n v="10"/>
    <n v="2.3399999999999181"/>
    <n v="2.840909090909091E-3"/>
    <n v="4.0764419978048501E-3"/>
  </r>
  <r>
    <s v="PO-01230"/>
    <x v="5"/>
    <x v="9"/>
    <x v="593"/>
    <d v="2023-02-17T00:00:00"/>
    <x v="0"/>
    <n v="346"/>
    <x v="1225"/>
    <n v="6127.67"/>
    <n v="6"/>
    <x v="0"/>
    <n v="20"/>
    <n v="40.170000000000073"/>
    <n v="1.7341040462427744E-2"/>
    <n v="6.5128148590106218E-3"/>
  </r>
  <r>
    <s v="PO-01231"/>
    <x v="6"/>
    <x v="8"/>
    <x v="60"/>
    <d v="2023-10-05T00:00:00"/>
    <x v="0"/>
    <n v="267"/>
    <x v="1226"/>
    <n v="8956.16"/>
    <n v="3"/>
    <x v="0"/>
    <n v="29"/>
    <n v="220.22999999999956"/>
    <n v="1.1235955056179775E-2"/>
    <n v="2.3999633842938191E-2"/>
  </r>
  <r>
    <s v="PO-01232"/>
    <x v="3"/>
    <x v="8"/>
    <x v="37"/>
    <d v="2024-06-19T00:00:00"/>
    <x v="0"/>
    <n v="21"/>
    <x v="1227"/>
    <n v="8765.2000000000007"/>
    <n v="0"/>
    <x v="0"/>
    <n v="14"/>
    <n v="302.27999999999884"/>
    <n v="0"/>
    <n v="3.3336715382884644E-2"/>
  </r>
  <r>
    <s v="PO-01233"/>
    <x v="6"/>
    <x v="11"/>
    <x v="278"/>
    <d v="2023-09-18T00:00:00"/>
    <x v="0"/>
    <n v="77"/>
    <x v="1228"/>
    <n v="14402.66"/>
    <n v="1"/>
    <x v="0"/>
    <n v="21"/>
    <n v="721.80999999999949"/>
    <n v="1.2987012987012988E-2"/>
    <n v="4.7724647541368362E-2"/>
  </r>
  <r>
    <s v="PO-01234"/>
    <x v="6"/>
    <x v="2"/>
    <x v="313"/>
    <d v="2023-11-06T00:00:00"/>
    <x v="0"/>
    <n v="139"/>
    <x v="1229"/>
    <n v="123.37"/>
    <n v="2"/>
    <x v="0"/>
    <n v="14"/>
    <n v="7.75"/>
    <n v="1.4388489208633094E-2"/>
    <n v="5.9106162294081756E-2"/>
  </r>
  <r>
    <s v="PO-01235"/>
    <x v="2"/>
    <x v="1"/>
    <x v="373"/>
    <d v="2024-04-02T00:00:00"/>
    <x v="0"/>
    <n v="150"/>
    <x v="1230"/>
    <n v="4874.95"/>
    <n v="1"/>
    <x v="0"/>
    <n v="29"/>
    <n v="2.3699999999998909"/>
    <n v="6.6666666666666671E-3"/>
    <n v="4.8592259683594494E-4"/>
  </r>
  <r>
    <s v="PO-01236"/>
    <x v="5"/>
    <x v="6"/>
    <x v="282"/>
    <d v="2024-03-06T00:00:00"/>
    <x v="0"/>
    <n v="370"/>
    <x v="1231"/>
    <n v="514.97"/>
    <n v="0"/>
    <x v="0"/>
    <n v="19"/>
    <n v="26.5"/>
    <n v="0"/>
    <n v="4.8940846214933421E-2"/>
  </r>
  <r>
    <s v="PO-01237"/>
    <x v="6"/>
    <x v="3"/>
    <x v="287"/>
    <d v="2024-01-20T00:00:00"/>
    <x v="0"/>
    <n v="166"/>
    <x v="1232"/>
    <n v="13115.09"/>
    <n v="3"/>
    <x v="0"/>
    <n v="19"/>
    <n v="754"/>
    <n v="1.8072289156626505E-2"/>
    <n v="5.4365499106285992E-2"/>
  </r>
  <r>
    <s v="PO-01238"/>
    <x v="5"/>
    <x v="8"/>
    <x v="457"/>
    <d v="2024-08-28T00:00:00"/>
    <x v="0"/>
    <n v="274"/>
    <x v="1233"/>
    <n v="7881.09"/>
    <n v="4"/>
    <x v="0"/>
    <n v="16"/>
    <n v="399.75"/>
    <n v="1.4598540145985401E-2"/>
    <n v="4.8274088135986201E-2"/>
  </r>
  <r>
    <s v="PO-01239"/>
    <x v="3"/>
    <x v="5"/>
    <x v="158"/>
    <d v="2023-02-07T00:00:00"/>
    <x v="0"/>
    <n v="127"/>
    <x v="1234"/>
    <n v="908.79"/>
    <n v="1"/>
    <x v="0"/>
    <n v="28"/>
    <n v="47.900000000000091"/>
    <n v="7.874015748031496E-3"/>
    <n v="5.0068465229071157E-2"/>
  </r>
  <r>
    <s v="PO-01240"/>
    <x v="3"/>
    <x v="6"/>
    <x v="594"/>
    <d v="2024-02-25T00:00:00"/>
    <x v="3"/>
    <n v="303"/>
    <x v="1235"/>
    <n v="576.1"/>
    <n v="2"/>
    <x v="0"/>
    <n v="14"/>
    <n v="5"/>
    <n v="6.6006600660066007E-3"/>
    <n v="8.6043710204784032E-3"/>
  </r>
  <r>
    <s v="PO-01241"/>
    <x v="0"/>
    <x v="7"/>
    <x v="595"/>
    <s v="Not Yet Delivered"/>
    <x v="2"/>
    <n v="225"/>
    <x v="1236"/>
    <n v="12080.6"/>
    <n v="2"/>
    <x v="0"/>
    <s v="Not Applicable"/>
    <n v="755.97999999999956"/>
    <n v="8.8888888888888889E-3"/>
    <n v="5.8892633396122607E-2"/>
  </r>
  <r>
    <s v="PO-01242"/>
    <x v="5"/>
    <x v="9"/>
    <x v="482"/>
    <d v="2023-02-13T00:00:00"/>
    <x v="3"/>
    <n v="206"/>
    <x v="1237"/>
    <n v="6408.14"/>
    <n v="0"/>
    <x v="0"/>
    <n v="2"/>
    <n v="136.92000000000007"/>
    <n v="0"/>
    <n v="2.0919594319990964E-2"/>
  </r>
  <r>
    <s v="PO-01243"/>
    <x v="2"/>
    <x v="6"/>
    <x v="596"/>
    <d v="2024-03-19T00:00:00"/>
    <x v="0"/>
    <n v="364"/>
    <x v="1238"/>
    <n v="554.76"/>
    <n v="3"/>
    <x v="0"/>
    <n v="14"/>
    <n v="0.76999999999998181"/>
    <n v="8.241758241758242E-3"/>
    <n v="1.3860637589328782E-3"/>
  </r>
  <r>
    <s v="PO-01244"/>
    <x v="3"/>
    <x v="11"/>
    <x v="144"/>
    <d v="2024-10-09T00:00:00"/>
    <x v="0"/>
    <n v="63"/>
    <x v="1239"/>
    <n v="15202.43"/>
    <n v="0"/>
    <x v="0"/>
    <n v="6"/>
    <n v="474.31999999999971"/>
    <n v="0"/>
    <n v="3.0256271229687257E-2"/>
  </r>
  <r>
    <s v="PO-01245"/>
    <x v="7"/>
    <x v="5"/>
    <x v="585"/>
    <s v="Not Yet Delivered"/>
    <x v="2"/>
    <n v="430"/>
    <x v="1240"/>
    <n v="853.59"/>
    <n v="2"/>
    <x v="0"/>
    <s v="Not Applicable"/>
    <n v="36.75"/>
    <n v="4.6511627906976744E-3"/>
    <n v="4.127636633196307E-2"/>
  </r>
  <r>
    <s v="PO-01246"/>
    <x v="4"/>
    <x v="9"/>
    <x v="96"/>
    <d v="2024-05-31T00:00:00"/>
    <x v="0"/>
    <n v="178"/>
    <x v="1241"/>
    <n v="5752.27"/>
    <n v="2"/>
    <x v="0"/>
    <n v="11"/>
    <n v="35.599999999999454"/>
    <n v="1.1235955056179775E-2"/>
    <n v="6.1507946792169581E-3"/>
  </r>
  <r>
    <s v="PO-01247"/>
    <x v="2"/>
    <x v="7"/>
    <x v="345"/>
    <d v="2023-05-15T00:00:00"/>
    <x v="3"/>
    <n v="325"/>
    <x v="1242"/>
    <n v="11229.67"/>
    <n v="0"/>
    <x v="0"/>
    <n v="29"/>
    <n v="527.35000000000036"/>
    <n v="0"/>
    <n v="4.4854053152924837E-2"/>
  </r>
  <r>
    <s v="PO-01248"/>
    <x v="3"/>
    <x v="7"/>
    <x v="434"/>
    <d v="2024-05-29T00:00:00"/>
    <x v="0"/>
    <n v="171"/>
    <x v="1243"/>
    <n v="11771.41"/>
    <n v="3"/>
    <x v="0"/>
    <n v="20"/>
    <n v="700.48999999999978"/>
    <n v="1.7543859649122806E-2"/>
    <n v="5.6165459953976524E-2"/>
  </r>
  <r>
    <s v="PO-01249"/>
    <x v="2"/>
    <x v="8"/>
    <x v="205"/>
    <d v="2024-11-09T00:00:00"/>
    <x v="0"/>
    <n v="282"/>
    <x v="1244"/>
    <n v="7895.41"/>
    <n v="5"/>
    <x v="0"/>
    <n v="4"/>
    <n v="24.300000000000182"/>
    <n v="1.7730496453900711E-2"/>
    <n v="3.0682941673369581E-3"/>
  </r>
  <r>
    <s v="PO-01250"/>
    <x v="3"/>
    <x v="5"/>
    <x v="528"/>
    <d v="2023-11-30T00:00:00"/>
    <x v="0"/>
    <n v="456"/>
    <x v="1245"/>
    <n v="865.06"/>
    <n v="2"/>
    <x v="0"/>
    <n v="27"/>
    <n v="9.6200000000000045"/>
    <n v="4.3859649122807015E-3"/>
    <n v="1.0998307952622679E-2"/>
  </r>
  <r>
    <s v="PO-01251"/>
    <x v="1"/>
    <x v="6"/>
    <x v="597"/>
    <d v="2023-05-26T00:00:00"/>
    <x v="0"/>
    <n v="409"/>
    <x v="1246"/>
    <n v="488.56"/>
    <n v="8"/>
    <x v="0"/>
    <n v="19"/>
    <n v="1.1299999999999955"/>
    <n v="1.9559902200488997E-2"/>
    <n v="2.3075823480160824E-3"/>
  </r>
  <r>
    <s v="PO-01252"/>
    <x v="6"/>
    <x v="6"/>
    <x v="598"/>
    <d v="2024-04-07T00:00:00"/>
    <x v="0"/>
    <n v="332"/>
    <x v="1247"/>
    <n v="599.64"/>
    <n v="1"/>
    <x v="0"/>
    <n v="27"/>
    <n v="19.639999999999986"/>
    <n v="3.0120481927710845E-3"/>
    <n v="3.1714248805063926E-2"/>
  </r>
  <r>
    <s v="PO-01253"/>
    <x v="3"/>
    <x v="0"/>
    <x v="95"/>
    <s v="Not Yet Delivered"/>
    <x v="2"/>
    <n v="307"/>
    <x v="1248"/>
    <n v="3933.13"/>
    <n v="2"/>
    <x v="0"/>
    <s v="Not Applicable"/>
    <n v="121.40000000000009"/>
    <n v="6.5146579804560263E-3"/>
    <n v="2.9941818163880914E-2"/>
  </r>
  <r>
    <s v="PO-01254"/>
    <x v="5"/>
    <x v="6"/>
    <x v="599"/>
    <d v="2024-12-31T00:00:00"/>
    <x v="0"/>
    <n v="265"/>
    <x v="1249"/>
    <n v="534.5"/>
    <n v="2"/>
    <x v="0"/>
    <n v="16"/>
    <n v="29.279999999999973"/>
    <n v="7.5471698113207548E-3"/>
    <n v="5.1935152009649106E-2"/>
  </r>
  <r>
    <s v="PO-01255"/>
    <x v="2"/>
    <x v="1"/>
    <x v="136"/>
    <d v="2025-01-02T00:00:00"/>
    <x v="3"/>
    <n v="480"/>
    <x v="1250"/>
    <n v="4931.88"/>
    <n v="4"/>
    <x v="0"/>
    <n v="19"/>
    <n v="249.88000000000011"/>
    <n v="8.3333333333333332E-3"/>
    <n v="4.8222997591551922E-2"/>
  </r>
  <r>
    <s v="PO-01256"/>
    <x v="6"/>
    <x v="10"/>
    <x v="37"/>
    <d v="2024-06-18T00:00:00"/>
    <x v="0"/>
    <n v="73"/>
    <x v="1251"/>
    <n v="53029.24"/>
    <n v="0"/>
    <x v="0"/>
    <n v="13"/>
    <n v="1810.6200000000026"/>
    <n v="0"/>
    <n v="3.3016495665743904E-2"/>
  </r>
  <r>
    <s v="PO-01257"/>
    <x v="0"/>
    <x v="3"/>
    <x v="262"/>
    <d v="2023-11-10T00:00:00"/>
    <x v="0"/>
    <n v="468"/>
    <x v="1252"/>
    <n v="12359.77"/>
    <n v="5"/>
    <x v="0"/>
    <n v="20"/>
    <n v="309.38999999999942"/>
    <n v="1.0683760683760684E-2"/>
    <n v="2.4420719289992347E-2"/>
  </r>
  <r>
    <s v="PO-01258"/>
    <x v="4"/>
    <x v="4"/>
    <x v="28"/>
    <d v="2023-09-21T00:00:00"/>
    <x v="0"/>
    <n v="348"/>
    <x v="1253"/>
    <n v="42479.89"/>
    <n v="3"/>
    <x v="0"/>
    <n v="18"/>
    <n v="2274.7300000000032"/>
    <n v="8.6206896551724137E-3"/>
    <n v="5.0826707946576309E-2"/>
  </r>
  <r>
    <s v="PO-01259"/>
    <x v="3"/>
    <x v="9"/>
    <x v="167"/>
    <d v="2023-07-09T00:00:00"/>
    <x v="0"/>
    <n v="120"/>
    <x v="1254"/>
    <n v="6347.53"/>
    <n v="2"/>
    <x v="0"/>
    <n v="10"/>
    <n v="278.30000000000018"/>
    <n v="1.6666666666666666E-2"/>
    <n v="4.2002284996747602E-2"/>
  </r>
  <r>
    <s v="PO-01260"/>
    <x v="7"/>
    <x v="7"/>
    <x v="600"/>
    <d v="2024-11-03T00:00:00"/>
    <x v="0"/>
    <n v="192"/>
    <x v="1255"/>
    <n v="11380.3"/>
    <n v="0"/>
    <x v="0"/>
    <n v="19"/>
    <n v="75.530000000000655"/>
    <n v="0"/>
    <n v="6.5931495142648464E-3"/>
  </r>
  <r>
    <s v="PO-01261"/>
    <x v="4"/>
    <x v="2"/>
    <x v="362"/>
    <d v="2024-06-24T00:00:00"/>
    <x v="0"/>
    <n v="6"/>
    <x v="1256"/>
    <n v="107.14"/>
    <n v="0"/>
    <x v="0"/>
    <n v="13"/>
    <n v="4.519999999999996"/>
    <n v="0"/>
    <n v="4.0480028658427335E-2"/>
  </r>
  <r>
    <s v="PO-01262"/>
    <x v="4"/>
    <x v="10"/>
    <x v="100"/>
    <d v="2023-08-19T00:00:00"/>
    <x v="0"/>
    <n v="375"/>
    <x v="1257"/>
    <n v="43742"/>
    <n v="5"/>
    <x v="0"/>
    <n v="4"/>
    <n v="2697.1299999999974"/>
    <n v="1.3333333333333334E-2"/>
    <n v="5.8078822751416695E-2"/>
  </r>
  <r>
    <s v="PO-01263"/>
    <x v="4"/>
    <x v="6"/>
    <x v="25"/>
    <d v="2023-08-19T00:00:00"/>
    <x v="0"/>
    <n v="244"/>
    <x v="1258"/>
    <n v="449.16"/>
    <n v="4"/>
    <x v="0"/>
    <n v="11"/>
    <n v="28.049999999999955"/>
    <n v="1.6393442622950821E-2"/>
    <n v="5.877915383164635E-2"/>
  </r>
  <r>
    <s v="PO-01264"/>
    <x v="1"/>
    <x v="4"/>
    <x v="601"/>
    <s v="Not Yet Delivered"/>
    <x v="1"/>
    <n v="310"/>
    <x v="1259"/>
    <n v="44066.48"/>
    <n v="2"/>
    <x v="0"/>
    <s v="Not Applicable"/>
    <n v="250.27999999999884"/>
    <n v="6.4516129032258064E-3"/>
    <n v="5.647524773922977E-3"/>
  </r>
  <r>
    <s v="PO-01265"/>
    <x v="5"/>
    <x v="2"/>
    <x v="21"/>
    <s v="Not Yet Delivered"/>
    <x v="2"/>
    <n v="216"/>
    <x v="1260"/>
    <n v="113.1"/>
    <n v="2"/>
    <x v="0"/>
    <s v="Not Applicable"/>
    <n v="0.85999999999999943"/>
    <n v="9.2592592592592587E-3"/>
    <n v="7.5465075465075415E-3"/>
  </r>
  <r>
    <s v="PO-01266"/>
    <x v="4"/>
    <x v="8"/>
    <x v="602"/>
    <s v="Not Yet Delivered"/>
    <x v="2"/>
    <n v="198"/>
    <x v="1261"/>
    <n v="7427.92"/>
    <n v="2"/>
    <x v="0"/>
    <s v="Not Applicable"/>
    <n v="218.52999999999975"/>
    <n v="1.0101010101010102E-2"/>
    <n v="2.8579275349998986E-2"/>
  </r>
  <r>
    <s v="PO-01267"/>
    <x v="3"/>
    <x v="8"/>
    <x v="603"/>
    <s v="Not Yet Delivered"/>
    <x v="1"/>
    <n v="187"/>
    <x v="1262"/>
    <n v="8441.6299999999992"/>
    <n v="2"/>
    <x v="0"/>
    <s v="Not Applicable"/>
    <n v="459.01000000000022"/>
    <n v="1.06951871657754E-2"/>
    <n v="5.1570448866598388E-2"/>
  </r>
  <r>
    <s v="PO-01268"/>
    <x v="0"/>
    <x v="1"/>
    <x v="109"/>
    <d v="2024-09-20T00:00:00"/>
    <x v="0"/>
    <n v="126"/>
    <x v="1263"/>
    <n v="5405.67"/>
    <n v="1"/>
    <x v="0"/>
    <n v="21"/>
    <n v="20.340000000000146"/>
    <n v="7.9365079365079361E-3"/>
    <n v="3.748610857702095E-3"/>
  </r>
  <r>
    <s v="PO-01269"/>
    <x v="5"/>
    <x v="6"/>
    <x v="311"/>
    <d v="2024-07-31T00:00:00"/>
    <x v="0"/>
    <n v="254"/>
    <x v="1264"/>
    <n v="511.47"/>
    <n v="2"/>
    <x v="0"/>
    <n v="5"/>
    <n v="25.319999999999936"/>
    <n v="7.874015748031496E-3"/>
    <n v="4.7169284077572121E-2"/>
  </r>
  <r>
    <s v="PO-01270"/>
    <x v="1"/>
    <x v="3"/>
    <x v="52"/>
    <d v="2023-01-16T00:00:00"/>
    <x v="0"/>
    <n v="269"/>
    <x v="1265"/>
    <n v="11018.22"/>
    <n v="6"/>
    <x v="0"/>
    <n v="8"/>
    <n v="273.45000000000073"/>
    <n v="2.2304832713754646E-2"/>
    <n v="2.4216967020821607E-2"/>
  </r>
  <r>
    <s v="PO-01271"/>
    <x v="1"/>
    <x v="11"/>
    <x v="322"/>
    <s v="Not Yet Delivered"/>
    <x v="1"/>
    <n v="317"/>
    <x v="1266"/>
    <n v="12717.99"/>
    <n v="2"/>
    <x v="0"/>
    <s v="Not Applicable"/>
    <n v="319.76000000000022"/>
    <n v="6.3091482649842269E-3"/>
    <n v="2.4525704205096754E-2"/>
  </r>
  <r>
    <s v="PO-01272"/>
    <x v="4"/>
    <x v="3"/>
    <x v="15"/>
    <s v="Not Yet Delivered"/>
    <x v="2"/>
    <n v="150"/>
    <x v="1267"/>
    <n v="10972.17"/>
    <n v="2"/>
    <x v="0"/>
    <s v="Not Applicable"/>
    <n v="330.46999999999935"/>
    <n v="1.3333333333333334E-2"/>
    <n v="2.9238301848063759E-2"/>
  </r>
  <r>
    <s v="PO-01273"/>
    <x v="3"/>
    <x v="0"/>
    <x v="103"/>
    <d v="2024-11-02T00:00:00"/>
    <x v="0"/>
    <n v="251"/>
    <x v="1268"/>
    <n v="4087.37"/>
    <n v="1"/>
    <x v="0"/>
    <n v="11"/>
    <n v="207.85000000000036"/>
    <n v="3.9840637450199202E-3"/>
    <n v="4.8391002090696252E-2"/>
  </r>
  <r>
    <s v="PO-01274"/>
    <x v="0"/>
    <x v="10"/>
    <x v="604"/>
    <d v="2024-01-02T00:00:00"/>
    <x v="0"/>
    <n v="57"/>
    <x v="1269"/>
    <n v="52226.65"/>
    <n v="1"/>
    <x v="0"/>
    <n v="26"/>
    <n v="2808.8399999999965"/>
    <n v="1.7543859649122806E-2"/>
    <n v="5.1036885471538396E-2"/>
  </r>
  <r>
    <s v="PO-01275"/>
    <x v="7"/>
    <x v="3"/>
    <x v="14"/>
    <d v="2024-12-07T00:00:00"/>
    <x v="0"/>
    <n v="16"/>
    <x v="1270"/>
    <n v="12776.52"/>
    <n v="0"/>
    <x v="1"/>
    <n v="23"/>
    <n v="42.159999999999854"/>
    <n v="0"/>
    <n v="3.2889501883189105E-3"/>
  </r>
  <r>
    <s v="PO-01276"/>
    <x v="0"/>
    <x v="8"/>
    <x v="396"/>
    <d v="2024-06-03T00:00:00"/>
    <x v="0"/>
    <n v="323"/>
    <x v="1271"/>
    <n v="8491.07"/>
    <n v="0"/>
    <x v="0"/>
    <n v="8"/>
    <n v="29.450000000000728"/>
    <n v="0"/>
    <n v="3.4563618182928656E-3"/>
  </r>
  <r>
    <s v="PO-01277"/>
    <x v="2"/>
    <x v="1"/>
    <x v="372"/>
    <d v="2024-07-02T00:00:00"/>
    <x v="0"/>
    <n v="177"/>
    <x v="1272"/>
    <n v="4673.4799999999996"/>
    <n v="2"/>
    <x v="0"/>
    <n v="19"/>
    <n v="98.900000000000546"/>
    <n v="1.1299435028248588E-2"/>
    <n v="2.0723412636881502E-2"/>
  </r>
  <r>
    <s v="PO-01278"/>
    <x v="7"/>
    <x v="1"/>
    <x v="98"/>
    <s v="Not Yet Delivered"/>
    <x v="2"/>
    <n v="284"/>
    <x v="1273"/>
    <n v="4685.63"/>
    <n v="2"/>
    <x v="0"/>
    <s v="Not Applicable"/>
    <n v="220.30000000000018"/>
    <n v="7.0422535211267607E-3"/>
    <n v="4.4904839653236016E-2"/>
  </r>
  <r>
    <s v="PO-01279"/>
    <x v="6"/>
    <x v="6"/>
    <x v="154"/>
    <d v="2024-05-15T00:00:00"/>
    <x v="0"/>
    <n v="157"/>
    <x v="1274"/>
    <n v="540.53"/>
    <n v="2"/>
    <x v="0"/>
    <n v="3"/>
    <n v="23.670000000000073"/>
    <n v="1.2738853503184714E-2"/>
    <n v="4.1953208082240463E-2"/>
  </r>
  <r>
    <s v="PO-01280"/>
    <x v="3"/>
    <x v="8"/>
    <x v="359"/>
    <d v="2024-06-18T00:00:00"/>
    <x v="0"/>
    <n v="408"/>
    <x v="1275"/>
    <n v="7942.11"/>
    <n v="15"/>
    <x v="0"/>
    <n v="8"/>
    <n v="221.49000000000069"/>
    <n v="3.6764705882352942E-2"/>
    <n v="2.7131412612082989E-2"/>
  </r>
  <r>
    <s v="PO-01281"/>
    <x v="2"/>
    <x v="1"/>
    <x v="11"/>
    <d v="2023-03-06T00:00:00"/>
    <x v="3"/>
    <n v="377"/>
    <x v="1276"/>
    <n v="5096.38"/>
    <n v="7"/>
    <x v="0"/>
    <n v="29"/>
    <n v="138.1899999999996"/>
    <n v="1.8567639257294429E-2"/>
    <n v="2.6399494132278222E-2"/>
  </r>
  <r>
    <s v="PO-01282"/>
    <x v="6"/>
    <x v="3"/>
    <x v="528"/>
    <s v="Not Yet Delivered"/>
    <x v="1"/>
    <n v="476"/>
    <x v="1277"/>
    <n v="13680.2"/>
    <n v="2"/>
    <x v="0"/>
    <s v="Not Applicable"/>
    <n v="144.09999999999854"/>
    <n v="4.2016806722689074E-3"/>
    <n v="1.0423674254754205E-2"/>
  </r>
  <r>
    <s v="PO-01283"/>
    <x v="5"/>
    <x v="5"/>
    <x v="558"/>
    <d v="2024-06-17T00:00:00"/>
    <x v="0"/>
    <n v="123"/>
    <x v="1278"/>
    <n v="871"/>
    <n v="0"/>
    <x v="0"/>
    <n v="16"/>
    <n v="14.120000000000005"/>
    <n v="0"/>
    <n v="1.5952639190166311E-2"/>
  </r>
  <r>
    <s v="PO-01284"/>
    <x v="3"/>
    <x v="7"/>
    <x v="80"/>
    <s v="Not Yet Delivered"/>
    <x v="2"/>
    <n v="488"/>
    <x v="1279"/>
    <n v="12459.02"/>
    <n v="2"/>
    <x v="0"/>
    <s v="Not Applicable"/>
    <n v="446.45999999999913"/>
    <n v="4.0983606557377051E-3"/>
    <n v="3.4594606322275429E-2"/>
  </r>
  <r>
    <s v="PO-01285"/>
    <x v="5"/>
    <x v="6"/>
    <x v="310"/>
    <d v="2024-01-20T00:00:00"/>
    <x v="0"/>
    <n v="153"/>
    <x v="1280"/>
    <n v="510.5"/>
    <n v="3"/>
    <x v="0"/>
    <n v="29"/>
    <n v="20.019999999999982"/>
    <n v="1.9607843137254902E-2"/>
    <n v="3.7736560355877219E-2"/>
  </r>
  <r>
    <s v="PO-01286"/>
    <x v="3"/>
    <x v="2"/>
    <x v="457"/>
    <d v="2024-08-24T00:00:00"/>
    <x v="0"/>
    <n v="394"/>
    <x v="1281"/>
    <n v="120.12"/>
    <n v="6"/>
    <x v="0"/>
    <n v="12"/>
    <n v="0.96999999999999886"/>
    <n v="1.5228426395939087E-2"/>
    <n v="8.0105706499297939E-3"/>
  </r>
  <r>
    <s v="PO-01287"/>
    <x v="3"/>
    <x v="4"/>
    <x v="605"/>
    <d v="2024-05-20T00:00:00"/>
    <x v="0"/>
    <n v="94"/>
    <x v="1282"/>
    <n v="50023.43"/>
    <n v="0"/>
    <x v="0"/>
    <n v="27"/>
    <n v="42.129999999997381"/>
    <n v="0"/>
    <n v="8.4149662961919094E-4"/>
  </r>
  <r>
    <s v="PO-01288"/>
    <x v="5"/>
    <x v="0"/>
    <x v="197"/>
    <d v="2023-11-09T00:00:00"/>
    <x v="3"/>
    <n v="38"/>
    <x v="1283"/>
    <n v="3790.34"/>
    <n v="0"/>
    <x v="0"/>
    <n v="8"/>
    <n v="238.27999999999975"/>
    <n v="0"/>
    <n v="5.9146804612993965E-2"/>
  </r>
  <r>
    <s v="PO-01289"/>
    <x v="5"/>
    <x v="3"/>
    <x v="208"/>
    <s v="Not Yet Delivered"/>
    <x v="1"/>
    <n v="457"/>
    <x v="1284"/>
    <n v="12516.58"/>
    <n v="2"/>
    <x v="0"/>
    <s v="Not Applicable"/>
    <n v="647.98999999999978"/>
    <n v="4.3763676148796497E-3"/>
    <n v="4.9222268558714775E-2"/>
  </r>
  <r>
    <s v="PO-01290"/>
    <x v="6"/>
    <x v="0"/>
    <x v="483"/>
    <d v="2023-04-27T00:00:00"/>
    <x v="0"/>
    <n v="176"/>
    <x v="1285"/>
    <n v="4141.83"/>
    <n v="0"/>
    <x v="0"/>
    <n v="7"/>
    <n v="128.48999999999978"/>
    <n v="0"/>
    <n v="3.0089079975271125E-2"/>
  </r>
  <r>
    <s v="PO-01291"/>
    <x v="6"/>
    <x v="8"/>
    <x v="606"/>
    <s v="Not Yet Delivered"/>
    <x v="1"/>
    <n v="348"/>
    <x v="1286"/>
    <n v="8509.56"/>
    <n v="2"/>
    <x v="0"/>
    <s v="Not Applicable"/>
    <n v="351.56999999999971"/>
    <n v="5.7471264367816091E-3"/>
    <n v="3.9675526710475952E-2"/>
  </r>
  <r>
    <s v="PO-01292"/>
    <x v="4"/>
    <x v="7"/>
    <x v="466"/>
    <d v="2024-10-27T00:00:00"/>
    <x v="0"/>
    <n v="385"/>
    <x v="1287"/>
    <n v="10179.629999999999"/>
    <n v="4"/>
    <x v="0"/>
    <n v="10"/>
    <n v="429.41000000000167"/>
    <n v="1.038961038961039E-2"/>
    <n v="4.0475858324598796E-2"/>
  </r>
  <r>
    <s v="PO-01293"/>
    <x v="6"/>
    <x v="3"/>
    <x v="607"/>
    <d v="2024-11-27T00:00:00"/>
    <x v="3"/>
    <n v="62"/>
    <x v="1288"/>
    <n v="12865.15"/>
    <n v="0"/>
    <x v="0"/>
    <n v="27"/>
    <n v="283.95000000000073"/>
    <n v="0"/>
    <n v="2.159463385326758E-2"/>
  </r>
  <r>
    <s v="PO-01294"/>
    <x v="4"/>
    <x v="2"/>
    <x v="36"/>
    <s v="Not Yet Delivered"/>
    <x v="1"/>
    <n v="232"/>
    <x v="1289"/>
    <n v="112.1"/>
    <n v="2"/>
    <x v="0"/>
    <s v="Not Applicable"/>
    <n v="1.4699999999999989"/>
    <n v="8.6206896551724137E-3"/>
    <n v="1.2943559038478462E-2"/>
  </r>
  <r>
    <s v="PO-01295"/>
    <x v="4"/>
    <x v="6"/>
    <x v="410"/>
    <d v="2024-06-03T00:00:00"/>
    <x v="3"/>
    <n v="90"/>
    <x v="1290"/>
    <n v="503.75"/>
    <n v="0"/>
    <x v="0"/>
    <n v="7"/>
    <n v="31.879999999999995"/>
    <n v="0"/>
    <n v="5.9518697608423717E-2"/>
  </r>
  <r>
    <s v="PO-01296"/>
    <x v="0"/>
    <x v="6"/>
    <x v="608"/>
    <d v="2023-12-18T00:00:00"/>
    <x v="0"/>
    <n v="166"/>
    <x v="1291"/>
    <n v="556.34"/>
    <n v="2"/>
    <x v="0"/>
    <n v="14"/>
    <n v="5.5699999999999363"/>
    <n v="1.2048192771084338E-2"/>
    <n v="9.9126194586320517E-3"/>
  </r>
  <r>
    <s v="PO-01297"/>
    <x v="2"/>
    <x v="3"/>
    <x v="353"/>
    <d v="2023-08-06T00:00:00"/>
    <x v="0"/>
    <n v="310"/>
    <x v="1292"/>
    <n v="11079.57"/>
    <n v="4"/>
    <x v="1"/>
    <n v="29"/>
    <n v="347.21000000000095"/>
    <n v="1.2903225806451613E-2"/>
    <n v="3.0385637948748549E-2"/>
  </r>
  <r>
    <s v="PO-01298"/>
    <x v="6"/>
    <x v="0"/>
    <x v="288"/>
    <d v="2024-09-08T00:00:00"/>
    <x v="0"/>
    <n v="181"/>
    <x v="1293"/>
    <n v="4575.93"/>
    <n v="2"/>
    <x v="0"/>
    <n v="14"/>
    <n v="45.849999999999454"/>
    <n v="1.1049723756906077E-2"/>
    <n v="9.9204202709777308E-3"/>
  </r>
  <r>
    <s v="PO-01299"/>
    <x v="5"/>
    <x v="4"/>
    <x v="177"/>
    <d v="2024-05-26T00:00:00"/>
    <x v="0"/>
    <n v="266"/>
    <x v="1294"/>
    <n v="46099.91"/>
    <n v="2"/>
    <x v="0"/>
    <n v="29"/>
    <n v="350.45999999999913"/>
    <n v="7.5187969924812026E-3"/>
    <n v="7.5448268765135589E-3"/>
  </r>
  <r>
    <s v="PO-01300"/>
    <x v="7"/>
    <x v="6"/>
    <x v="209"/>
    <s v="Not Yet Delivered"/>
    <x v="1"/>
    <n v="50"/>
    <x v="1295"/>
    <n v="552.32000000000005"/>
    <n v="2"/>
    <x v="0"/>
    <s v="Not Applicable"/>
    <n v="15.189999999999941"/>
    <n v="0.04"/>
    <n v="2.6766048175362444E-2"/>
  </r>
  <r>
    <s v="PO-01301"/>
    <x v="6"/>
    <x v="0"/>
    <x v="234"/>
    <s v="Not Yet Delivered"/>
    <x v="2"/>
    <n v="162"/>
    <x v="1296"/>
    <n v="4400.2299999999996"/>
    <n v="2"/>
    <x v="0"/>
    <s v="Not Applicable"/>
    <n v="174"/>
    <n v="1.2345679012345678E-2"/>
    <n v="3.8039189109423888E-2"/>
  </r>
  <r>
    <s v="PO-01302"/>
    <x v="5"/>
    <x v="3"/>
    <x v="438"/>
    <s v="Not Yet Delivered"/>
    <x v="2"/>
    <n v="496"/>
    <x v="1297"/>
    <n v="11706.3"/>
    <n v="2"/>
    <x v="0"/>
    <s v="Not Applicable"/>
    <n v="550.92000000000007"/>
    <n v="4.0322580645161289E-3"/>
    <n v="4.4946570266340989E-2"/>
  </r>
  <r>
    <s v="PO-01303"/>
    <x v="4"/>
    <x v="6"/>
    <x v="609"/>
    <d v="2024-03-24T00:00:00"/>
    <x v="0"/>
    <n v="34"/>
    <x v="1298"/>
    <n v="500.66"/>
    <n v="0"/>
    <x v="0"/>
    <n v="17"/>
    <n v="7.339999999999975"/>
    <n v="0"/>
    <n v="1.4448818897637746E-2"/>
  </r>
  <r>
    <s v="PO-01304"/>
    <x v="1"/>
    <x v="0"/>
    <x v="208"/>
    <d v="2023-08-10T00:00:00"/>
    <x v="0"/>
    <n v="416"/>
    <x v="1299"/>
    <n v="4039.38"/>
    <n v="9"/>
    <x v="0"/>
    <n v="15"/>
    <n v="58.680000000000291"/>
    <n v="2.1634615384615384E-2"/>
    <n v="1.4318970439671523E-2"/>
  </r>
  <r>
    <s v="PO-01305"/>
    <x v="3"/>
    <x v="8"/>
    <x v="344"/>
    <d v="2024-03-21T00:00:00"/>
    <x v="0"/>
    <n v="408"/>
    <x v="1300"/>
    <n v="8220.32"/>
    <n v="7"/>
    <x v="0"/>
    <n v="23"/>
    <n v="285.6200000000008"/>
    <n v="1.7156862745098041E-2"/>
    <n v="3.3578887224692482E-2"/>
  </r>
  <r>
    <s v="PO-01306"/>
    <x v="6"/>
    <x v="4"/>
    <x v="326"/>
    <d v="2024-12-25T00:00:00"/>
    <x v="0"/>
    <n v="324"/>
    <x v="1301"/>
    <n v="50133.39"/>
    <n v="1"/>
    <x v="0"/>
    <n v="8"/>
    <n v="503.5"/>
    <n v="3.0864197530864196E-3"/>
    <n v="9.943343676912228E-3"/>
  </r>
  <r>
    <s v="PO-01307"/>
    <x v="5"/>
    <x v="4"/>
    <x v="154"/>
    <s v="Not Yet Delivered"/>
    <x v="1"/>
    <n v="247"/>
    <x v="1302"/>
    <n v="42676.75"/>
    <n v="2"/>
    <x v="1"/>
    <s v="Not Applicable"/>
    <n v="2576.3499999999985"/>
    <n v="8.0971659919028341E-3"/>
    <n v="5.6932011287624464E-2"/>
  </r>
  <r>
    <s v="PO-01308"/>
    <x v="6"/>
    <x v="6"/>
    <x v="419"/>
    <d v="2024-03-02T00:00:00"/>
    <x v="0"/>
    <n v="12"/>
    <x v="1303"/>
    <n v="575.54"/>
    <n v="0"/>
    <x v="0"/>
    <n v="11"/>
    <n v="19.090000000000032"/>
    <n v="0"/>
    <n v="3.2103997443788626E-2"/>
  </r>
  <r>
    <s v="PO-01309"/>
    <x v="1"/>
    <x v="6"/>
    <x v="414"/>
    <d v="2023-04-21T00:00:00"/>
    <x v="0"/>
    <n v="108"/>
    <x v="1304"/>
    <n v="510.16"/>
    <n v="0"/>
    <x v="0"/>
    <n v="30"/>
    <n v="13.21999999999997"/>
    <n v="0"/>
    <n v="2.5258894111353073E-2"/>
  </r>
  <r>
    <s v="PO-01310"/>
    <x v="1"/>
    <x v="7"/>
    <x v="541"/>
    <d v="2024-06-14T00:00:00"/>
    <x v="0"/>
    <n v="82"/>
    <x v="1305"/>
    <n v="10584.31"/>
    <n v="2"/>
    <x v="0"/>
    <n v="2"/>
    <n v="111.40999999999985"/>
    <n v="2.4390243902439025E-2"/>
    <n v="1.0416316059133922E-2"/>
  </r>
  <r>
    <s v="PO-01311"/>
    <x v="3"/>
    <x v="4"/>
    <x v="610"/>
    <s v="Not Yet Delivered"/>
    <x v="2"/>
    <n v="422"/>
    <x v="1306"/>
    <n v="46671.87"/>
    <n v="2"/>
    <x v="0"/>
    <s v="Not Applicable"/>
    <n v="397.68999999999505"/>
    <n v="4.7393364928909956E-3"/>
    <n v="8.4489848641031498E-3"/>
  </r>
  <r>
    <s v="PO-01312"/>
    <x v="4"/>
    <x v="2"/>
    <x v="362"/>
    <s v="Not Yet Delivered"/>
    <x v="1"/>
    <n v="16"/>
    <x v="1307"/>
    <n v="110.9"/>
    <n v="2"/>
    <x v="0"/>
    <s v="Not Applicable"/>
    <n v="3.4799999999999898"/>
    <n v="0.125"/>
    <n v="3.0424899457947106E-2"/>
  </r>
  <r>
    <s v="PO-01313"/>
    <x v="7"/>
    <x v="6"/>
    <x v="375"/>
    <d v="2023-11-22T00:00:00"/>
    <x v="0"/>
    <n v="169"/>
    <x v="1308"/>
    <n v="505.38"/>
    <n v="1"/>
    <x v="0"/>
    <n v="16"/>
    <n v="32.110000000000014"/>
    <n v="5.9171597633136093E-3"/>
    <n v="5.9740646337606305E-2"/>
  </r>
  <r>
    <s v="PO-01314"/>
    <x v="6"/>
    <x v="0"/>
    <x v="611"/>
    <d v="2024-04-05T00:00:00"/>
    <x v="3"/>
    <n v="482"/>
    <x v="1309"/>
    <n v="4119.79"/>
    <n v="2"/>
    <x v="0"/>
    <n v="5"/>
    <n v="164.28999999999996"/>
    <n v="4.1493775933609959E-3"/>
    <n v="3.834895706896229E-2"/>
  </r>
  <r>
    <s v="PO-01315"/>
    <x v="4"/>
    <x v="10"/>
    <x v="58"/>
    <d v="2024-04-10T00:00:00"/>
    <x v="0"/>
    <n v="121"/>
    <x v="1310"/>
    <n v="43623.17"/>
    <n v="2"/>
    <x v="0"/>
    <n v="17"/>
    <n v="2144.7400000000052"/>
    <n v="1.6528925619834711E-2"/>
    <n v="4.6861217827075891E-2"/>
  </r>
  <r>
    <s v="PO-01316"/>
    <x v="4"/>
    <x v="10"/>
    <x v="430"/>
    <d v="2023-02-28T00:00:00"/>
    <x v="0"/>
    <n v="167"/>
    <x v="1311"/>
    <n v="45442.64"/>
    <n v="1"/>
    <x v="0"/>
    <n v="13"/>
    <n v="2207.7300000000032"/>
    <n v="5.9880239520958087E-3"/>
    <n v="4.6331854296199654E-2"/>
  </r>
  <r>
    <s v="PO-01317"/>
    <x v="7"/>
    <x v="8"/>
    <x v="85"/>
    <d v="2023-01-04T00:00:00"/>
    <x v="0"/>
    <n v="220"/>
    <x v="1312"/>
    <n v="8028.14"/>
    <n v="1"/>
    <x v="0"/>
    <n v="3"/>
    <n v="198.34999999999945"/>
    <n v="4.5454545454545452E-3"/>
    <n v="2.4111133666970902E-2"/>
  </r>
  <r>
    <s v="PO-01318"/>
    <x v="6"/>
    <x v="11"/>
    <x v="315"/>
    <d v="2023-09-02T00:00:00"/>
    <x v="0"/>
    <n v="403"/>
    <x v="1313"/>
    <n v="15392.05"/>
    <n v="1"/>
    <x v="0"/>
    <n v="30"/>
    <n v="705.85000000000036"/>
    <n v="2.4813895781637717E-3"/>
    <n v="4.3847334124326801E-2"/>
  </r>
  <r>
    <s v="PO-01319"/>
    <x v="1"/>
    <x v="11"/>
    <x v="551"/>
    <d v="2023-06-02T00:00:00"/>
    <x v="0"/>
    <n v="41"/>
    <x v="1314"/>
    <n v="13417.2"/>
    <n v="0"/>
    <x v="0"/>
    <n v="10"/>
    <n v="424.6299999999992"/>
    <n v="0"/>
    <n v="3.0677302061938284E-2"/>
  </r>
  <r>
    <s v="PO-01320"/>
    <x v="4"/>
    <x v="1"/>
    <x v="312"/>
    <d v="2024-03-08T00:00:00"/>
    <x v="0"/>
    <n v="197"/>
    <x v="1315"/>
    <n v="4538.3599999999997"/>
    <n v="1"/>
    <x v="0"/>
    <n v="8"/>
    <n v="197.36999999999989"/>
    <n v="5.076142131979695E-3"/>
    <n v="4.1676784782916233E-2"/>
  </r>
  <r>
    <s v="PO-01321"/>
    <x v="3"/>
    <x v="6"/>
    <x v="104"/>
    <d v="2024-08-02T00:00:00"/>
    <x v="0"/>
    <n v="312"/>
    <x v="1316"/>
    <n v="542.41"/>
    <n v="0"/>
    <x v="0"/>
    <n v="9"/>
    <n v="31.700000000000045"/>
    <n v="0"/>
    <n v="5.5215899392102634E-2"/>
  </r>
  <r>
    <s v="PO-01322"/>
    <x v="0"/>
    <x v="2"/>
    <x v="325"/>
    <d v="2024-09-13T00:00:00"/>
    <x v="0"/>
    <n v="301"/>
    <x v="1317"/>
    <n v="128.97"/>
    <n v="5"/>
    <x v="0"/>
    <n v="26"/>
    <n v="4.2800000000000011"/>
    <n v="1.6611295681063124E-2"/>
    <n v="3.2120075046904326E-2"/>
  </r>
  <r>
    <s v="PO-01323"/>
    <x v="7"/>
    <x v="11"/>
    <x v="401"/>
    <d v="2024-08-06T00:00:00"/>
    <x v="0"/>
    <n v="223"/>
    <x v="1318"/>
    <n v="13119.69"/>
    <n v="4"/>
    <x v="0"/>
    <n v="8"/>
    <n v="575.73999999999978"/>
    <n v="1.7937219730941704E-2"/>
    <n v="4.2038840693574407E-2"/>
  </r>
  <r>
    <s v="PO-01324"/>
    <x v="5"/>
    <x v="9"/>
    <x v="393"/>
    <d v="2023-04-13T00:00:00"/>
    <x v="0"/>
    <n v="481"/>
    <x v="1319"/>
    <n v="6457.61"/>
    <n v="9"/>
    <x v="0"/>
    <n v="24"/>
    <n v="296.95000000000073"/>
    <n v="1.8711018711018712E-2"/>
    <n v="4.3962893215842437E-2"/>
  </r>
  <r>
    <s v="PO-01325"/>
    <x v="0"/>
    <x v="5"/>
    <x v="481"/>
    <d v="2023-10-18T00:00:00"/>
    <x v="0"/>
    <n v="432"/>
    <x v="1320"/>
    <n v="983.17"/>
    <n v="2"/>
    <x v="0"/>
    <n v="21"/>
    <n v="7.7700000000000955"/>
    <n v="4.6296296296296294E-3"/>
    <n v="7.8410398207763281E-3"/>
  </r>
  <r>
    <s v="PO-01326"/>
    <x v="7"/>
    <x v="10"/>
    <x v="462"/>
    <d v="2023-12-11T00:00:00"/>
    <x v="0"/>
    <n v="315"/>
    <x v="1321"/>
    <n v="51900.08"/>
    <n v="6"/>
    <x v="0"/>
    <n v="12"/>
    <n v="475.86999999999534"/>
    <n v="1.9047619047619049E-2"/>
    <n v="9.0856585894861161E-3"/>
  </r>
  <r>
    <s v="PO-01327"/>
    <x v="0"/>
    <x v="8"/>
    <x v="343"/>
    <d v="2024-08-21T00:00:00"/>
    <x v="0"/>
    <n v="160"/>
    <x v="1322"/>
    <n v="8636.7099999999991"/>
    <n v="0"/>
    <x v="0"/>
    <n v="16"/>
    <n v="89.590000000000146"/>
    <n v="0"/>
    <n v="1.0266665138718604E-2"/>
  </r>
  <r>
    <s v="PO-01328"/>
    <x v="1"/>
    <x v="5"/>
    <x v="113"/>
    <d v="2023-09-04T00:00:00"/>
    <x v="0"/>
    <n v="312"/>
    <x v="1323"/>
    <n v="799.6"/>
    <n v="4"/>
    <x v="0"/>
    <n v="21"/>
    <n v="20.990000000000009"/>
    <n v="1.282051282051282E-2"/>
    <n v="2.5579156460595436E-2"/>
  </r>
  <r>
    <s v="PO-01329"/>
    <x v="3"/>
    <x v="7"/>
    <x v="64"/>
    <d v="2023-09-09T00:00:00"/>
    <x v="0"/>
    <n v="336"/>
    <x v="1324"/>
    <n v="12527.52"/>
    <n v="5"/>
    <x v="0"/>
    <n v="19"/>
    <n v="395.68000000000029"/>
    <n v="1.488095238095238E-2"/>
    <n v="3.0617803639965354E-2"/>
  </r>
  <r>
    <s v="PO-01330"/>
    <x v="6"/>
    <x v="2"/>
    <x v="11"/>
    <s v="Not Yet Delivered"/>
    <x v="1"/>
    <n v="307"/>
    <x v="1325"/>
    <n v="129.03"/>
    <n v="2"/>
    <x v="0"/>
    <s v="Not Applicable"/>
    <n v="1.25"/>
    <n v="6.5146579804560263E-3"/>
    <n v="9.5947190666257291E-3"/>
  </r>
  <r>
    <s v="PO-01331"/>
    <x v="6"/>
    <x v="7"/>
    <x v="567"/>
    <d v="2023-10-30T00:00:00"/>
    <x v="0"/>
    <n v="175"/>
    <x v="1326"/>
    <n v="12137.54"/>
    <n v="3"/>
    <x v="0"/>
    <n v="24"/>
    <n v="50.359999999998763"/>
    <n v="1.7142857142857144E-2"/>
    <n v="4.1319669508281791E-3"/>
  </r>
  <r>
    <s v="PO-01332"/>
    <x v="7"/>
    <x v="5"/>
    <x v="612"/>
    <d v="2024-03-13T00:00:00"/>
    <x v="0"/>
    <n v="117"/>
    <x v="1327"/>
    <n v="865.26"/>
    <n v="0"/>
    <x v="0"/>
    <n v="17"/>
    <n v="15.389999999999986"/>
    <n v="0"/>
    <n v="1.7475728155339793E-2"/>
  </r>
  <r>
    <s v="PO-01333"/>
    <x v="1"/>
    <x v="1"/>
    <x v="518"/>
    <d v="2024-12-07T00:00:00"/>
    <x v="0"/>
    <n v="19"/>
    <x v="1328"/>
    <n v="4912.41"/>
    <n v="0"/>
    <x v="0"/>
    <n v="11"/>
    <n v="247.65999999999985"/>
    <n v="0"/>
    <n v="4.7995472929630772E-2"/>
  </r>
  <r>
    <s v="PO-01334"/>
    <x v="3"/>
    <x v="11"/>
    <x v="613"/>
    <d v="2024-10-05T00:00:00"/>
    <x v="3"/>
    <n v="246"/>
    <x v="1329"/>
    <m/>
    <n v="2"/>
    <x v="0"/>
    <n v="24"/>
    <n v="14873.04"/>
    <n v="8.130081300813009E-3"/>
    <n v="1"/>
  </r>
  <r>
    <s v="PO-01335"/>
    <x v="0"/>
    <x v="10"/>
    <x v="260"/>
    <s v="Not Yet Delivered"/>
    <x v="2"/>
    <n v="413"/>
    <x v="1330"/>
    <n v="54480.14"/>
    <n v="2"/>
    <x v="0"/>
    <s v="Not Applicable"/>
    <n v="180.20999999999913"/>
    <n v="4.8426150121065378E-3"/>
    <n v="3.2969053436357272E-3"/>
  </r>
  <r>
    <s v="PO-01336"/>
    <x v="6"/>
    <x v="0"/>
    <x v="351"/>
    <d v="2023-01-19T00:00:00"/>
    <x v="0"/>
    <n v="49"/>
    <x v="1331"/>
    <n v="4451.5600000000004"/>
    <n v="2"/>
    <x v="0"/>
    <n v="10"/>
    <n v="64.75"/>
    <n v="4.0816326530612242E-2"/>
    <n v="1.4336925498913935E-2"/>
  </r>
  <r>
    <s v="PO-01337"/>
    <x v="2"/>
    <x v="6"/>
    <x v="56"/>
    <d v="2023-04-22T00:00:00"/>
    <x v="3"/>
    <n v="151"/>
    <x v="1332"/>
    <n v="476.41"/>
    <n v="0"/>
    <x v="0"/>
    <n v="7"/>
    <n v="27.689999999999998"/>
    <n v="0"/>
    <n v="5.4929577464788729E-2"/>
  </r>
  <r>
    <s v="PO-01338"/>
    <x v="4"/>
    <x v="6"/>
    <x v="34"/>
    <d v="2023-03-07T00:00:00"/>
    <x v="0"/>
    <n v="483"/>
    <x v="1333"/>
    <n v="475.05"/>
    <n v="6"/>
    <x v="1"/>
    <n v="8"/>
    <n v="27.529999999999973"/>
    <n v="1.2422360248447204E-2"/>
    <n v="5.477734887978028E-2"/>
  </r>
  <r>
    <s v="PO-01339"/>
    <x v="4"/>
    <x v="5"/>
    <x v="66"/>
    <d v="2024-06-17T00:00:00"/>
    <x v="0"/>
    <n v="423"/>
    <x v="1334"/>
    <n v="753.67"/>
    <n v="6"/>
    <x v="0"/>
    <n v="8"/>
    <n v="35.480000000000018"/>
    <n v="1.4184397163120567E-2"/>
    <n v="4.495976683773683E-2"/>
  </r>
  <r>
    <s v="PO-01340"/>
    <x v="1"/>
    <x v="5"/>
    <x v="415"/>
    <d v="2024-11-03T00:00:00"/>
    <x v="0"/>
    <n v="428"/>
    <x v="1335"/>
    <n v="838.17"/>
    <n v="9"/>
    <x v="0"/>
    <n v="9"/>
    <n v="5.07000000000005"/>
    <n v="2.1028037383177569E-2"/>
    <n v="6.0125231250890022E-3"/>
  </r>
  <r>
    <s v="PO-01341"/>
    <x v="2"/>
    <x v="8"/>
    <x v="337"/>
    <d v="2023-02-15T00:00:00"/>
    <x v="3"/>
    <n v="147"/>
    <x v="1336"/>
    <n v="7885.94"/>
    <n v="4"/>
    <x v="0"/>
    <n v="16"/>
    <n v="36.760000000000218"/>
    <n v="2.7210884353741496E-2"/>
    <n v="4.6398323803754048E-3"/>
  </r>
  <r>
    <s v="PO-01342"/>
    <x v="2"/>
    <x v="7"/>
    <x v="515"/>
    <d v="2023-08-07T00:00:00"/>
    <x v="3"/>
    <n v="247"/>
    <x v="1337"/>
    <n v="10418.370000000001"/>
    <n v="6"/>
    <x v="0"/>
    <n v="22"/>
    <n v="641.42999999999847"/>
    <n v="2.4291497975708502E-2"/>
    <n v="5.7996527966147536E-2"/>
  </r>
  <r>
    <s v="PO-01343"/>
    <x v="4"/>
    <x v="3"/>
    <x v="512"/>
    <d v="2023-08-23T00:00:00"/>
    <x v="0"/>
    <n v="427"/>
    <x v="1338"/>
    <n v="10603.59"/>
    <n v="4"/>
    <x v="0"/>
    <n v="19"/>
    <n v="649.89999999999964"/>
    <n v="9.3676814988290398E-3"/>
    <n v="5.7750973253630621E-2"/>
  </r>
  <r>
    <s v="PO-01344"/>
    <x v="6"/>
    <x v="1"/>
    <x v="586"/>
    <d v="2024-04-05T00:00:00"/>
    <x v="0"/>
    <n v="427"/>
    <x v="1339"/>
    <n v="5481.09"/>
    <n v="3"/>
    <x v="0"/>
    <n v="19"/>
    <n v="184.09999999999945"/>
    <n v="7.0257611241217799E-3"/>
    <n v="3.2496703552749237E-2"/>
  </r>
  <r>
    <s v="PO-01345"/>
    <x v="5"/>
    <x v="8"/>
    <x v="426"/>
    <d v="2023-10-05T00:00:00"/>
    <x v="0"/>
    <n v="335"/>
    <x v="1340"/>
    <n v="8192.7199999999993"/>
    <n v="4"/>
    <x v="0"/>
    <n v="30"/>
    <n v="510.44000000000051"/>
    <n v="1.1940298507462687E-2"/>
    <n v="5.8649961623134649E-2"/>
  </r>
  <r>
    <s v="PO-01346"/>
    <x v="4"/>
    <x v="1"/>
    <x v="320"/>
    <d v="2023-07-19T00:00:00"/>
    <x v="0"/>
    <n v="195"/>
    <x v="1341"/>
    <n v="4699.1000000000004"/>
    <n v="3"/>
    <x v="0"/>
    <n v="16"/>
    <n v="215.3799999999992"/>
    <n v="1.5384615384615385E-2"/>
    <n v="4.3825592941674242E-2"/>
  </r>
  <r>
    <s v="PO-01347"/>
    <x v="3"/>
    <x v="9"/>
    <x v="405"/>
    <s v="Not Yet Delivered"/>
    <x v="2"/>
    <n v="242"/>
    <x v="1342"/>
    <n v="6611.31"/>
    <n v="2"/>
    <x v="0"/>
    <s v="Not Applicable"/>
    <n v="19.4399999999996"/>
    <n v="8.2644628099173556E-3"/>
    <n v="2.9317950458092371E-3"/>
  </r>
  <r>
    <s v="PO-01348"/>
    <x v="3"/>
    <x v="10"/>
    <x v="614"/>
    <s v="Not Yet Delivered"/>
    <x v="2"/>
    <n v="377"/>
    <x v="1343"/>
    <n v="52992.34"/>
    <n v="2"/>
    <x v="0"/>
    <s v="Not Applicable"/>
    <n v="2045.1000000000058"/>
    <n v="5.3050397877984082E-3"/>
    <n v="3.7158341667054388E-2"/>
  </r>
  <r>
    <s v="PO-01349"/>
    <x v="3"/>
    <x v="2"/>
    <x v="587"/>
    <d v="2024-09-09T00:00:00"/>
    <x v="0"/>
    <n v="55"/>
    <x v="1344"/>
    <n v="124.91"/>
    <n v="0"/>
    <x v="0"/>
    <n v="4"/>
    <n v="0.37000000000000455"/>
    <n v="0"/>
    <n v="2.9533844189016966E-3"/>
  </r>
  <r>
    <s v="PO-01350"/>
    <x v="5"/>
    <x v="10"/>
    <x v="468"/>
    <d v="2024-12-08T00:00:00"/>
    <x v="0"/>
    <n v="486"/>
    <x v="1345"/>
    <n v="48169.85"/>
    <n v="1"/>
    <x v="0"/>
    <n v="18"/>
    <n v="2081.7099999999991"/>
    <n v="2.05761316872428E-3"/>
    <n v="4.1425778622593987E-2"/>
  </r>
  <r>
    <s v="PO-01351"/>
    <x v="4"/>
    <x v="9"/>
    <x v="141"/>
    <d v="2023-04-21T00:00:00"/>
    <x v="3"/>
    <n v="25"/>
    <x v="1346"/>
    <n v="6098.5"/>
    <n v="0"/>
    <x v="0"/>
    <n v="27"/>
    <n v="202.69999999999982"/>
    <n v="0"/>
    <n v="3.2168475845870598E-2"/>
  </r>
  <r>
    <s v="PO-01352"/>
    <x v="5"/>
    <x v="6"/>
    <x v="446"/>
    <d v="2023-12-06T00:00:00"/>
    <x v="0"/>
    <n v="156"/>
    <x v="1347"/>
    <n v="552.61"/>
    <n v="0"/>
    <x v="1"/>
    <n v="8"/>
    <n v="25.639999999999986"/>
    <n v="0"/>
    <n v="4.4340683095546889E-2"/>
  </r>
  <r>
    <s v="PO-01353"/>
    <x v="0"/>
    <x v="6"/>
    <x v="205"/>
    <d v="2024-11-29T00:00:00"/>
    <x v="0"/>
    <n v="117"/>
    <x v="1348"/>
    <n v="594.83000000000004"/>
    <n v="4"/>
    <x v="1"/>
    <n v="24"/>
    <n v="16.240000000000009"/>
    <n v="3.4188034188034191E-2"/>
    <n v="2.6576333316968608E-2"/>
  </r>
  <r>
    <s v="PO-01354"/>
    <x v="2"/>
    <x v="0"/>
    <x v="615"/>
    <d v="2023-04-23T00:00:00"/>
    <x v="0"/>
    <n v="294"/>
    <x v="1349"/>
    <n v="3981.75"/>
    <n v="1"/>
    <x v="0"/>
    <n v="15"/>
    <n v="222.63000000000011"/>
    <n v="3.4013605442176869E-3"/>
    <n v="5.2951921567508192E-2"/>
  </r>
  <r>
    <s v="PO-01355"/>
    <x v="3"/>
    <x v="4"/>
    <x v="380"/>
    <s v="Not Yet Delivered"/>
    <x v="2"/>
    <n v="97"/>
    <x v="1350"/>
    <n v="48001.06"/>
    <n v="2"/>
    <x v="0"/>
    <s v="Not Applicable"/>
    <n v="2533.9300000000003"/>
    <n v="2.0618556701030927E-2"/>
    <n v="5.0142089668960069E-2"/>
  </r>
  <r>
    <s v="PO-01356"/>
    <x v="0"/>
    <x v="8"/>
    <x v="470"/>
    <d v="2023-07-28T00:00:00"/>
    <x v="0"/>
    <n v="451"/>
    <x v="1351"/>
    <n v="8504.8700000000008"/>
    <n v="2"/>
    <x v="0"/>
    <n v="28"/>
    <n v="91.739999999999782"/>
    <n v="4.434589800443459E-3"/>
    <n v="1.0671648475387365E-2"/>
  </r>
  <r>
    <s v="PO-01357"/>
    <x v="7"/>
    <x v="6"/>
    <x v="88"/>
    <s v="Not Yet Delivered"/>
    <x v="2"/>
    <n v="278"/>
    <x v="1352"/>
    <n v="531.73"/>
    <n v="2"/>
    <x v="0"/>
    <s v="Not Applicable"/>
    <n v="9.4600000000000364"/>
    <n v="7.1942446043165471E-3"/>
    <n v="1.7479997782664194E-2"/>
  </r>
  <r>
    <s v="PO-01358"/>
    <x v="0"/>
    <x v="7"/>
    <x v="521"/>
    <d v="2024-12-25T00:00:00"/>
    <x v="0"/>
    <n v="309"/>
    <x v="1353"/>
    <n v="12297.76"/>
    <n v="3"/>
    <x v="0"/>
    <n v="2"/>
    <n v="11.119999999998981"/>
    <n v="9.7087378640776691E-3"/>
    <n v="9.0341282066272335E-4"/>
  </r>
  <r>
    <s v="PO-01359"/>
    <x v="5"/>
    <x v="0"/>
    <x v="197"/>
    <d v="2023-11-23T00:00:00"/>
    <x v="0"/>
    <n v="200"/>
    <x v="1354"/>
    <n v="3830.67"/>
    <n v="2"/>
    <x v="0"/>
    <n v="22"/>
    <n v="135.81999999999971"/>
    <n v="0.01"/>
    <n v="3.4241861192137055E-2"/>
  </r>
  <r>
    <s v="PO-01360"/>
    <x v="3"/>
    <x v="11"/>
    <x v="616"/>
    <s v="Not Yet Delivered"/>
    <x v="2"/>
    <n v="456"/>
    <x v="1355"/>
    <n v="14328.24"/>
    <n v="2"/>
    <x v="0"/>
    <s v="Not Applicable"/>
    <n v="806.55999999999949"/>
    <n v="4.3859649122807015E-3"/>
    <n v="5.3291751460210875E-2"/>
  </r>
  <r>
    <s v="PO-01361"/>
    <x v="5"/>
    <x v="9"/>
    <x v="53"/>
    <d v="2023-06-12T00:00:00"/>
    <x v="0"/>
    <n v="278"/>
    <x v="1356"/>
    <n v="5785.43"/>
    <n v="9"/>
    <x v="0"/>
    <n v="18"/>
    <n v="365.26999999999953"/>
    <n v="3.237410071942446E-2"/>
    <n v="5.9386736469019714E-2"/>
  </r>
  <r>
    <s v="PO-01362"/>
    <x v="5"/>
    <x v="3"/>
    <x v="55"/>
    <s v="Not Yet Delivered"/>
    <x v="2"/>
    <n v="142"/>
    <x v="1357"/>
    <n v="11351.03"/>
    <n v="2"/>
    <x v="0"/>
    <s v="Not Applicable"/>
    <n v="691.8799999999992"/>
    <n v="1.4084507042253521E-2"/>
    <n v="5.7451230641099138E-2"/>
  </r>
  <r>
    <s v="PO-01363"/>
    <x v="2"/>
    <x v="9"/>
    <x v="580"/>
    <s v="Not Yet Delivered"/>
    <x v="2"/>
    <n v="96"/>
    <x v="1358"/>
    <n v="6051.31"/>
    <n v="2"/>
    <x v="0"/>
    <s v="Not Applicable"/>
    <n v="347.57999999999993"/>
    <n v="2.0833333333333332E-2"/>
    <n v="5.4318795916166694E-2"/>
  </r>
  <r>
    <s v="PO-01364"/>
    <x v="2"/>
    <x v="2"/>
    <x v="235"/>
    <d v="2024-10-22T00:00:00"/>
    <x v="0"/>
    <n v="360"/>
    <x v="1359"/>
    <n v="116.02"/>
    <n v="2"/>
    <x v="0"/>
    <n v="4"/>
    <n v="5.980000000000004"/>
    <n v="5.5555555555555558E-3"/>
    <n v="4.9016393442622985E-2"/>
  </r>
  <r>
    <s v="PO-01365"/>
    <x v="2"/>
    <x v="5"/>
    <x v="32"/>
    <d v="2023-12-21T00:00:00"/>
    <x v="0"/>
    <n v="428"/>
    <x v="1360"/>
    <n v="850.53"/>
    <n v="3"/>
    <x v="0"/>
    <n v="5"/>
    <n v="0.35000000000002274"/>
    <n v="7.0093457943925233E-3"/>
    <n v="4.113388491914521E-4"/>
  </r>
  <r>
    <s v="PO-01366"/>
    <x v="0"/>
    <x v="3"/>
    <x v="47"/>
    <d v="2023-03-24T00:00:00"/>
    <x v="0"/>
    <n v="383"/>
    <x v="1361"/>
    <n v="12623.1"/>
    <n v="2"/>
    <x v="0"/>
    <n v="13"/>
    <n v="187.19999999999891"/>
    <n v="5.2219321148825066E-3"/>
    <n v="1.4613240907706996E-2"/>
  </r>
  <r>
    <s v="PO-01367"/>
    <x v="6"/>
    <x v="6"/>
    <x v="253"/>
    <s v="Not Yet Delivered"/>
    <x v="2"/>
    <n v="321"/>
    <x v="1362"/>
    <n v="611.24"/>
    <n v="2"/>
    <x v="0"/>
    <s v="Not Applicable"/>
    <n v="12.850000000000023"/>
    <n v="6.2305295950155761E-3"/>
    <n v="2.0589979009437778E-2"/>
  </r>
  <r>
    <s v="PO-01368"/>
    <x v="6"/>
    <x v="6"/>
    <x v="131"/>
    <d v="2023-04-08T00:00:00"/>
    <x v="0"/>
    <n v="492"/>
    <x v="1363"/>
    <n v="593.74"/>
    <n v="7"/>
    <x v="1"/>
    <n v="8"/>
    <n v="31.330000000000041"/>
    <n v="1.4227642276422764E-2"/>
    <n v="5.0122386292735278E-2"/>
  </r>
  <r>
    <s v="PO-01369"/>
    <x v="6"/>
    <x v="8"/>
    <x v="236"/>
    <d v="2024-11-15T00:00:00"/>
    <x v="0"/>
    <n v="331"/>
    <x v="1364"/>
    <n v="9154.34"/>
    <n v="1"/>
    <x v="0"/>
    <n v="19"/>
    <n v="123.36000000000058"/>
    <n v="3.0211480362537764E-3"/>
    <n v="1.3296398891966821E-2"/>
  </r>
  <r>
    <s v="PO-01370"/>
    <x v="5"/>
    <x v="9"/>
    <x v="86"/>
    <d v="2024-08-04T00:00:00"/>
    <x v="0"/>
    <n v="300"/>
    <x v="1365"/>
    <n v="6214.53"/>
    <n v="4"/>
    <x v="0"/>
    <n v="7"/>
    <n v="383.80000000000018"/>
    <n v="1.3333333333333334E-2"/>
    <n v="5.816623297106998E-2"/>
  </r>
  <r>
    <s v="PO-01371"/>
    <x v="0"/>
    <x v="8"/>
    <x v="617"/>
    <d v="2024-05-06T00:00:00"/>
    <x v="3"/>
    <n v="86"/>
    <x v="1366"/>
    <n v="8278.82"/>
    <n v="1"/>
    <x v="0"/>
    <n v="29"/>
    <n v="239.20000000000073"/>
    <n v="1.1627906976744186E-2"/>
    <n v="2.808164338660871E-2"/>
  </r>
  <r>
    <s v="PO-01372"/>
    <x v="4"/>
    <x v="4"/>
    <x v="182"/>
    <d v="2024-07-25T00:00:00"/>
    <x v="0"/>
    <n v="145"/>
    <x v="1367"/>
    <n v="44578.05"/>
    <n v="0"/>
    <x v="0"/>
    <n v="28"/>
    <n v="30.309999999997672"/>
    <n v="0"/>
    <n v="6.7946905019592005E-4"/>
  </r>
  <r>
    <s v="PO-01373"/>
    <x v="5"/>
    <x v="5"/>
    <x v="69"/>
    <d v="2023-04-03T00:00:00"/>
    <x v="0"/>
    <n v="437"/>
    <x v="1368"/>
    <n v="861.98"/>
    <n v="3"/>
    <x v="0"/>
    <n v="26"/>
    <n v="19.870000000000005"/>
    <n v="6.8649885583524023E-3"/>
    <n v="2.2532176674037539E-2"/>
  </r>
  <r>
    <s v="PO-01374"/>
    <x v="2"/>
    <x v="4"/>
    <x v="368"/>
    <d v="2023-07-13T00:00:00"/>
    <x v="0"/>
    <n v="173"/>
    <x v="1369"/>
    <n v="42295.88"/>
    <n v="6"/>
    <x v="1"/>
    <n v="8"/>
    <n v="2217.510000000002"/>
    <n v="3.4682080924855488E-2"/>
    <n v="4.9816695605524583E-2"/>
  </r>
  <r>
    <s v="PO-01375"/>
    <x v="4"/>
    <x v="10"/>
    <x v="345"/>
    <d v="2023-04-20T00:00:00"/>
    <x v="0"/>
    <n v="294"/>
    <x v="1370"/>
    <n v="46524.41"/>
    <n v="2"/>
    <x v="0"/>
    <n v="4"/>
    <n v="1887.9699999999939"/>
    <n v="6.8027210884353739E-3"/>
    <n v="3.8997669604344878E-2"/>
  </r>
  <r>
    <s v="PO-01376"/>
    <x v="0"/>
    <x v="3"/>
    <x v="137"/>
    <d v="2024-06-24T00:00:00"/>
    <x v="0"/>
    <n v="495"/>
    <x v="1371"/>
    <n v="12719.46"/>
    <n v="3"/>
    <x v="0"/>
    <n v="25"/>
    <n v="707.65000000000146"/>
    <n v="6.0606060606060606E-3"/>
    <n v="5.2703076090089486E-2"/>
  </r>
  <r>
    <s v="PO-01377"/>
    <x v="1"/>
    <x v="3"/>
    <x v="438"/>
    <d v="2023-10-27T00:00:00"/>
    <x v="0"/>
    <n v="80"/>
    <x v="1372"/>
    <n v="11515.33"/>
    <n v="2"/>
    <x v="0"/>
    <n v="25"/>
    <n v="559.67000000000007"/>
    <n v="2.5000000000000001E-2"/>
    <n v="4.6349482401656324E-2"/>
  </r>
  <r>
    <s v="PO-01378"/>
    <x v="3"/>
    <x v="8"/>
    <x v="156"/>
    <d v="2023-05-01T00:00:00"/>
    <x v="0"/>
    <n v="191"/>
    <x v="1373"/>
    <n v="9057.9699999999993"/>
    <n v="4"/>
    <x v="0"/>
    <n v="13"/>
    <n v="1.2000000000007276"/>
    <n v="2.0942408376963352E-2"/>
    <n v="1.3246246620835325E-4"/>
  </r>
  <r>
    <s v="PO-01379"/>
    <x v="4"/>
    <x v="5"/>
    <x v="618"/>
    <d v="2024-02-17T00:00:00"/>
    <x v="0"/>
    <n v="430"/>
    <x v="1374"/>
    <n v="789.67"/>
    <n v="3"/>
    <x v="0"/>
    <n v="16"/>
    <n v="33.410000000000082"/>
    <n v="6.9767441860465115E-3"/>
    <n v="4.0591437041356954E-2"/>
  </r>
  <r>
    <s v="PO-01380"/>
    <x v="5"/>
    <x v="1"/>
    <x v="619"/>
    <d v="2024-06-07T00:00:00"/>
    <x v="0"/>
    <n v="273"/>
    <x v="1375"/>
    <n v="4879.46"/>
    <n v="6"/>
    <x v="0"/>
    <n v="5"/>
    <n v="250.68000000000029"/>
    <n v="2.197802197802198E-2"/>
    <n v="4.886416355109223E-2"/>
  </r>
  <r>
    <s v="PO-01381"/>
    <x v="5"/>
    <x v="2"/>
    <x v="288"/>
    <d v="2024-09-15T00:00:00"/>
    <x v="3"/>
    <n v="485"/>
    <x v="1376"/>
    <n v="114.82"/>
    <n v="2"/>
    <x v="0"/>
    <n v="21"/>
    <n v="1.7400000000000091"/>
    <n v="4.1237113402061857E-3"/>
    <n v="1.4927934111187448E-2"/>
  </r>
  <r>
    <s v="PO-01382"/>
    <x v="4"/>
    <x v="6"/>
    <x v="620"/>
    <s v="Not Yet Delivered"/>
    <x v="2"/>
    <n v="308"/>
    <x v="1377"/>
    <n v="456.04"/>
    <n v="2"/>
    <x v="0"/>
    <s v="Not Applicable"/>
    <n v="27.589999999999975"/>
    <n v="6.4935064935064939E-3"/>
    <n v="5.7047743109401763E-2"/>
  </r>
  <r>
    <s v="PO-01383"/>
    <x v="7"/>
    <x v="11"/>
    <x v="621"/>
    <s v="Not Yet Delivered"/>
    <x v="1"/>
    <n v="312"/>
    <x v="1378"/>
    <n v="14143.41"/>
    <n v="2"/>
    <x v="0"/>
    <s v="Not Applicable"/>
    <n v="564.67000000000007"/>
    <n v="6.41025641025641E-3"/>
    <n v="3.8391822726011833E-2"/>
  </r>
  <r>
    <s v="PO-01384"/>
    <x v="2"/>
    <x v="0"/>
    <x v="418"/>
    <d v="2023-03-22T00:00:00"/>
    <x v="0"/>
    <n v="191"/>
    <x v="1379"/>
    <n v="3922.19"/>
    <n v="2"/>
    <x v="0"/>
    <n v="13"/>
    <n v="133.09000000000015"/>
    <n v="1.0471204188481676E-2"/>
    <n v="3.2818942218539815E-2"/>
  </r>
  <r>
    <s v="PO-01385"/>
    <x v="6"/>
    <x v="4"/>
    <x v="35"/>
    <d v="2024-04-04T00:00:00"/>
    <x v="0"/>
    <n v="29"/>
    <x v="1380"/>
    <n v="49945.56"/>
    <n v="0"/>
    <x v="0"/>
    <n v="13"/>
    <n v="2657.0699999999997"/>
    <n v="0"/>
    <n v="5.0512113177611076E-2"/>
  </r>
  <r>
    <s v="PO-01386"/>
    <x v="7"/>
    <x v="2"/>
    <x v="323"/>
    <d v="2023-04-04T00:00:00"/>
    <x v="0"/>
    <n v="227"/>
    <x v="1381"/>
    <n v="112.87"/>
    <n v="6"/>
    <x v="0"/>
    <n v="22"/>
    <n v="6.3900000000000006"/>
    <n v="2.643171806167401E-2"/>
    <n v="5.3580412544021468E-2"/>
  </r>
  <r>
    <s v="PO-01387"/>
    <x v="0"/>
    <x v="2"/>
    <x v="440"/>
    <d v="2024-10-20T00:00:00"/>
    <x v="0"/>
    <n v="399"/>
    <x v="1382"/>
    <n v="120.5"/>
    <n v="2"/>
    <x v="1"/>
    <n v="14"/>
    <n v="0.29000000000000625"/>
    <n v="5.0125313283208017E-3"/>
    <n v="2.4008609984270735E-3"/>
  </r>
  <r>
    <s v="PO-01388"/>
    <x v="4"/>
    <x v="4"/>
    <x v="622"/>
    <d v="2024-06-21T00:00:00"/>
    <x v="0"/>
    <n v="413"/>
    <x v="1383"/>
    <n v="44090.46"/>
    <n v="7"/>
    <x v="0"/>
    <n v="4"/>
    <n v="286.66000000000349"/>
    <n v="1.6949152542372881E-2"/>
    <n v="6.4596350551816674E-3"/>
  </r>
  <r>
    <s v="PO-01389"/>
    <x v="3"/>
    <x v="8"/>
    <x v="101"/>
    <d v="2023-09-03T00:00:00"/>
    <x v="0"/>
    <n v="73"/>
    <x v="1384"/>
    <n v="8497.02"/>
    <n v="2"/>
    <x v="0"/>
    <n v="2"/>
    <n v="476.32999999999993"/>
    <n v="2.7397260273972601E-2"/>
    <n v="5.3082739445134752E-2"/>
  </r>
  <r>
    <s v="PO-01390"/>
    <x v="2"/>
    <x v="7"/>
    <x v="594"/>
    <d v="2024-02-18T00:00:00"/>
    <x v="0"/>
    <n v="111"/>
    <x v="1385"/>
    <n v="12025.51"/>
    <n v="3"/>
    <x v="1"/>
    <n v="7"/>
    <n v="61.209999999999127"/>
    <n v="2.7027027027027029E-2"/>
    <n v="5.0642357893621376E-3"/>
  </r>
  <r>
    <s v="PO-01391"/>
    <x v="4"/>
    <x v="7"/>
    <x v="66"/>
    <d v="2024-06-13T00:00:00"/>
    <x v="0"/>
    <n v="70"/>
    <x v="1386"/>
    <n v="10757.76"/>
    <n v="0"/>
    <x v="1"/>
    <n v="4"/>
    <n v="368.57999999999993"/>
    <n v="0"/>
    <n v="3.3126796412836557E-2"/>
  </r>
  <r>
    <s v="PO-01392"/>
    <x v="1"/>
    <x v="6"/>
    <x v="229"/>
    <d v="2024-05-24T00:00:00"/>
    <x v="0"/>
    <n v="436"/>
    <x v="1387"/>
    <n v="497.67"/>
    <n v="5"/>
    <x v="0"/>
    <n v="24"/>
    <n v="6.4599999999999795"/>
    <n v="1.1467889908256881E-2"/>
    <n v="1.281415507904703E-2"/>
  </r>
  <r>
    <s v="PO-01393"/>
    <x v="4"/>
    <x v="7"/>
    <x v="509"/>
    <d v="2024-07-19T00:00:00"/>
    <x v="0"/>
    <n v="488"/>
    <x v="1388"/>
    <n v="11468.27"/>
    <n v="2"/>
    <x v="0"/>
    <n v="11"/>
    <n v="225.36999999999898"/>
    <n v="4.0983606557377051E-3"/>
    <n v="1.9272869696689739E-2"/>
  </r>
  <r>
    <s v="PO-01394"/>
    <x v="0"/>
    <x v="8"/>
    <x v="204"/>
    <d v="2024-04-03T00:00:00"/>
    <x v="0"/>
    <n v="306"/>
    <x v="1389"/>
    <n v="8834.15"/>
    <n v="0"/>
    <x v="0"/>
    <n v="2"/>
    <n v="101.43000000000029"/>
    <n v="0"/>
    <n v="1.1351249723017452E-2"/>
  </r>
  <r>
    <s v="PO-01395"/>
    <x v="3"/>
    <x v="3"/>
    <x v="149"/>
    <d v="2024-08-20T00:00:00"/>
    <x v="0"/>
    <n v="119"/>
    <x v="1390"/>
    <n v="12948.85"/>
    <n v="2"/>
    <x v="1"/>
    <n v="13"/>
    <n v="459.90999999999985"/>
    <n v="1.680672268907563E-2"/>
    <n v="3.4299219316327526E-2"/>
  </r>
  <r>
    <s v="PO-01396"/>
    <x v="1"/>
    <x v="11"/>
    <x v="623"/>
    <d v="2024-11-30T00:00:00"/>
    <x v="0"/>
    <n v="439"/>
    <x v="1391"/>
    <n v="13527.05"/>
    <n v="1"/>
    <x v="0"/>
    <n v="21"/>
    <n v="64.860000000000582"/>
    <n v="2.2779043280182231E-3"/>
    <n v="4.7719562592748611E-3"/>
  </r>
  <r>
    <s v="PO-01397"/>
    <x v="2"/>
    <x v="8"/>
    <x v="68"/>
    <d v="2023-10-04T00:00:00"/>
    <x v="0"/>
    <n v="123"/>
    <x v="1392"/>
    <n v="7626.09"/>
    <n v="2"/>
    <x v="0"/>
    <n v="4"/>
    <n v="383.73999999999978"/>
    <n v="1.6260162601626018E-2"/>
    <n v="4.7908632268100541E-2"/>
  </r>
  <r>
    <s v="PO-01398"/>
    <x v="4"/>
    <x v="9"/>
    <x v="581"/>
    <d v="2023-08-28T00:00:00"/>
    <x v="0"/>
    <n v="379"/>
    <x v="1393"/>
    <n v="6101.77"/>
    <n v="8"/>
    <x v="0"/>
    <n v="6"/>
    <n v="50.829999999999927"/>
    <n v="2.1108179419525065E-2"/>
    <n v="8.2615479634625885E-3"/>
  </r>
  <r>
    <s v="PO-01399"/>
    <x v="3"/>
    <x v="6"/>
    <x v="241"/>
    <d v="2023-07-27T00:00:00"/>
    <x v="0"/>
    <n v="406"/>
    <x v="1394"/>
    <n v="586.05999999999995"/>
    <n v="4"/>
    <x v="0"/>
    <n v="20"/>
    <n v="7.2200000000000273"/>
    <n v="9.852216748768473E-3"/>
    <n v="1.2169633225458516E-2"/>
  </r>
  <r>
    <s v="PO-01400"/>
    <x v="2"/>
    <x v="8"/>
    <x v="73"/>
    <s v="Not Yet Delivered"/>
    <x v="2"/>
    <n v="58"/>
    <x v="1395"/>
    <n v="8009.92"/>
    <n v="2"/>
    <x v="0"/>
    <s v="Not Applicable"/>
    <n v="368.20999999999913"/>
    <n v="3.4482758620689655E-2"/>
    <n v="4.3948948034943258E-2"/>
  </r>
  <r>
    <s v="PO-01401"/>
    <x v="5"/>
    <x v="8"/>
    <x v="185"/>
    <d v="2024-08-27T00:00:00"/>
    <x v="0"/>
    <n v="223"/>
    <x v="1396"/>
    <n v="8340.84"/>
    <n v="2"/>
    <x v="1"/>
    <n v="21"/>
    <n v="82.209999999999127"/>
    <n v="8.9686098654708519E-3"/>
    <n v="9.7601225209394613E-3"/>
  </r>
  <r>
    <s v="PO-01402"/>
    <x v="3"/>
    <x v="1"/>
    <x v="41"/>
    <d v="2023-05-04T00:00:00"/>
    <x v="0"/>
    <n v="322"/>
    <x v="1397"/>
    <n v="5219.1000000000004"/>
    <n v="3"/>
    <x v="0"/>
    <n v="25"/>
    <n v="135.34999999999945"/>
    <n v="9.316770186335404E-3"/>
    <n v="2.5278039761319922E-2"/>
  </r>
  <r>
    <s v="PO-01403"/>
    <x v="2"/>
    <x v="1"/>
    <x v="115"/>
    <d v="2024-10-07T00:00:00"/>
    <x v="3"/>
    <n v="42"/>
    <x v="1398"/>
    <n v="4831.0200000000004"/>
    <n v="0"/>
    <x v="0"/>
    <n v="11"/>
    <n v="69.729999999999563"/>
    <n v="0"/>
    <n v="1.4228434423302466E-2"/>
  </r>
  <r>
    <s v="PO-01404"/>
    <x v="3"/>
    <x v="2"/>
    <x v="123"/>
    <d v="2024-08-18T00:00:00"/>
    <x v="0"/>
    <n v="153"/>
    <x v="1399"/>
    <n v="114.25"/>
    <n v="0"/>
    <x v="0"/>
    <n v="26"/>
    <n v="3.8799999999999955"/>
    <n v="0"/>
    <n v="3.2845170574790451E-2"/>
  </r>
  <r>
    <s v="PO-01405"/>
    <x v="5"/>
    <x v="10"/>
    <x v="535"/>
    <d v="2024-07-14T00:00:00"/>
    <x v="0"/>
    <n v="139"/>
    <x v="1400"/>
    <n v="48766.53"/>
    <n v="1"/>
    <x v="0"/>
    <n v="28"/>
    <n v="974.76000000000204"/>
    <n v="7.1942446043165471E-3"/>
    <n v="1.9596596710700548E-2"/>
  </r>
  <r>
    <s v="PO-01406"/>
    <x v="3"/>
    <x v="11"/>
    <x v="37"/>
    <d v="2024-06-18T00:00:00"/>
    <x v="3"/>
    <n v="374"/>
    <x v="1401"/>
    <n v="14609.54"/>
    <n v="4"/>
    <x v="0"/>
    <n v="13"/>
    <n v="407.95999999999913"/>
    <n v="1.06951871657754E-2"/>
    <n v="2.7165640086565614E-2"/>
  </r>
  <r>
    <s v="PO-01407"/>
    <x v="2"/>
    <x v="5"/>
    <x v="260"/>
    <s v="Not Yet Delivered"/>
    <x v="1"/>
    <n v="42"/>
    <x v="1402"/>
    <m/>
    <n v="2"/>
    <x v="0"/>
    <s v="Not Applicable"/>
    <n v="819.95"/>
    <n v="4.7619047619047616E-2"/>
    <n v="1"/>
  </r>
  <r>
    <s v="PO-01408"/>
    <x v="1"/>
    <x v="2"/>
    <x v="331"/>
    <s v="Not Yet Delivered"/>
    <x v="2"/>
    <n v="387"/>
    <x v="1403"/>
    <n v="111.69"/>
    <n v="2"/>
    <x v="0"/>
    <s v="Not Applicable"/>
    <n v="1.2900000000000063"/>
    <n v="5.1679586563307496E-3"/>
    <n v="1.1417950079660172E-2"/>
  </r>
  <r>
    <s v="PO-01409"/>
    <x v="3"/>
    <x v="6"/>
    <x v="140"/>
    <d v="2023-11-13T00:00:00"/>
    <x v="0"/>
    <n v="53"/>
    <x v="1404"/>
    <n v="580.09"/>
    <n v="0"/>
    <x v="0"/>
    <n v="24"/>
    <n v="2.6599999999999682"/>
    <n v="0"/>
    <n v="4.5645645645645098E-3"/>
  </r>
  <r>
    <s v="PO-01410"/>
    <x v="4"/>
    <x v="8"/>
    <x v="624"/>
    <d v="2024-11-28T00:00:00"/>
    <x v="3"/>
    <n v="26"/>
    <x v="1405"/>
    <n v="7576.69"/>
    <n v="0"/>
    <x v="0"/>
    <n v="9"/>
    <n v="326.63000000000011"/>
    <n v="0"/>
    <n v="4.1328201312865999E-2"/>
  </r>
  <r>
    <s v="PO-01411"/>
    <x v="5"/>
    <x v="1"/>
    <x v="472"/>
    <s v="Not Yet Delivered"/>
    <x v="2"/>
    <n v="9"/>
    <x v="1406"/>
    <n v="5064.08"/>
    <n v="2"/>
    <x v="1"/>
    <s v="Not Applicable"/>
    <n v="299.84000000000015"/>
    <n v="0.22222222222222221"/>
    <n v="5.5899416844397407E-2"/>
  </r>
  <r>
    <s v="PO-01412"/>
    <x v="0"/>
    <x v="3"/>
    <x v="625"/>
    <s v="Not Yet Delivered"/>
    <x v="1"/>
    <n v="35"/>
    <x v="1407"/>
    <n v="12464.73"/>
    <n v="2"/>
    <x v="0"/>
    <s v="Not Applicable"/>
    <n v="289.78000000000065"/>
    <n v="5.7142857142857141E-2"/>
    <n v="2.2719806562541457E-2"/>
  </r>
  <r>
    <s v="PO-01413"/>
    <x v="3"/>
    <x v="4"/>
    <x v="339"/>
    <d v="2024-12-03T00:00:00"/>
    <x v="0"/>
    <n v="478"/>
    <x v="1408"/>
    <n v="44740.47"/>
    <n v="2"/>
    <x v="0"/>
    <n v="16"/>
    <n v="1878.6999999999971"/>
    <n v="4.1841004184100415E-3"/>
    <n v="4.0298872759853881E-2"/>
  </r>
  <r>
    <s v="PO-01414"/>
    <x v="0"/>
    <x v="1"/>
    <x v="413"/>
    <d v="2024-05-24T00:00:00"/>
    <x v="0"/>
    <n v="300"/>
    <x v="1409"/>
    <n v="5252.78"/>
    <n v="1"/>
    <x v="0"/>
    <n v="13"/>
    <n v="240.17000000000007"/>
    <n v="3.3333333333333335E-3"/>
    <n v="4.372331807134601E-2"/>
  </r>
  <r>
    <s v="PO-01415"/>
    <x v="0"/>
    <x v="7"/>
    <x v="110"/>
    <s v="Not Yet Delivered"/>
    <x v="1"/>
    <n v="338"/>
    <x v="1410"/>
    <n v="12419.43"/>
    <n v="2"/>
    <x v="0"/>
    <s v="Not Applicable"/>
    <n v="360.71999999999935"/>
    <n v="5.9171597633136093E-3"/>
    <n v="2.8225020833088765E-2"/>
  </r>
  <r>
    <s v="PO-01416"/>
    <x v="5"/>
    <x v="5"/>
    <x v="66"/>
    <d v="2024-07-04T00:00:00"/>
    <x v="0"/>
    <n v="340"/>
    <x v="1411"/>
    <n v="894.51"/>
    <n v="0"/>
    <x v="1"/>
    <n v="25"/>
    <n v="51.629999999999995"/>
    <n v="0"/>
    <n v="5.4569091254993971E-2"/>
  </r>
  <r>
    <s v="PO-01417"/>
    <x v="1"/>
    <x v="9"/>
    <x v="626"/>
    <d v="2023-03-08T00:00:00"/>
    <x v="0"/>
    <n v="325"/>
    <x v="1412"/>
    <n v="6136.38"/>
    <n v="2"/>
    <x v="0"/>
    <n v="2"/>
    <n v="176.09000000000015"/>
    <n v="6.1538461538461538E-3"/>
    <n v="2.7895578117598997E-2"/>
  </r>
  <r>
    <s v="PO-01418"/>
    <x v="2"/>
    <x v="2"/>
    <x v="420"/>
    <d v="2024-02-24T00:00:00"/>
    <x v="3"/>
    <n v="213"/>
    <x v="1413"/>
    <n v="112.35"/>
    <n v="0"/>
    <x v="0"/>
    <n v="24"/>
    <n v="1.6200000000000045"/>
    <n v="0"/>
    <n v="1.4214266912345393E-2"/>
  </r>
  <r>
    <s v="PO-01419"/>
    <x v="2"/>
    <x v="4"/>
    <x v="611"/>
    <s v="Not Yet Delivered"/>
    <x v="1"/>
    <n v="282"/>
    <x v="1414"/>
    <n v="45744.93"/>
    <n v="2"/>
    <x v="0"/>
    <s v="Not Applicable"/>
    <n v="2679.8099999999977"/>
    <n v="7.0921985815602835E-3"/>
    <n v="5.5339687936372971E-2"/>
  </r>
  <r>
    <s v="PO-01420"/>
    <x v="5"/>
    <x v="11"/>
    <x v="66"/>
    <d v="2024-07-04T00:00:00"/>
    <x v="0"/>
    <n v="165"/>
    <x v="1415"/>
    <n v="14704.08"/>
    <n v="5"/>
    <x v="0"/>
    <n v="25"/>
    <n v="344.97999999999956"/>
    <n v="3.0303030303030304E-2"/>
    <n v="2.2923690914914259E-2"/>
  </r>
  <r>
    <s v="PO-01421"/>
    <x v="0"/>
    <x v="11"/>
    <x v="627"/>
    <d v="2023-07-12T00:00:00"/>
    <x v="0"/>
    <n v="240"/>
    <x v="1416"/>
    <n v="15486.93"/>
    <n v="4"/>
    <x v="0"/>
    <n v="26"/>
    <n v="222.43000000000029"/>
    <n v="1.6666666666666666E-2"/>
    <n v="1.4159074589926024E-2"/>
  </r>
  <r>
    <s v="PO-01422"/>
    <x v="5"/>
    <x v="6"/>
    <x v="304"/>
    <d v="2024-06-01T00:00:00"/>
    <x v="0"/>
    <n v="71"/>
    <x v="1417"/>
    <n v="571.4"/>
    <n v="0"/>
    <x v="1"/>
    <n v="28"/>
    <n v="10.399999999999977"/>
    <n v="0"/>
    <n v="1.7875558611206564E-2"/>
  </r>
  <r>
    <s v="PO-01423"/>
    <x v="4"/>
    <x v="7"/>
    <x v="162"/>
    <d v="2024-03-08T00:00:00"/>
    <x v="0"/>
    <n v="358"/>
    <x v="1418"/>
    <n v="11089.13"/>
    <n v="1"/>
    <x v="0"/>
    <n v="5"/>
    <n v="465.93000000000029"/>
    <n v="2.7932960893854749E-3"/>
    <n v="4.0322594603576296E-2"/>
  </r>
  <r>
    <s v="PO-01424"/>
    <x v="5"/>
    <x v="6"/>
    <x v="393"/>
    <s v="Not Yet Delivered"/>
    <x v="2"/>
    <n v="393"/>
    <x v="1419"/>
    <n v="518.16999999999996"/>
    <n v="2"/>
    <x v="0"/>
    <s v="Not Applicable"/>
    <n v="26.530000000000086"/>
    <n v="5.0890585241730284E-3"/>
    <n v="4.8705709564898267E-2"/>
  </r>
  <r>
    <s v="PO-01425"/>
    <x v="6"/>
    <x v="1"/>
    <x v="443"/>
    <d v="2024-02-18T00:00:00"/>
    <x v="3"/>
    <n v="6"/>
    <x v="1420"/>
    <n v="5170.8900000000003"/>
    <n v="0"/>
    <x v="0"/>
    <n v="9"/>
    <n v="113.67999999999938"/>
    <n v="0"/>
    <n v="2.1511684015917926E-2"/>
  </r>
  <r>
    <s v="PO-01426"/>
    <x v="7"/>
    <x v="6"/>
    <x v="274"/>
    <d v="2023-12-22T00:00:00"/>
    <x v="0"/>
    <n v="101"/>
    <x v="1421"/>
    <n v="572.16"/>
    <n v="3"/>
    <x v="0"/>
    <n v="13"/>
    <n v="4.07000000000005"/>
    <n v="2.9702970297029702E-2"/>
    <n v="7.0631518664423061E-3"/>
  </r>
  <r>
    <s v="PO-01427"/>
    <x v="6"/>
    <x v="4"/>
    <x v="540"/>
    <d v="2023-02-12T00:00:00"/>
    <x v="0"/>
    <n v="35"/>
    <x v="1422"/>
    <n v="52647.59"/>
    <n v="0"/>
    <x v="0"/>
    <n v="24"/>
    <n v="2136.5900000000038"/>
    <n v="0"/>
    <n v="3.9000127409044065E-2"/>
  </r>
  <r>
    <s v="PO-01428"/>
    <x v="0"/>
    <x v="7"/>
    <x v="224"/>
    <s v="Not Yet Delivered"/>
    <x v="2"/>
    <n v="173"/>
    <x v="1423"/>
    <n v="11862.32"/>
    <n v="2"/>
    <x v="0"/>
    <s v="Not Applicable"/>
    <n v="59.979999999999563"/>
    <n v="1.1560693641618497E-2"/>
    <n v="5.0309084656483703E-3"/>
  </r>
  <r>
    <s v="PO-01429"/>
    <x v="3"/>
    <x v="8"/>
    <x v="628"/>
    <d v="2024-12-22T00:00:00"/>
    <x v="0"/>
    <n v="35"/>
    <x v="1424"/>
    <n v="8275.08"/>
    <n v="1"/>
    <x v="0"/>
    <n v="11"/>
    <n v="94.840000000000146"/>
    <n v="2.8571428571428571E-2"/>
    <n v="1.13310521486466E-2"/>
  </r>
  <r>
    <s v="PO-01430"/>
    <x v="0"/>
    <x v="2"/>
    <x v="597"/>
    <d v="2023-06-01T00:00:00"/>
    <x v="3"/>
    <n v="269"/>
    <x v="1425"/>
    <n v="121.15"/>
    <n v="3"/>
    <x v="1"/>
    <n v="25"/>
    <n v="6.4899999999999949"/>
    <n v="1.1152416356877323E-2"/>
    <n v="5.0846129739893407E-2"/>
  </r>
  <r>
    <s v="PO-01431"/>
    <x v="7"/>
    <x v="6"/>
    <x v="604"/>
    <d v="2024-01-03T00:00:00"/>
    <x v="0"/>
    <n v="456"/>
    <x v="1426"/>
    <n v="527.63"/>
    <n v="7"/>
    <x v="0"/>
    <n v="27"/>
    <n v="2.8100000000000591"/>
    <n v="1.5350877192982455E-2"/>
    <n v="5.2974888771586959E-3"/>
  </r>
  <r>
    <s v="PO-01432"/>
    <x v="3"/>
    <x v="0"/>
    <x v="290"/>
    <d v="2023-05-26T00:00:00"/>
    <x v="0"/>
    <n v="384"/>
    <x v="1427"/>
    <n v="4048.53"/>
    <n v="5"/>
    <x v="1"/>
    <n v="25"/>
    <n v="111.95999999999958"/>
    <n v="1.3020833333333334E-2"/>
    <n v="2.6910291816588813E-2"/>
  </r>
  <r>
    <s v="PO-01433"/>
    <x v="2"/>
    <x v="1"/>
    <x v="331"/>
    <d v="2023-08-19T00:00:00"/>
    <x v="0"/>
    <n v="55"/>
    <x v="1428"/>
    <n v="5149.88"/>
    <n v="0"/>
    <x v="0"/>
    <n v="13"/>
    <n v="106.13000000000011"/>
    <n v="0"/>
    <n v="2.0192122922140579E-2"/>
  </r>
  <r>
    <s v="PO-01434"/>
    <x v="6"/>
    <x v="6"/>
    <x v="629"/>
    <d v="2023-03-17T00:00:00"/>
    <x v="0"/>
    <n v="321"/>
    <x v="1429"/>
    <n v="583.37"/>
    <n v="3"/>
    <x v="0"/>
    <n v="28"/>
    <n v="12.970000000000027"/>
    <n v="9.3457943925233638E-3"/>
    <n v="2.1749337626186447E-2"/>
  </r>
  <r>
    <s v="PO-01435"/>
    <x v="1"/>
    <x v="6"/>
    <x v="354"/>
    <d v="2023-05-03T00:00:00"/>
    <x v="0"/>
    <n v="43"/>
    <x v="1430"/>
    <n v="535.41"/>
    <n v="0"/>
    <x v="0"/>
    <n v="16"/>
    <n v="11.32000000000005"/>
    <n v="0"/>
    <n v="2.0704918332632286E-2"/>
  </r>
  <r>
    <s v="PO-01436"/>
    <x v="3"/>
    <x v="7"/>
    <x v="24"/>
    <d v="2024-09-30T00:00:00"/>
    <x v="0"/>
    <n v="53"/>
    <x v="1431"/>
    <n v="12179.2"/>
    <n v="0"/>
    <x v="0"/>
    <n v="30"/>
    <n v="340.65999999999985"/>
    <n v="0"/>
    <n v="2.7209569436079942E-2"/>
  </r>
  <r>
    <s v="PO-01437"/>
    <x v="3"/>
    <x v="10"/>
    <x v="630"/>
    <s v="Not Yet Delivered"/>
    <x v="1"/>
    <n v="485"/>
    <x v="1432"/>
    <n v="52701.71"/>
    <n v="2"/>
    <x v="0"/>
    <s v="Not Applicable"/>
    <n v="450.37999999999738"/>
    <n v="4.1237113402061857E-3"/>
    <n v="8.4734203302259115E-3"/>
  </r>
  <r>
    <s v="PO-01438"/>
    <x v="7"/>
    <x v="5"/>
    <x v="358"/>
    <d v="2025-01-11T00:00:00"/>
    <x v="0"/>
    <n v="435"/>
    <x v="1433"/>
    <n v="838.52"/>
    <n v="1"/>
    <x v="0"/>
    <n v="13"/>
    <n v="33.050000000000068"/>
    <n v="2.2988505747126436E-3"/>
    <n v="3.7920075266473223E-2"/>
  </r>
  <r>
    <s v="PO-01439"/>
    <x v="0"/>
    <x v="8"/>
    <x v="187"/>
    <d v="2023-07-30T00:00:00"/>
    <x v="3"/>
    <n v="419"/>
    <x v="1434"/>
    <n v="8011.2"/>
    <n v="0"/>
    <x v="0"/>
    <n v="2"/>
    <n v="508.03999999999996"/>
    <n v="0"/>
    <n v="5.9634427484141772E-2"/>
  </r>
  <r>
    <s v="PO-01440"/>
    <x v="6"/>
    <x v="5"/>
    <x v="408"/>
    <d v="2024-03-25T00:00:00"/>
    <x v="0"/>
    <n v="410"/>
    <x v="1435"/>
    <n v="967.6"/>
    <n v="2"/>
    <x v="0"/>
    <n v="28"/>
    <n v="12.279999999999973"/>
    <n v="4.8780487804878049E-3"/>
    <n v="1.2532146793484888E-2"/>
  </r>
  <r>
    <s v="PO-01441"/>
    <x v="7"/>
    <x v="3"/>
    <x v="288"/>
    <d v="2024-08-29T00:00:00"/>
    <x v="0"/>
    <n v="137"/>
    <x v="1436"/>
    <n v="12542.5"/>
    <n v="0"/>
    <x v="0"/>
    <n v="4"/>
    <n v="274.17000000000007"/>
    <n v="0"/>
    <n v="2.1391671939747225E-2"/>
  </r>
  <r>
    <s v="PO-01442"/>
    <x v="0"/>
    <x v="5"/>
    <x v="631"/>
    <s v="Not Yet Delivered"/>
    <x v="2"/>
    <n v="91"/>
    <x v="1437"/>
    <n v="949.72"/>
    <n v="2"/>
    <x v="0"/>
    <s v="Not Applicable"/>
    <n v="18.579999999999927"/>
    <n v="2.197802197802198E-2"/>
    <n v="1.9188268098729658E-2"/>
  </r>
  <r>
    <s v="PO-01443"/>
    <x v="0"/>
    <x v="11"/>
    <x v="632"/>
    <d v="2023-11-09T00:00:00"/>
    <x v="3"/>
    <n v="127"/>
    <x v="1438"/>
    <n v="14340.49"/>
    <n v="1"/>
    <x v="0"/>
    <n v="16"/>
    <n v="654.92000000000007"/>
    <n v="7.874015748031496E-3"/>
    <n v="4.3674697790857343E-2"/>
  </r>
  <r>
    <s v="PO-01444"/>
    <x v="5"/>
    <x v="5"/>
    <x v="279"/>
    <d v="2024-02-06T00:00:00"/>
    <x v="0"/>
    <n v="418"/>
    <x v="1439"/>
    <n v="838.6"/>
    <n v="3"/>
    <x v="0"/>
    <n v="26"/>
    <n v="49.889999999999986"/>
    <n v="7.1770334928229667E-3"/>
    <n v="5.6151447962273053E-2"/>
  </r>
  <r>
    <s v="PO-01445"/>
    <x v="4"/>
    <x v="4"/>
    <x v="506"/>
    <d v="2024-08-16T00:00:00"/>
    <x v="0"/>
    <n v="59"/>
    <x v="1440"/>
    <n v="44417.919999999998"/>
    <n v="2"/>
    <x v="0"/>
    <n v="26"/>
    <n v="1949.8700000000026"/>
    <n v="3.3898305084745763E-2"/>
    <n v="4.205225222077659E-2"/>
  </r>
  <r>
    <s v="PO-01446"/>
    <x v="0"/>
    <x v="0"/>
    <x v="363"/>
    <d v="2023-05-16T00:00:00"/>
    <x v="0"/>
    <n v="329"/>
    <x v="1441"/>
    <n v="4323.74"/>
    <n v="2"/>
    <x v="0"/>
    <n v="24"/>
    <n v="168.23999999999978"/>
    <n v="6.0790273556231003E-3"/>
    <n v="3.7453416978704225E-2"/>
  </r>
  <r>
    <s v="PO-01447"/>
    <x v="5"/>
    <x v="8"/>
    <x v="305"/>
    <s v="Not Yet Delivered"/>
    <x v="1"/>
    <n v="162"/>
    <x v="1442"/>
    <n v="7917.18"/>
    <n v="2"/>
    <x v="0"/>
    <s v="Not Applicable"/>
    <n v="348.65999999999985"/>
    <n v="1.2345679012345678E-2"/>
    <n v="4.218083098632442E-2"/>
  </r>
  <r>
    <s v="PO-01448"/>
    <x v="7"/>
    <x v="4"/>
    <x v="42"/>
    <d v="2024-12-11T00:00:00"/>
    <x v="0"/>
    <n v="187"/>
    <x v="1443"/>
    <n v="45384.1"/>
    <n v="2"/>
    <x v="0"/>
    <n v="16"/>
    <n v="2729.3600000000006"/>
    <n v="1.06951871657754E-2"/>
    <n v="5.6727576856871249E-2"/>
  </r>
  <r>
    <s v="PO-01449"/>
    <x v="6"/>
    <x v="2"/>
    <x v="148"/>
    <d v="2023-05-09T00:00:00"/>
    <x v="0"/>
    <n v="354"/>
    <x v="593"/>
    <n v="121.05"/>
    <n v="2"/>
    <x v="0"/>
    <n v="10"/>
    <n v="5.8200000000000074"/>
    <n v="5.6497175141242938E-3"/>
    <n v="4.5873729013951342E-2"/>
  </r>
  <r>
    <s v="PO-01450"/>
    <x v="7"/>
    <x v="5"/>
    <x v="29"/>
    <d v="2024-12-06T00:00:00"/>
    <x v="0"/>
    <n v="249"/>
    <x v="1444"/>
    <n v="886.87"/>
    <n v="0"/>
    <x v="1"/>
    <n v="21"/>
    <n v="8.0900000000000318"/>
    <n v="0"/>
    <n v="9.0395101457048706E-3"/>
  </r>
  <r>
    <s v="PO-01451"/>
    <x v="4"/>
    <x v="11"/>
    <x v="633"/>
    <d v="2023-10-23T00:00:00"/>
    <x v="0"/>
    <n v="297"/>
    <x v="1445"/>
    <n v="13243.99"/>
    <n v="5"/>
    <x v="0"/>
    <n v="14"/>
    <n v="575.11000000000058"/>
    <n v="1.6835016835016835E-2"/>
    <n v="4.1617037288969656E-2"/>
  </r>
  <r>
    <s v="PO-01452"/>
    <x v="6"/>
    <x v="3"/>
    <x v="203"/>
    <d v="2024-12-13T00:00:00"/>
    <x v="0"/>
    <n v="472"/>
    <x v="1446"/>
    <n v="13298.22"/>
    <n v="6"/>
    <x v="0"/>
    <n v="12"/>
    <n v="385.04000000000087"/>
    <n v="1.2711864406779662E-2"/>
    <n v="2.8139493074018973E-2"/>
  </r>
  <r>
    <s v="PO-01453"/>
    <x v="7"/>
    <x v="11"/>
    <x v="458"/>
    <d v="2023-04-12T00:00:00"/>
    <x v="3"/>
    <n v="441"/>
    <x v="1447"/>
    <n v="14462.86"/>
    <n v="3"/>
    <x v="0"/>
    <n v="15"/>
    <n v="189.64999999999964"/>
    <n v="6.8027210884353739E-3"/>
    <n v="1.2943174923613745E-2"/>
  </r>
  <r>
    <s v="PO-01454"/>
    <x v="1"/>
    <x v="9"/>
    <x v="266"/>
    <d v="2024-06-13T00:00:00"/>
    <x v="0"/>
    <n v="76"/>
    <x v="1448"/>
    <n v="5690.75"/>
    <n v="0"/>
    <x v="0"/>
    <n v="10"/>
    <n v="141.92000000000007"/>
    <n v="0"/>
    <n v="2.4331909742879344E-2"/>
  </r>
  <r>
    <s v="PO-01455"/>
    <x v="7"/>
    <x v="3"/>
    <x v="293"/>
    <d v="2023-05-21T00:00:00"/>
    <x v="0"/>
    <n v="259"/>
    <x v="1449"/>
    <n v="12620.13"/>
    <n v="4"/>
    <x v="0"/>
    <n v="4"/>
    <n v="135.91000000000167"/>
    <n v="1.5444015444015444E-2"/>
    <n v="1.0654560506238744E-2"/>
  </r>
  <r>
    <s v="PO-01456"/>
    <x v="7"/>
    <x v="7"/>
    <x v="185"/>
    <d v="2024-09-02T00:00:00"/>
    <x v="0"/>
    <n v="183"/>
    <x v="1450"/>
    <n v="11633.99"/>
    <n v="1"/>
    <x v="0"/>
    <n v="27"/>
    <n v="443.73999999999978"/>
    <n v="5.4644808743169399E-3"/>
    <n v="3.674034773090637E-2"/>
  </r>
  <r>
    <s v="PO-01457"/>
    <x v="5"/>
    <x v="0"/>
    <x v="258"/>
    <d v="2023-02-07T00:00:00"/>
    <x v="0"/>
    <n v="119"/>
    <x v="1451"/>
    <n v="4054.87"/>
    <n v="1"/>
    <x v="0"/>
    <n v="5"/>
    <n v="132.98000000000047"/>
    <n v="8.4033613445378148E-3"/>
    <n v="3.1753763864512924E-2"/>
  </r>
  <r>
    <s v="PO-01458"/>
    <x v="4"/>
    <x v="5"/>
    <x v="598"/>
    <d v="2024-03-20T00:00:00"/>
    <x v="3"/>
    <n v="31"/>
    <x v="1452"/>
    <n v="758.53"/>
    <n v="2"/>
    <x v="0"/>
    <n v="9"/>
    <n v="46.620000000000005"/>
    <n v="6.4516129032258063E-2"/>
    <n v="5.7902254238340688E-2"/>
  </r>
  <r>
    <s v="PO-01459"/>
    <x v="0"/>
    <x v="10"/>
    <x v="175"/>
    <s v="Not Yet Delivered"/>
    <x v="2"/>
    <n v="491"/>
    <x v="1453"/>
    <n v="56096.06"/>
    <n v="2"/>
    <x v="1"/>
    <s v="Not Applicable"/>
    <n v="954.95999999999913"/>
    <n v="4.0733197556008143E-3"/>
    <n v="1.6738701604283309E-2"/>
  </r>
  <r>
    <s v="PO-01460"/>
    <x v="0"/>
    <x v="3"/>
    <x v="634"/>
    <d v="2024-07-07T00:00:00"/>
    <x v="0"/>
    <n v="250"/>
    <x v="1454"/>
    <n v="12012.86"/>
    <n v="4"/>
    <x v="0"/>
    <n v="6"/>
    <n v="387.61999999999898"/>
    <n v="1.6E-2"/>
    <n v="3.1258467414164534E-2"/>
  </r>
  <r>
    <s v="PO-01461"/>
    <x v="0"/>
    <x v="5"/>
    <x v="635"/>
    <d v="2023-11-21T00:00:00"/>
    <x v="3"/>
    <n v="240"/>
    <x v="1455"/>
    <n v="862.04"/>
    <n v="3"/>
    <x v="0"/>
    <n v="26"/>
    <n v="44.950000000000045"/>
    <n v="1.2500000000000001E-2"/>
    <n v="4.955953207863377E-2"/>
  </r>
  <r>
    <s v="PO-01462"/>
    <x v="0"/>
    <x v="4"/>
    <x v="109"/>
    <d v="2024-09-21T00:00:00"/>
    <x v="0"/>
    <n v="321"/>
    <x v="1456"/>
    <n v="45518.77"/>
    <n v="2"/>
    <x v="0"/>
    <n v="22"/>
    <n v="2171.9500000000044"/>
    <n v="6.2305295950155761E-3"/>
    <n v="4.554240321806851E-2"/>
  </r>
  <r>
    <s v="PO-01463"/>
    <x v="2"/>
    <x v="2"/>
    <x v="135"/>
    <s v="Not Yet Delivered"/>
    <x v="2"/>
    <n v="441"/>
    <x v="157"/>
    <n v="109.7"/>
    <n v="2"/>
    <x v="0"/>
    <s v="Not Applicable"/>
    <n v="4.8799999999999955"/>
    <n v="4.5351473922902496E-3"/>
    <n v="4.2590329900506159E-2"/>
  </r>
  <r>
    <s v="PO-01464"/>
    <x v="6"/>
    <x v="8"/>
    <x v="329"/>
    <d v="2023-11-13T00:00:00"/>
    <x v="0"/>
    <n v="38"/>
    <x v="1457"/>
    <n v="8710.1"/>
    <n v="1"/>
    <x v="0"/>
    <n v="9"/>
    <n v="212.3799999999992"/>
    <n v="2.6315789473684209E-2"/>
    <n v="2.3802799221740951E-2"/>
  </r>
  <r>
    <s v="PO-01465"/>
    <x v="2"/>
    <x v="7"/>
    <x v="46"/>
    <d v="2023-02-01T00:00:00"/>
    <x v="0"/>
    <n v="366"/>
    <x v="1458"/>
    <n v="10958.51"/>
    <n v="1"/>
    <x v="0"/>
    <n v="3"/>
    <n v="539.18000000000029"/>
    <n v="2.7322404371584699E-3"/>
    <n v="4.6894637096669009E-2"/>
  </r>
  <r>
    <s v="PO-01466"/>
    <x v="1"/>
    <x v="2"/>
    <x v="70"/>
    <d v="2025-01-06T00:00:00"/>
    <x v="0"/>
    <n v="252"/>
    <x v="1459"/>
    <n v="114.58"/>
    <n v="1"/>
    <x v="0"/>
    <n v="27"/>
    <n v="1.7800000000000011"/>
    <n v="3.968253968253968E-3"/>
    <n v="1.5297353042282582E-2"/>
  </r>
  <r>
    <s v="PO-01467"/>
    <x v="6"/>
    <x v="11"/>
    <x v="582"/>
    <d v="2024-05-07T00:00:00"/>
    <x v="0"/>
    <n v="72"/>
    <x v="1460"/>
    <n v="15936.32"/>
    <n v="1"/>
    <x v="0"/>
    <n v="28"/>
    <n v="374.01000000000022"/>
    <n v="1.3888888888888888E-2"/>
    <n v="2.2930866512204242E-2"/>
  </r>
  <r>
    <s v="PO-01468"/>
    <x v="0"/>
    <x v="11"/>
    <x v="60"/>
    <d v="2023-09-20T00:00:00"/>
    <x v="3"/>
    <n v="13"/>
    <x v="1461"/>
    <n v="15269.88"/>
    <n v="0"/>
    <x v="0"/>
    <n v="14"/>
    <n v="361"/>
    <n v="0"/>
    <n v="2.3095308773402396E-2"/>
  </r>
  <r>
    <s v="PO-01469"/>
    <x v="3"/>
    <x v="7"/>
    <x v="303"/>
    <d v="2023-05-28T00:00:00"/>
    <x v="0"/>
    <n v="421"/>
    <x v="1462"/>
    <n v="11917.82"/>
    <n v="6"/>
    <x v="0"/>
    <n v="12"/>
    <n v="647.71000000000095"/>
    <n v="1.4251781472684086E-2"/>
    <n v="5.1546572249638566E-2"/>
  </r>
  <r>
    <s v="PO-01470"/>
    <x v="6"/>
    <x v="11"/>
    <x v="550"/>
    <s v="Not Yet Delivered"/>
    <x v="2"/>
    <n v="395"/>
    <x v="1463"/>
    <n v="15533.6"/>
    <n v="2"/>
    <x v="0"/>
    <s v="Not Applicable"/>
    <n v="430.61999999999898"/>
    <n v="5.0632911392405064E-3"/>
    <n v="2.6974070765749845E-2"/>
  </r>
  <r>
    <s v="PO-01471"/>
    <x v="0"/>
    <x v="10"/>
    <x v="4"/>
    <d v="2023-12-17T00:00:00"/>
    <x v="0"/>
    <n v="208"/>
    <x v="1464"/>
    <n v="51974.6"/>
    <n v="0"/>
    <x v="0"/>
    <n v="5"/>
    <n v="3020.2900000000009"/>
    <n v="0"/>
    <n v="5.4919466154037234E-2"/>
  </r>
  <r>
    <s v="PO-01472"/>
    <x v="3"/>
    <x v="8"/>
    <x v="235"/>
    <d v="2024-11-12T00:00:00"/>
    <x v="0"/>
    <n v="448"/>
    <x v="1465"/>
    <n v="8091.96"/>
    <n v="4"/>
    <x v="0"/>
    <n v="25"/>
    <n v="398.32000000000062"/>
    <n v="8.9285714285714281E-3"/>
    <n v="4.6914824952769586E-2"/>
  </r>
  <r>
    <s v="PO-01473"/>
    <x v="1"/>
    <x v="2"/>
    <x v="359"/>
    <d v="2024-07-05T00:00:00"/>
    <x v="0"/>
    <n v="89"/>
    <x v="1466"/>
    <n v="116.74"/>
    <n v="2"/>
    <x v="0"/>
    <n v="25"/>
    <n v="1.7900000000000063"/>
    <n v="2.247191011235955E-2"/>
    <n v="1.5101662026491236E-2"/>
  </r>
  <r>
    <s v="PO-01474"/>
    <x v="4"/>
    <x v="8"/>
    <x v="364"/>
    <d v="2023-07-21T00:00:00"/>
    <x v="0"/>
    <n v="428"/>
    <x v="1467"/>
    <n v="7656.2"/>
    <n v="10"/>
    <x v="0"/>
    <n v="2"/>
    <n v="398.40999999999985"/>
    <n v="2.336448598130841E-2"/>
    <n v="4.9463599106598567E-2"/>
  </r>
  <r>
    <s v="PO-01475"/>
    <x v="7"/>
    <x v="6"/>
    <x v="602"/>
    <d v="2023-09-15T00:00:00"/>
    <x v="0"/>
    <n v="149"/>
    <x v="1468"/>
    <n v="544.66"/>
    <n v="0"/>
    <x v="0"/>
    <n v="30"/>
    <n v="11.009999999999991"/>
    <n v="0"/>
    <n v="1.9813918332823425E-2"/>
  </r>
  <r>
    <s v="PO-01476"/>
    <x v="7"/>
    <x v="6"/>
    <x v="120"/>
    <s v="Not Yet Delivered"/>
    <x v="2"/>
    <n v="128"/>
    <x v="1469"/>
    <n v="529.1"/>
    <n v="2"/>
    <x v="0"/>
    <s v="Not Applicable"/>
    <n v="0.79999999999995453"/>
    <n v="1.5625E-2"/>
    <n v="1.5097188148706447E-3"/>
  </r>
  <r>
    <s v="PO-01477"/>
    <x v="1"/>
    <x v="4"/>
    <x v="636"/>
    <d v="2023-03-19T00:00:00"/>
    <x v="0"/>
    <n v="277"/>
    <x v="1470"/>
    <n v="43469.07"/>
    <n v="0"/>
    <x v="0"/>
    <n v="7"/>
    <n v="2253.5800000000017"/>
    <n v="0"/>
    <n v="4.9288044328139373E-2"/>
  </r>
  <r>
    <s v="PO-01478"/>
    <x v="6"/>
    <x v="0"/>
    <x v="416"/>
    <d v="2025-01-15T00:00:00"/>
    <x v="0"/>
    <n v="380"/>
    <x v="1471"/>
    <n v="4605.45"/>
    <n v="0"/>
    <x v="0"/>
    <n v="21"/>
    <n v="28.5600000000004"/>
    <n v="0"/>
    <n v="6.1631286941548243E-3"/>
  </r>
  <r>
    <s v="PO-01479"/>
    <x v="1"/>
    <x v="7"/>
    <x v="637"/>
    <d v="2024-10-19T00:00:00"/>
    <x v="0"/>
    <n v="294"/>
    <x v="1472"/>
    <n v="10454.530000000001"/>
    <n v="2"/>
    <x v="0"/>
    <n v="22"/>
    <n v="544.89999999999964"/>
    <n v="6.8027210884353739E-3"/>
    <n v="4.9538930653679293E-2"/>
  </r>
  <r>
    <s v="PO-01480"/>
    <x v="1"/>
    <x v="7"/>
    <x v="628"/>
    <d v="2024-12-20T00:00:00"/>
    <x v="0"/>
    <n v="376"/>
    <x v="1473"/>
    <n v="10895.66"/>
    <n v="7"/>
    <x v="0"/>
    <n v="9"/>
    <n v="296.32999999999993"/>
    <n v="1.8617021276595744E-2"/>
    <n v="2.647697147692233E-2"/>
  </r>
  <r>
    <s v="PO-01481"/>
    <x v="5"/>
    <x v="7"/>
    <x v="46"/>
    <d v="2023-02-20T00:00:00"/>
    <x v="0"/>
    <n v="106"/>
    <x v="1474"/>
    <n v="11074.96"/>
    <n v="1"/>
    <x v="0"/>
    <n v="22"/>
    <n v="361.69000000000051"/>
    <n v="9.433962264150943E-3"/>
    <n v="3.1625519710754509E-2"/>
  </r>
  <r>
    <s v="PO-01482"/>
    <x v="1"/>
    <x v="6"/>
    <x v="300"/>
    <d v="2023-11-06T00:00:00"/>
    <x v="0"/>
    <n v="379"/>
    <x v="1475"/>
    <n v="533.89"/>
    <n v="4"/>
    <x v="0"/>
    <n v="18"/>
    <n v="1.2400000000000091"/>
    <n v="1.0554089709762533E-2"/>
    <n v="2.3171939528712818E-3"/>
  </r>
  <r>
    <s v="PO-01483"/>
    <x v="0"/>
    <x v="5"/>
    <x v="252"/>
    <d v="2024-07-25T00:00:00"/>
    <x v="3"/>
    <n v="403"/>
    <x v="1476"/>
    <n v="897.63"/>
    <n v="2"/>
    <x v="1"/>
    <n v="19"/>
    <n v="12.860000000000014"/>
    <n v="4.9627791563275434E-3"/>
    <n v="1.412426275961297E-2"/>
  </r>
  <r>
    <s v="PO-01484"/>
    <x v="4"/>
    <x v="3"/>
    <x v="316"/>
    <d v="2024-09-02T00:00:00"/>
    <x v="0"/>
    <n v="260"/>
    <x v="1477"/>
    <n v="10993.56"/>
    <n v="5"/>
    <x v="0"/>
    <n v="4"/>
    <n v="231.26000000000022"/>
    <n v="1.9230769230769232E-2"/>
    <n v="2.0602557546579831E-2"/>
  </r>
  <r>
    <s v="PO-01485"/>
    <x v="6"/>
    <x v="10"/>
    <x v="171"/>
    <d v="2024-04-20T00:00:00"/>
    <x v="0"/>
    <n v="77"/>
    <x v="1478"/>
    <n v="58574.53"/>
    <n v="3"/>
    <x v="0"/>
    <n v="9"/>
    <n v="760.80999999999767"/>
    <n v="3.896103896103896E-2"/>
    <n v="1.2822206799522808E-2"/>
  </r>
  <r>
    <s v="PO-01486"/>
    <x v="1"/>
    <x v="10"/>
    <x v="619"/>
    <d v="2024-06-09T00:00:00"/>
    <x v="0"/>
    <n v="96"/>
    <x v="1479"/>
    <n v="44859.27"/>
    <n v="2"/>
    <x v="0"/>
    <n v="7"/>
    <n v="1830.8600000000006"/>
    <n v="2.0833333333333332E-2"/>
    <n v="3.9212998550228938E-2"/>
  </r>
  <r>
    <s v="PO-01487"/>
    <x v="3"/>
    <x v="0"/>
    <x v="311"/>
    <d v="2024-08-23T00:00:00"/>
    <x v="0"/>
    <n v="124"/>
    <x v="1480"/>
    <n v="4467.49"/>
    <n v="1"/>
    <x v="0"/>
    <n v="28"/>
    <n v="59.449999999999818"/>
    <n v="8.0645161290322578E-3"/>
    <n v="1.3132491263414099E-2"/>
  </r>
  <r>
    <s v="PO-01488"/>
    <x v="6"/>
    <x v="3"/>
    <x v="638"/>
    <d v="2023-09-06T00:00:00"/>
    <x v="0"/>
    <n v="415"/>
    <x v="1481"/>
    <n v="13746.57"/>
    <n v="8"/>
    <x v="0"/>
    <n v="2"/>
    <n v="98.030000000000655"/>
    <n v="1.9277108433734941E-2"/>
    <n v="7.0807390607168612E-3"/>
  </r>
  <r>
    <s v="PO-01489"/>
    <x v="0"/>
    <x v="5"/>
    <x v="639"/>
    <d v="2024-02-14T00:00:00"/>
    <x v="3"/>
    <n v="147"/>
    <x v="1482"/>
    <n v="883.66"/>
    <n v="1"/>
    <x v="0"/>
    <n v="9"/>
    <n v="38.970000000000027"/>
    <n v="6.8027210884353739E-3"/>
    <n v="4.2237950207558855E-2"/>
  </r>
  <r>
    <s v="PO-01490"/>
    <x v="6"/>
    <x v="8"/>
    <x v="449"/>
    <d v="2023-08-10T00:00:00"/>
    <x v="0"/>
    <n v="13"/>
    <x v="1483"/>
    <n v="8946.68"/>
    <n v="0"/>
    <x v="0"/>
    <n v="20"/>
    <n v="24.949999999998909"/>
    <n v="0"/>
    <n v="2.7809885160220509E-3"/>
  </r>
  <r>
    <s v="PO-01491"/>
    <x v="1"/>
    <x v="2"/>
    <x v="154"/>
    <d v="2024-05-28T00:00:00"/>
    <x v="0"/>
    <n v="248"/>
    <x v="1484"/>
    <n v="111.87"/>
    <n v="1"/>
    <x v="0"/>
    <n v="16"/>
    <n v="0.84999999999999432"/>
    <n v="4.0322580645161289E-3"/>
    <n v="7.5408090844570116E-3"/>
  </r>
  <r>
    <s v="PO-01492"/>
    <x v="5"/>
    <x v="8"/>
    <x v="202"/>
    <d v="2024-10-21T00:00:00"/>
    <x v="3"/>
    <n v="304"/>
    <x v="1485"/>
    <n v="8229.18"/>
    <n v="8"/>
    <x v="0"/>
    <n v="11"/>
    <n v="49.959999999999127"/>
    <n v="2.6315789473684209E-2"/>
    <n v="6.0344431909593425E-3"/>
  </r>
  <r>
    <s v="PO-01493"/>
    <x v="2"/>
    <x v="2"/>
    <x v="621"/>
    <d v="2024-10-15T00:00:00"/>
    <x v="3"/>
    <n v="500"/>
    <x v="1486"/>
    <n v="108.91"/>
    <n v="4"/>
    <x v="1"/>
    <n v="4"/>
    <n v="0.99000000000000909"/>
    <n v="8.0000000000000002E-3"/>
    <n v="9.0081892629664158E-3"/>
  </r>
  <r>
    <s v="PO-01494"/>
    <x v="7"/>
    <x v="11"/>
    <x v="495"/>
    <d v="2023-03-09T00:00:00"/>
    <x v="0"/>
    <n v="454"/>
    <x v="1487"/>
    <n v="13598.73"/>
    <n v="6"/>
    <x v="0"/>
    <n v="15"/>
    <n v="323.06000000000131"/>
    <n v="1.3215859030837005E-2"/>
    <n v="2.3205349312121593E-2"/>
  </r>
  <r>
    <s v="PO-01495"/>
    <x v="4"/>
    <x v="9"/>
    <x v="401"/>
    <d v="2024-08-27T00:00:00"/>
    <x v="0"/>
    <n v="123"/>
    <x v="1488"/>
    <n v="5765.89"/>
    <n v="0"/>
    <x v="0"/>
    <n v="29"/>
    <n v="238.30999999999949"/>
    <n v="0"/>
    <n v="3.9690549948369389E-2"/>
  </r>
  <r>
    <s v="PO-01496"/>
    <x v="0"/>
    <x v="11"/>
    <x v="592"/>
    <d v="2023-07-17T00:00:00"/>
    <x v="0"/>
    <n v="51"/>
    <x v="1489"/>
    <n v="15466.6"/>
    <n v="0"/>
    <x v="0"/>
    <n v="13"/>
    <n v="301.15999999999985"/>
    <n v="0"/>
    <n v="1.9099732618964256E-2"/>
  </r>
  <r>
    <s v="PO-01497"/>
    <x v="1"/>
    <x v="1"/>
    <x v="640"/>
    <d v="2023-08-06T00:00:00"/>
    <x v="0"/>
    <n v="232"/>
    <x v="1490"/>
    <m/>
    <n v="3"/>
    <x v="1"/>
    <n v="13"/>
    <n v="4613.09"/>
    <n v="1.2931034482758621E-2"/>
    <n v="1"/>
  </r>
  <r>
    <s v="PO-01498"/>
    <x v="6"/>
    <x v="8"/>
    <x v="329"/>
    <d v="2023-11-13T00:00:00"/>
    <x v="0"/>
    <n v="106"/>
    <x v="1491"/>
    <n v="9147.1299999999992"/>
    <n v="1"/>
    <x v="0"/>
    <n v="9"/>
    <n v="581.68000000000029"/>
    <n v="9.433962264150943E-3"/>
    <n v="5.97894295396868E-2"/>
  </r>
  <r>
    <s v="PO-01499"/>
    <x v="4"/>
    <x v="0"/>
    <x v="641"/>
    <d v="2023-07-28T00:00:00"/>
    <x v="0"/>
    <n v="7"/>
    <x v="1492"/>
    <n v="4053.84"/>
    <n v="0"/>
    <x v="0"/>
    <n v="18"/>
    <n v="28.559999999999945"/>
    <n v="0"/>
    <n v="6.9958847736625376E-3"/>
  </r>
  <r>
    <s v="PO-01500"/>
    <x v="4"/>
    <x v="11"/>
    <x v="606"/>
    <d v="2024-08-02T00:00:00"/>
    <x v="0"/>
    <n v="281"/>
    <x v="1493"/>
    <n v="11967.41"/>
    <n v="0"/>
    <x v="0"/>
    <n v="3"/>
    <n v="628.47999999999956"/>
    <n v="0"/>
    <n v="4.9895640562119835E-2"/>
  </r>
  <r>
    <s v="PO-01501"/>
    <x v="6"/>
    <x v="11"/>
    <x v="577"/>
    <d v="2024-12-05T00:00:00"/>
    <x v="3"/>
    <n v="198"/>
    <x v="1494"/>
    <n v="14258.26"/>
    <n v="4"/>
    <x v="0"/>
    <n v="13"/>
    <n v="473.65999999999985"/>
    <n v="2.0202020202020204E-2"/>
    <n v="3.215195303802898E-2"/>
  </r>
  <r>
    <s v="PO-01502"/>
    <x v="0"/>
    <x v="10"/>
    <x v="499"/>
    <d v="2023-09-19T00:00:00"/>
    <x v="0"/>
    <n v="38"/>
    <x v="1495"/>
    <n v="49307.5"/>
    <n v="1"/>
    <x v="0"/>
    <n v="5"/>
    <n v="3034.1100000000006"/>
    <n v="2.6315789473684209E-2"/>
    <n v="5.7967456484429893E-2"/>
  </r>
  <r>
    <s v="PO-01503"/>
    <x v="0"/>
    <x v="5"/>
    <x v="449"/>
    <d v="2023-08-07T00:00:00"/>
    <x v="3"/>
    <n v="380"/>
    <x v="1496"/>
    <n v="872.85"/>
    <n v="11"/>
    <x v="0"/>
    <n v="17"/>
    <n v="16.590000000000032"/>
    <n v="2.8947368421052631E-2"/>
    <n v="1.8652185644900197E-2"/>
  </r>
  <r>
    <s v="PO-01504"/>
    <x v="1"/>
    <x v="6"/>
    <x v="137"/>
    <d v="2024-06-25T00:00:00"/>
    <x v="3"/>
    <n v="290"/>
    <x v="1497"/>
    <n v="495.99"/>
    <n v="4"/>
    <x v="0"/>
    <n v="26"/>
    <n v="1.2199999999999704"/>
    <n v="1.3793103448275862E-2"/>
    <n v="2.4536915991230476E-3"/>
  </r>
  <r>
    <s v="PO-01505"/>
    <x v="4"/>
    <x v="6"/>
    <x v="366"/>
    <d v="2023-02-21T00:00:00"/>
    <x v="0"/>
    <n v="334"/>
    <x v="1498"/>
    <n v="507.22"/>
    <n v="0"/>
    <x v="0"/>
    <n v="21"/>
    <n v="13.75"/>
    <n v="0"/>
    <n v="2.6393074457262414E-2"/>
  </r>
  <r>
    <s v="PO-01506"/>
    <x v="6"/>
    <x v="4"/>
    <x v="3"/>
    <d v="2024-07-28T00:00:00"/>
    <x v="0"/>
    <n v="78"/>
    <x v="1499"/>
    <n v="48764.53"/>
    <n v="0"/>
    <x v="0"/>
    <n v="8"/>
    <n v="1584.239999999998"/>
    <n v="0"/>
    <n v="3.1465316828991015E-2"/>
  </r>
  <r>
    <s v="PO-01507"/>
    <x v="3"/>
    <x v="5"/>
    <x v="258"/>
    <d v="2023-02-11T00:00:00"/>
    <x v="0"/>
    <n v="264"/>
    <x v="1500"/>
    <n v="890.43"/>
    <n v="3"/>
    <x v="0"/>
    <n v="9"/>
    <n v="19.600000000000023"/>
    <n v="1.1363636363636364E-2"/>
    <n v="2.1537751502697738E-2"/>
  </r>
  <r>
    <s v="PO-01508"/>
    <x v="3"/>
    <x v="11"/>
    <x v="473"/>
    <s v="Not Yet Delivered"/>
    <x v="1"/>
    <n v="178"/>
    <x v="1501"/>
    <n v="14104.39"/>
    <n v="2"/>
    <x v="0"/>
    <s v="Not Applicable"/>
    <n v="65.390000000001237"/>
    <n v="1.1235955056179775E-2"/>
    <n v="4.6147505465858494E-3"/>
  </r>
  <r>
    <s v="PO-01509"/>
    <x v="1"/>
    <x v="8"/>
    <x v="526"/>
    <d v="2024-01-21T00:00:00"/>
    <x v="0"/>
    <n v="371"/>
    <x v="1502"/>
    <n v="7523.26"/>
    <n v="5"/>
    <x v="0"/>
    <n v="22"/>
    <n v="356.42999999999938"/>
    <n v="1.3477088948787063E-2"/>
    <n v="4.5234013013202221E-2"/>
  </r>
  <r>
    <s v="PO-01510"/>
    <x v="3"/>
    <x v="9"/>
    <x v="443"/>
    <d v="2024-03-09T00:00:00"/>
    <x v="0"/>
    <n v="150"/>
    <x v="1503"/>
    <n v="6472.47"/>
    <n v="1"/>
    <x v="0"/>
    <n v="29"/>
    <n v="374.84999999999945"/>
    <n v="6.6666666666666671E-3"/>
    <n v="5.4744045845673849E-2"/>
  </r>
  <r>
    <s v="PO-01511"/>
    <x v="0"/>
    <x v="8"/>
    <x v="260"/>
    <d v="2024-03-12T00:00:00"/>
    <x v="0"/>
    <n v="232"/>
    <x v="1504"/>
    <n v="8669.7800000000007"/>
    <n v="7"/>
    <x v="0"/>
    <n v="3"/>
    <n v="10.869999999998981"/>
    <n v="3.017241379310345E-2"/>
    <n v="1.2522103759509923E-3"/>
  </r>
  <r>
    <s v="PO-01512"/>
    <x v="3"/>
    <x v="3"/>
    <x v="460"/>
    <d v="2024-01-11T00:00:00"/>
    <x v="0"/>
    <n v="258"/>
    <x v="1505"/>
    <n v="12453.33"/>
    <n v="1"/>
    <x v="0"/>
    <n v="28"/>
    <n v="605.52000000000044"/>
    <n v="3.875968992248062E-3"/>
    <n v="4.6368554658335184E-2"/>
  </r>
  <r>
    <s v="PO-01513"/>
    <x v="0"/>
    <x v="0"/>
    <x v="75"/>
    <d v="2023-12-14T00:00:00"/>
    <x v="0"/>
    <n v="24"/>
    <x v="1506"/>
    <n v="4008.18"/>
    <n v="0"/>
    <x v="1"/>
    <n v="14"/>
    <n v="227.09999999999991"/>
    <n v="0"/>
    <n v="5.3621012070040212E-2"/>
  </r>
  <r>
    <s v="PO-01514"/>
    <x v="7"/>
    <x v="3"/>
    <x v="432"/>
    <d v="2024-08-18T00:00:00"/>
    <x v="0"/>
    <n v="374"/>
    <x v="1507"/>
    <n v="11500.91"/>
    <n v="6"/>
    <x v="0"/>
    <n v="16"/>
    <n v="579.21000000000095"/>
    <n v="1.6042780748663103E-2"/>
    <n v="4.7947371383728052E-2"/>
  </r>
  <r>
    <s v="PO-01515"/>
    <x v="6"/>
    <x v="3"/>
    <x v="159"/>
    <d v="2023-03-22T00:00:00"/>
    <x v="0"/>
    <n v="373"/>
    <x v="1508"/>
    <n v="12679.81"/>
    <n v="5"/>
    <x v="0"/>
    <n v="4"/>
    <n v="371.47000000000116"/>
    <n v="1.3404825737265416E-2"/>
    <n v="2.8462342390937988E-2"/>
  </r>
  <r>
    <s v="PO-01516"/>
    <x v="3"/>
    <x v="5"/>
    <x v="289"/>
    <d v="2024-11-21T00:00:00"/>
    <x v="0"/>
    <n v="411"/>
    <x v="1509"/>
    <n v="867.27"/>
    <n v="7"/>
    <x v="0"/>
    <n v="11"/>
    <n v="18.340000000000032"/>
    <n v="1.7031630170316302E-2"/>
    <n v="2.0708889917683892E-2"/>
  </r>
  <r>
    <s v="PO-01517"/>
    <x v="3"/>
    <x v="5"/>
    <x v="642"/>
    <d v="2025-01-10T00:00:00"/>
    <x v="0"/>
    <n v="150"/>
    <x v="1510"/>
    <n v="902.27"/>
    <n v="1"/>
    <x v="0"/>
    <n v="22"/>
    <n v="4.0800000000000409"/>
    <n v="6.6666666666666671E-3"/>
    <n v="4.5015722403045633E-3"/>
  </r>
  <r>
    <s v="PO-01518"/>
    <x v="4"/>
    <x v="10"/>
    <x v="432"/>
    <d v="2024-08-14T00:00:00"/>
    <x v="0"/>
    <n v="458"/>
    <x v="1511"/>
    <n v="46458.52"/>
    <n v="7"/>
    <x v="0"/>
    <n v="12"/>
    <n v="539.70000000000437"/>
    <n v="1.5283842794759825E-2"/>
    <n v="1.1483413627154482E-2"/>
  </r>
  <r>
    <s v="PO-01519"/>
    <x v="6"/>
    <x v="7"/>
    <x v="503"/>
    <s v="Not Yet Delivered"/>
    <x v="2"/>
    <n v="254"/>
    <x v="1512"/>
    <n v="12908.35"/>
    <n v="2"/>
    <x v="0"/>
    <s v="Not Applicable"/>
    <n v="223.88999999999942"/>
    <n v="7.874015748031496E-3"/>
    <n v="1.7048881226660449E-2"/>
  </r>
  <r>
    <s v="PO-01520"/>
    <x v="7"/>
    <x v="2"/>
    <x v="501"/>
    <d v="2023-02-14T00:00:00"/>
    <x v="0"/>
    <n v="227"/>
    <x v="791"/>
    <n v="106.77"/>
    <n v="2"/>
    <x v="0"/>
    <n v="28"/>
    <n v="6.0799999999999983"/>
    <n v="8.8105726872246704E-3"/>
    <n v="5.3876827647319436E-2"/>
  </r>
  <r>
    <s v="PO-01521"/>
    <x v="5"/>
    <x v="11"/>
    <x v="519"/>
    <d v="2023-01-21T00:00:00"/>
    <x v="0"/>
    <n v="55"/>
    <x v="1513"/>
    <n v="13238.23"/>
    <n v="0"/>
    <x v="0"/>
    <n v="14"/>
    <n v="564.13000000000102"/>
    <n v="0"/>
    <n v="4.0871995803616265E-2"/>
  </r>
  <r>
    <s v="PO-01522"/>
    <x v="4"/>
    <x v="4"/>
    <x v="135"/>
    <d v="2024-10-18T00:00:00"/>
    <x v="0"/>
    <n v="207"/>
    <x v="1514"/>
    <n v="45171.35"/>
    <n v="4"/>
    <x v="0"/>
    <n v="26"/>
    <n v="755.44000000000233"/>
    <n v="1.932367149758454E-2"/>
    <n v="1.6448787298219674E-2"/>
  </r>
  <r>
    <s v="PO-01523"/>
    <x v="0"/>
    <x v="6"/>
    <x v="505"/>
    <d v="2024-12-27T00:00:00"/>
    <x v="0"/>
    <n v="42"/>
    <x v="1515"/>
    <n v="552.65"/>
    <n v="1"/>
    <x v="0"/>
    <n v="9"/>
    <n v="14.540000000000077"/>
    <n v="2.3809523809523808E-2"/>
    <n v="2.5635148715598081E-2"/>
  </r>
  <r>
    <s v="PO-01524"/>
    <x v="0"/>
    <x v="3"/>
    <x v="643"/>
    <d v="2023-02-17T00:00:00"/>
    <x v="0"/>
    <n v="146"/>
    <x v="1516"/>
    <n v="13712.81"/>
    <n v="2"/>
    <x v="0"/>
    <n v="10"/>
    <n v="134.96000000000095"/>
    <n v="1.3698630136986301E-2"/>
    <n v="9.7459735394219392E-3"/>
  </r>
  <r>
    <s v="PO-01525"/>
    <x v="6"/>
    <x v="5"/>
    <x v="113"/>
    <d v="2023-09-07T00:00:00"/>
    <x v="0"/>
    <n v="469"/>
    <x v="1517"/>
    <n v="907.34"/>
    <n v="1"/>
    <x v="0"/>
    <n v="24"/>
    <n v="46.600000000000023"/>
    <n v="2.1321961620469083E-3"/>
    <n v="4.8850032496802753E-2"/>
  </r>
  <r>
    <s v="PO-01526"/>
    <x v="1"/>
    <x v="0"/>
    <x v="436"/>
    <d v="2023-03-07T00:00:00"/>
    <x v="0"/>
    <n v="378"/>
    <x v="1518"/>
    <n v="3899.25"/>
    <n v="3"/>
    <x v="0"/>
    <n v="14"/>
    <n v="209.98999999999978"/>
    <n v="7.9365079365079361E-3"/>
    <n v="5.110190692196119E-2"/>
  </r>
  <r>
    <s v="PO-01527"/>
    <x v="4"/>
    <x v="8"/>
    <x v="130"/>
    <d v="2023-09-06T00:00:00"/>
    <x v="3"/>
    <n v="166"/>
    <x v="1519"/>
    <n v="7184.94"/>
    <n v="1"/>
    <x v="1"/>
    <n v="7"/>
    <n v="362.70000000000073"/>
    <n v="6.024096385542169E-3"/>
    <n v="4.805475618868954E-2"/>
  </r>
  <r>
    <s v="PO-01528"/>
    <x v="3"/>
    <x v="8"/>
    <x v="479"/>
    <d v="2025-01-07T00:00:00"/>
    <x v="0"/>
    <n v="160"/>
    <x v="1520"/>
    <n v="8182.84"/>
    <n v="0"/>
    <x v="0"/>
    <n v="25"/>
    <n v="370.73999999999978"/>
    <n v="0"/>
    <n v="4.3343255104880039E-2"/>
  </r>
  <r>
    <s v="PO-01529"/>
    <x v="3"/>
    <x v="4"/>
    <x v="520"/>
    <d v="2024-07-20T00:00:00"/>
    <x v="0"/>
    <n v="13"/>
    <x v="1521"/>
    <n v="45634.13"/>
    <n v="1"/>
    <x v="1"/>
    <n v="25"/>
    <n v="1607.1300000000047"/>
    <n v="7.6923076923076927E-2"/>
    <n v="3.4019626064165191E-2"/>
  </r>
  <r>
    <s v="PO-01530"/>
    <x v="7"/>
    <x v="9"/>
    <x v="186"/>
    <d v="2023-11-04T00:00:00"/>
    <x v="0"/>
    <n v="50"/>
    <x v="1522"/>
    <n v="6082.57"/>
    <n v="0"/>
    <x v="0"/>
    <n v="6"/>
    <n v="227.69000000000051"/>
    <n v="0"/>
    <n v="3.608250690145897E-2"/>
  </r>
  <r>
    <s v="PO-01531"/>
    <x v="6"/>
    <x v="7"/>
    <x v="644"/>
    <d v="2024-02-15T00:00:00"/>
    <x v="0"/>
    <n v="332"/>
    <x v="1523"/>
    <n v="13255.57"/>
    <n v="0"/>
    <x v="0"/>
    <n v="19"/>
    <n v="468.17000000000007"/>
    <n v="0"/>
    <n v="3.4113878578288431E-2"/>
  </r>
  <r>
    <s v="PO-01532"/>
    <x v="6"/>
    <x v="1"/>
    <x v="106"/>
    <d v="2024-01-16T00:00:00"/>
    <x v="0"/>
    <n v="269"/>
    <x v="1524"/>
    <n v="5548.28"/>
    <n v="1"/>
    <x v="0"/>
    <n v="9"/>
    <n v="234.02000000000044"/>
    <n v="3.7174721189591076E-3"/>
    <n v="4.0471784583989145E-2"/>
  </r>
  <r>
    <s v="PO-01533"/>
    <x v="7"/>
    <x v="7"/>
    <x v="284"/>
    <d v="2023-10-12T00:00:00"/>
    <x v="0"/>
    <n v="144"/>
    <x v="1525"/>
    <n v="12145.24"/>
    <n v="1"/>
    <x v="0"/>
    <n v="19"/>
    <n v="428.21000000000095"/>
    <n v="6.9444444444444441E-3"/>
    <n v="3.4056682931096947E-2"/>
  </r>
  <r>
    <s v="PO-01534"/>
    <x v="1"/>
    <x v="0"/>
    <x v="400"/>
    <d v="2024-09-07T00:00:00"/>
    <x v="0"/>
    <n v="310"/>
    <x v="1526"/>
    <n v="3898.24"/>
    <n v="2"/>
    <x v="0"/>
    <n v="30"/>
    <n v="140.21000000000004"/>
    <n v="6.4516129032258064E-3"/>
    <n v="3.4718765863140572E-2"/>
  </r>
  <r>
    <s v="PO-01535"/>
    <x v="4"/>
    <x v="5"/>
    <x v="238"/>
    <d v="2024-01-16T00:00:00"/>
    <x v="0"/>
    <n v="18"/>
    <x v="1527"/>
    <n v="799.96"/>
    <n v="0"/>
    <x v="0"/>
    <n v="16"/>
    <n v="49.860000000000014"/>
    <n v="0"/>
    <n v="5.8671248028994386E-2"/>
  </r>
  <r>
    <s v="PO-01536"/>
    <x v="3"/>
    <x v="0"/>
    <x v="381"/>
    <d v="2023-08-18T00:00:00"/>
    <x v="3"/>
    <n v="318"/>
    <x v="1528"/>
    <n v="4339.18"/>
    <n v="1"/>
    <x v="0"/>
    <n v="24"/>
    <n v="23.139999999999418"/>
    <n v="3.1446540880503146E-3"/>
    <n v="5.3045168625867473E-3"/>
  </r>
  <r>
    <s v="PO-01537"/>
    <x v="4"/>
    <x v="1"/>
    <x v="463"/>
    <d v="2024-09-04T00:00:00"/>
    <x v="0"/>
    <n v="117"/>
    <x v="1529"/>
    <n v="4861.8"/>
    <n v="0"/>
    <x v="0"/>
    <n v="15"/>
    <n v="114.72000000000025"/>
    <n v="0"/>
    <n v="2.3052253381881365E-2"/>
  </r>
  <r>
    <s v="PO-01538"/>
    <x v="7"/>
    <x v="6"/>
    <x v="181"/>
    <d v="2023-05-06T00:00:00"/>
    <x v="0"/>
    <n v="132"/>
    <x v="1530"/>
    <n v="530.91"/>
    <n v="0"/>
    <x v="0"/>
    <n v="2"/>
    <n v="29.759999999999991"/>
    <n v="0"/>
    <n v="5.3079351490181378E-2"/>
  </r>
  <r>
    <s v="PO-01539"/>
    <x v="5"/>
    <x v="4"/>
    <x v="117"/>
    <d v="2024-12-18T00:00:00"/>
    <x v="0"/>
    <n v="46"/>
    <x v="1531"/>
    <n v="45862.31"/>
    <n v="0"/>
    <x v="0"/>
    <n v="30"/>
    <n v="1210.4900000000052"/>
    <n v="0"/>
    <n v="2.5715275063306307E-2"/>
  </r>
  <r>
    <s v="PO-01540"/>
    <x v="3"/>
    <x v="3"/>
    <x v="611"/>
    <s v="Not Yet Delivered"/>
    <x v="2"/>
    <n v="83"/>
    <x v="1532"/>
    <n v="12752.61"/>
    <n v="2"/>
    <x v="0"/>
    <s v="Not Applicable"/>
    <n v="272.03999999999905"/>
    <n v="2.4096385542168676E-2"/>
    <n v="2.0886549734541741E-2"/>
  </r>
  <r>
    <s v="PO-01541"/>
    <x v="7"/>
    <x v="8"/>
    <x v="595"/>
    <d v="2023-11-14T00:00:00"/>
    <x v="0"/>
    <n v="116"/>
    <x v="1533"/>
    <n v="7923.54"/>
    <n v="0"/>
    <x v="0"/>
    <n v="6"/>
    <n v="299.60999999999967"/>
    <n v="0"/>
    <n v="3.6434942813885152E-2"/>
  </r>
  <r>
    <s v="PO-01542"/>
    <x v="3"/>
    <x v="2"/>
    <x v="645"/>
    <d v="2024-01-13T00:00:00"/>
    <x v="0"/>
    <n v="199"/>
    <x v="1534"/>
    <n v="118"/>
    <n v="4"/>
    <x v="0"/>
    <n v="18"/>
    <n v="5.2099999999999937"/>
    <n v="2.0100502512562814E-2"/>
    <n v="4.2285528772015211E-2"/>
  </r>
  <r>
    <s v="PO-01543"/>
    <x v="7"/>
    <x v="7"/>
    <x v="329"/>
    <d v="2023-11-25T00:00:00"/>
    <x v="0"/>
    <n v="341"/>
    <x v="1535"/>
    <n v="11011.22"/>
    <n v="6"/>
    <x v="0"/>
    <n v="21"/>
    <n v="184.98000000000138"/>
    <n v="1.7595307917888565E-2"/>
    <n v="1.6521676997552862E-2"/>
  </r>
  <r>
    <s v="PO-01544"/>
    <x v="7"/>
    <x v="8"/>
    <x v="373"/>
    <d v="2024-03-18T00:00:00"/>
    <x v="0"/>
    <n v="32"/>
    <x v="1536"/>
    <n v="8281.2800000000007"/>
    <n v="0"/>
    <x v="0"/>
    <n v="14"/>
    <n v="510.53999999999905"/>
    <n v="0"/>
    <n v="5.8069887691058177E-2"/>
  </r>
  <r>
    <s v="PO-01545"/>
    <x v="7"/>
    <x v="0"/>
    <x v="586"/>
    <d v="2024-04-04T00:00:00"/>
    <x v="0"/>
    <n v="40"/>
    <x v="1537"/>
    <n v="4186.04"/>
    <n v="1"/>
    <x v="1"/>
    <n v="18"/>
    <n v="114.60000000000036"/>
    <n v="2.5000000000000001E-2"/>
    <n v="2.6647196696305747E-2"/>
  </r>
  <r>
    <s v="PO-01546"/>
    <x v="7"/>
    <x v="7"/>
    <x v="197"/>
    <d v="2023-11-12T00:00:00"/>
    <x v="0"/>
    <n v="68"/>
    <x v="1538"/>
    <n v="11678.19"/>
    <n v="0"/>
    <x v="0"/>
    <n v="11"/>
    <n v="244.42000000000007"/>
    <n v="0"/>
    <n v="2.0500544763269121E-2"/>
  </r>
  <r>
    <s v="PO-01547"/>
    <x v="1"/>
    <x v="8"/>
    <x v="496"/>
    <d v="2023-09-09T00:00:00"/>
    <x v="0"/>
    <n v="454"/>
    <x v="1539"/>
    <n v="7267.58"/>
    <n v="10"/>
    <x v="0"/>
    <n v="7"/>
    <n v="304.22000000000025"/>
    <n v="2.2026431718061675E-2"/>
    <n v="4.017802900235086E-2"/>
  </r>
  <r>
    <s v="PO-01548"/>
    <x v="3"/>
    <x v="10"/>
    <x v="244"/>
    <d v="2023-11-07T00:00:00"/>
    <x v="0"/>
    <n v="429"/>
    <x v="1540"/>
    <n v="49868.03"/>
    <n v="6"/>
    <x v="0"/>
    <n v="16"/>
    <n v="35.730000000003201"/>
    <n v="1.3986013986013986E-2"/>
    <n v="7.1597811467519082E-4"/>
  </r>
  <r>
    <s v="PO-01549"/>
    <x v="6"/>
    <x v="4"/>
    <x v="646"/>
    <d v="2024-01-01T00:00:00"/>
    <x v="0"/>
    <n v="43"/>
    <x v="1541"/>
    <n v="52197.85"/>
    <n v="0"/>
    <x v="0"/>
    <n v="29"/>
    <n v="2102.9199999999983"/>
    <n v="0"/>
    <n v="3.8727259300374531E-2"/>
  </r>
  <r>
    <s v="PO-01550"/>
    <x v="7"/>
    <x v="11"/>
    <x v="60"/>
    <d v="2023-09-16T00:00:00"/>
    <x v="3"/>
    <n v="249"/>
    <x v="1542"/>
    <n v="14117.22"/>
    <n v="3"/>
    <x v="0"/>
    <n v="10"/>
    <n v="256.82000000000153"/>
    <n v="1.2048192771084338E-2"/>
    <n v="1.7866932330785325E-2"/>
  </r>
  <r>
    <s v="PO-01551"/>
    <x v="1"/>
    <x v="5"/>
    <x v="154"/>
    <d v="2024-06-08T00:00:00"/>
    <x v="0"/>
    <n v="377"/>
    <x v="1543"/>
    <n v="828.57"/>
    <n v="1"/>
    <x v="1"/>
    <n v="27"/>
    <n v="44.92999999999995"/>
    <n v="2.6525198938992041E-3"/>
    <n v="5.143674871207779E-2"/>
  </r>
  <r>
    <s v="PO-01552"/>
    <x v="7"/>
    <x v="1"/>
    <x v="88"/>
    <d v="2024-04-22T00:00:00"/>
    <x v="3"/>
    <n v="410"/>
    <x v="1544"/>
    <n v="4781.82"/>
    <n v="6"/>
    <x v="0"/>
    <n v="9"/>
    <n v="182.27000000000044"/>
    <n v="1.4634146341463415E-2"/>
    <n v="3.6717706568575599E-2"/>
  </r>
  <r>
    <s v="PO-01553"/>
    <x v="7"/>
    <x v="8"/>
    <x v="13"/>
    <d v="2023-10-18T00:00:00"/>
    <x v="0"/>
    <n v="202"/>
    <x v="1545"/>
    <n v="7803.57"/>
    <n v="4"/>
    <x v="0"/>
    <n v="8"/>
    <n v="114.67000000000007"/>
    <n v="1.9801980198019802E-2"/>
    <n v="1.4481753520984471E-2"/>
  </r>
  <r>
    <s v="PO-01554"/>
    <x v="0"/>
    <x v="0"/>
    <x v="344"/>
    <d v="2024-03-06T00:00:00"/>
    <x v="0"/>
    <n v="495"/>
    <x v="1546"/>
    <n v="4089.16"/>
    <n v="6"/>
    <x v="0"/>
    <n v="8"/>
    <n v="147.25"/>
    <n v="1.2121212121212121E-2"/>
    <n v="3.4758203290049833E-2"/>
  </r>
  <r>
    <s v="PO-01555"/>
    <x v="1"/>
    <x v="1"/>
    <x v="573"/>
    <d v="2024-07-22T00:00:00"/>
    <x v="0"/>
    <n v="329"/>
    <x v="1547"/>
    <n v="4558.7"/>
    <n v="4"/>
    <x v="0"/>
    <n v="22"/>
    <n v="73.970000000000255"/>
    <n v="1.2158054711246201E-2"/>
    <n v="1.5967034129346629E-2"/>
  </r>
  <r>
    <s v="PO-01556"/>
    <x v="3"/>
    <x v="9"/>
    <x v="124"/>
    <d v="2024-09-21T00:00:00"/>
    <x v="0"/>
    <n v="178"/>
    <x v="1548"/>
    <n v="6602.53"/>
    <n v="0"/>
    <x v="0"/>
    <n v="26"/>
    <n v="0.13000000000010914"/>
    <n v="0"/>
    <n v="1.9689034419477777E-5"/>
  </r>
  <r>
    <s v="PO-01557"/>
    <x v="3"/>
    <x v="5"/>
    <x v="558"/>
    <s v="Not Yet Delivered"/>
    <x v="1"/>
    <n v="326"/>
    <x v="1549"/>
    <n v="940.64"/>
    <n v="2"/>
    <x v="0"/>
    <s v="Not Applicable"/>
    <n v="17.550000000000068"/>
    <n v="6.1349693251533744E-3"/>
    <n v="1.8315782882309423E-2"/>
  </r>
  <r>
    <s v="PO-01558"/>
    <x v="5"/>
    <x v="3"/>
    <x v="14"/>
    <d v="2024-12-07T00:00:00"/>
    <x v="0"/>
    <n v="482"/>
    <x v="1550"/>
    <n v="12307.99"/>
    <n v="9"/>
    <x v="0"/>
    <n v="23"/>
    <n v="238.80999999999949"/>
    <n v="1.8672199170124481E-2"/>
    <n v="1.9033538432110138E-2"/>
  </r>
  <r>
    <s v="PO-01559"/>
    <x v="7"/>
    <x v="9"/>
    <x v="619"/>
    <d v="2024-06-09T00:00:00"/>
    <x v="0"/>
    <n v="397"/>
    <x v="1551"/>
    <n v="5857.9"/>
    <n v="4"/>
    <x v="0"/>
    <n v="7"/>
    <n v="217.1200000000008"/>
    <n v="1.0075566750629723E-2"/>
    <n v="3.5739800033580266E-2"/>
  </r>
  <r>
    <s v="PO-01560"/>
    <x v="2"/>
    <x v="0"/>
    <x v="110"/>
    <s v="Not Yet Delivered"/>
    <x v="2"/>
    <n v="164"/>
    <x v="1552"/>
    <n v="3832.46"/>
    <n v="2"/>
    <x v="0"/>
    <s v="Not Applicable"/>
    <n v="16.170000000000073"/>
    <n v="1.2195121951219513E-2"/>
    <n v="4.2014950774691443E-3"/>
  </r>
  <r>
    <s v="PO-01561"/>
    <x v="0"/>
    <x v="0"/>
    <x v="328"/>
    <d v="2025-01-13T00:00:00"/>
    <x v="0"/>
    <n v="40"/>
    <x v="1553"/>
    <n v="4575.5200000000004"/>
    <n v="0"/>
    <x v="1"/>
    <n v="22"/>
    <n v="70.359999999999673"/>
    <n v="0"/>
    <n v="1.5144601238086147E-2"/>
  </r>
  <r>
    <s v="PO-01562"/>
    <x v="3"/>
    <x v="9"/>
    <x v="593"/>
    <d v="2023-02-08T00:00:00"/>
    <x v="0"/>
    <n v="68"/>
    <x v="1554"/>
    <n v="6243.11"/>
    <n v="1"/>
    <x v="0"/>
    <n v="11"/>
    <n v="20.220000000000255"/>
    <n v="1.4705882352941176E-2"/>
    <n v="3.2283146505134256E-3"/>
  </r>
  <r>
    <s v="PO-01563"/>
    <x v="0"/>
    <x v="8"/>
    <x v="16"/>
    <d v="2024-02-21T00:00:00"/>
    <x v="0"/>
    <n v="68"/>
    <x v="1555"/>
    <n v="8482.3799999999992"/>
    <n v="1"/>
    <x v="1"/>
    <n v="14"/>
    <n v="493.75"/>
    <n v="1.4705882352941176E-2"/>
    <n v="5.5007001903938563E-2"/>
  </r>
  <r>
    <s v="PO-01564"/>
    <x v="2"/>
    <x v="6"/>
    <x v="77"/>
    <d v="2024-02-25T00:00:00"/>
    <x v="0"/>
    <n v="111"/>
    <x v="1556"/>
    <n v="541.55999999999995"/>
    <n v="0"/>
    <x v="0"/>
    <n v="19"/>
    <n v="5.4400000000000546"/>
    <n v="0"/>
    <n v="9.9451553930531168E-3"/>
  </r>
  <r>
    <s v="PO-01565"/>
    <x v="4"/>
    <x v="9"/>
    <x v="167"/>
    <d v="2023-07-14T00:00:00"/>
    <x v="0"/>
    <n v="425"/>
    <x v="1557"/>
    <n v="5695.03"/>
    <n v="3"/>
    <x v="0"/>
    <n v="15"/>
    <n v="20.380000000000109"/>
    <n v="7.058823529411765E-3"/>
    <n v="3.5657984291590822E-3"/>
  </r>
  <r>
    <s v="PO-01566"/>
    <x v="2"/>
    <x v="11"/>
    <x v="13"/>
    <d v="2023-10-30T00:00:00"/>
    <x v="0"/>
    <n v="315"/>
    <x v="1558"/>
    <n v="13000.38"/>
    <n v="1"/>
    <x v="0"/>
    <n v="20"/>
    <n v="321.1200000000008"/>
    <n v="3.1746031746031746E-3"/>
    <n v="2.4105393536763938E-2"/>
  </r>
  <r>
    <s v="PO-01567"/>
    <x v="7"/>
    <x v="11"/>
    <x v="236"/>
    <d v="2024-11-15T00:00:00"/>
    <x v="0"/>
    <n v="368"/>
    <x v="1559"/>
    <n v="13704.63"/>
    <n v="5"/>
    <x v="0"/>
    <n v="19"/>
    <n v="486.13000000000102"/>
    <n v="1.358695652173913E-2"/>
    <n v="3.4256798085514871E-2"/>
  </r>
  <r>
    <s v="PO-01568"/>
    <x v="6"/>
    <x v="3"/>
    <x v="647"/>
    <d v="2024-07-29T00:00:00"/>
    <x v="0"/>
    <n v="79"/>
    <x v="1560"/>
    <n v="13464.64"/>
    <n v="3"/>
    <x v="0"/>
    <n v="13"/>
    <n v="284.13000000000102"/>
    <n v="3.7974683544303799E-2"/>
    <n v="2.066584865409786E-2"/>
  </r>
  <r>
    <s v="PO-01569"/>
    <x v="7"/>
    <x v="1"/>
    <x v="434"/>
    <d v="2024-05-28T00:00:00"/>
    <x v="0"/>
    <n v="114"/>
    <x v="1561"/>
    <n v="4895.8100000000004"/>
    <n v="2"/>
    <x v="0"/>
    <n v="19"/>
    <n v="69.5"/>
    <n v="1.7543859649122806E-2"/>
    <n v="1.3997111962797891E-2"/>
  </r>
  <r>
    <s v="PO-01570"/>
    <x v="6"/>
    <x v="7"/>
    <x v="369"/>
    <d v="2023-07-15T00:00:00"/>
    <x v="0"/>
    <n v="327"/>
    <x v="1562"/>
    <n v="12777.37"/>
    <n v="1"/>
    <x v="0"/>
    <n v="24"/>
    <n v="61.329999999999927"/>
    <n v="3.0581039755351682E-3"/>
    <n v="4.7769633997211498E-3"/>
  </r>
  <r>
    <s v="PO-01571"/>
    <x v="3"/>
    <x v="7"/>
    <x v="647"/>
    <s v="Not Yet Delivered"/>
    <x v="2"/>
    <n v="353"/>
    <x v="1563"/>
    <n v="11213.26"/>
    <n v="2"/>
    <x v="0"/>
    <s v="Not Applicable"/>
    <n v="566.55999999999949"/>
    <n v="5.6657223796033997E-3"/>
    <n v="4.809581131120845E-2"/>
  </r>
  <r>
    <s v="PO-01572"/>
    <x v="6"/>
    <x v="10"/>
    <x v="139"/>
    <d v="2023-08-29T00:00:00"/>
    <x v="0"/>
    <n v="291"/>
    <x v="1564"/>
    <n v="54133.58"/>
    <n v="6"/>
    <x v="0"/>
    <n v="4"/>
    <n v="2562.0199999999968"/>
    <n v="2.0618556701030927E-2"/>
    <n v="4.5189044652495021E-2"/>
  </r>
  <r>
    <s v="PO-01573"/>
    <x v="0"/>
    <x v="6"/>
    <x v="648"/>
    <d v="2024-05-08T00:00:00"/>
    <x v="0"/>
    <n v="257"/>
    <x v="1565"/>
    <n v="562.84"/>
    <n v="0"/>
    <x v="0"/>
    <n v="18"/>
    <n v="31.759999999999991"/>
    <n v="0"/>
    <n v="5.3414059872182965E-2"/>
  </r>
  <r>
    <s v="PO-01574"/>
    <x v="5"/>
    <x v="8"/>
    <x v="43"/>
    <d v="2024-09-30T00:00:00"/>
    <x v="0"/>
    <n v="218"/>
    <x v="1566"/>
    <n v="8768.99"/>
    <n v="1"/>
    <x v="0"/>
    <n v="27"/>
    <n v="112.19000000000051"/>
    <n v="4.5871559633027525E-3"/>
    <n v="1.263233038852951E-2"/>
  </r>
  <r>
    <s v="PO-01575"/>
    <x v="1"/>
    <x v="9"/>
    <x v="649"/>
    <s v="Not Yet Delivered"/>
    <x v="2"/>
    <n v="25"/>
    <x v="1567"/>
    <n v="6392.21"/>
    <n v="2"/>
    <x v="0"/>
    <s v="Not Applicable"/>
    <n v="37.519999999999527"/>
    <n v="0.08"/>
    <n v="5.8353927769905622E-3"/>
  </r>
  <r>
    <s v="PO-01576"/>
    <x v="1"/>
    <x v="8"/>
    <x v="578"/>
    <d v="2025-01-15T00:00:00"/>
    <x v="0"/>
    <n v="97"/>
    <x v="1568"/>
    <n v="7931.66"/>
    <n v="1"/>
    <x v="0"/>
    <n v="16"/>
    <n v="238.86999999999989"/>
    <n v="1.0309278350515464E-2"/>
    <n v="2.9235557546450464E-2"/>
  </r>
  <r>
    <s v="PO-01577"/>
    <x v="0"/>
    <x v="4"/>
    <x v="38"/>
    <d v="2023-12-31T00:00:00"/>
    <x v="0"/>
    <n v="23"/>
    <x v="1569"/>
    <n v="49554.87"/>
    <n v="0"/>
    <x v="0"/>
    <n v="29"/>
    <n v="964.52999999999884"/>
    <n v="0"/>
    <n v="1.9092269504388391E-2"/>
  </r>
  <r>
    <s v="PO-01578"/>
    <x v="0"/>
    <x v="1"/>
    <x v="46"/>
    <s v="Not Yet Delivered"/>
    <x v="2"/>
    <n v="448"/>
    <x v="1570"/>
    <n v="5132.47"/>
    <n v="2"/>
    <x v="0"/>
    <s v="Not Applicable"/>
    <n v="258.17000000000007"/>
    <n v="4.464285714285714E-3"/>
    <n v="4.7892272531647462E-2"/>
  </r>
  <r>
    <s v="PO-01579"/>
    <x v="7"/>
    <x v="11"/>
    <x v="110"/>
    <d v="2023-12-03T00:00:00"/>
    <x v="0"/>
    <n v="210"/>
    <x v="1571"/>
    <n v="13456.15"/>
    <n v="3"/>
    <x v="0"/>
    <n v="13"/>
    <n v="400.29000000000087"/>
    <n v="1.4285714285714285E-2"/>
    <n v="2.8888372482398138E-2"/>
  </r>
  <r>
    <s v="PO-01580"/>
    <x v="6"/>
    <x v="0"/>
    <x v="202"/>
    <d v="2024-11-02T00:00:00"/>
    <x v="0"/>
    <n v="263"/>
    <x v="1572"/>
    <n v="4710.18"/>
    <n v="4"/>
    <x v="0"/>
    <n v="23"/>
    <n v="57.729999999999563"/>
    <n v="1.5209125475285171E-2"/>
    <n v="1.2108030562657341E-2"/>
  </r>
  <r>
    <s v="PO-01581"/>
    <x v="3"/>
    <x v="8"/>
    <x v="414"/>
    <d v="2023-04-05T00:00:00"/>
    <x v="3"/>
    <n v="388"/>
    <x v="1573"/>
    <n v="7974.88"/>
    <n v="2"/>
    <x v="1"/>
    <n v="14"/>
    <n v="229.26999999999953"/>
    <n v="5.1546391752577319E-3"/>
    <n v="2.7945612891036798E-2"/>
  </r>
  <r>
    <s v="PO-01582"/>
    <x v="3"/>
    <x v="1"/>
    <x v="617"/>
    <d v="2024-04-23T00:00:00"/>
    <x v="0"/>
    <n v="61"/>
    <x v="1574"/>
    <n v="5069.95"/>
    <n v="0"/>
    <x v="1"/>
    <n v="16"/>
    <n v="201.28999999999996"/>
    <n v="0"/>
    <n v="3.8186460870686965E-2"/>
  </r>
  <r>
    <s v="PO-01583"/>
    <x v="7"/>
    <x v="10"/>
    <x v="140"/>
    <d v="2023-11-18T00:00:00"/>
    <x v="3"/>
    <n v="339"/>
    <x v="1575"/>
    <n v="50109.39"/>
    <n v="3"/>
    <x v="0"/>
    <n v="29"/>
    <n v="2951.2900000000009"/>
    <n v="8.8495575221238937E-3"/>
    <n v="5.5621036142017043E-2"/>
  </r>
  <r>
    <s v="PO-01584"/>
    <x v="4"/>
    <x v="0"/>
    <x v="149"/>
    <s v="Not Yet Delivered"/>
    <x v="2"/>
    <n v="435"/>
    <x v="1576"/>
    <n v="3860.58"/>
    <n v="2"/>
    <x v="0"/>
    <s v="Not Applicable"/>
    <n v="140.94000000000005"/>
    <n v="4.5977011494252873E-3"/>
    <n v="3.5221615786001331E-2"/>
  </r>
  <r>
    <s v="PO-01585"/>
    <x v="2"/>
    <x v="9"/>
    <x v="579"/>
    <d v="2023-03-21T00:00:00"/>
    <x v="0"/>
    <n v="362"/>
    <x v="1577"/>
    <n v="5814.97"/>
    <n v="1"/>
    <x v="0"/>
    <n v="21"/>
    <n v="288.00999999999931"/>
    <n v="2.7624309392265192E-3"/>
    <n v="4.7191699792560243E-2"/>
  </r>
  <r>
    <s v="PO-01586"/>
    <x v="0"/>
    <x v="11"/>
    <x v="253"/>
    <d v="2023-04-27T00:00:00"/>
    <x v="3"/>
    <n v="217"/>
    <x v="1578"/>
    <n v="16045.56"/>
    <n v="1"/>
    <x v="0"/>
    <n v="17"/>
    <n v="9.180000000000291"/>
    <n v="4.608294930875576E-3"/>
    <n v="5.7179375063067298E-4"/>
  </r>
  <r>
    <s v="PO-01587"/>
    <x v="4"/>
    <x v="3"/>
    <x v="422"/>
    <d v="2023-06-17T00:00:00"/>
    <x v="0"/>
    <n v="85"/>
    <x v="1579"/>
    <n v="11232.35"/>
    <n v="0"/>
    <x v="0"/>
    <n v="5"/>
    <n v="576.77999999999884"/>
    <n v="0"/>
    <n v="4.8841870654315674E-2"/>
  </r>
  <r>
    <s v="PO-01588"/>
    <x v="7"/>
    <x v="0"/>
    <x v="605"/>
    <d v="2024-05-01T00:00:00"/>
    <x v="0"/>
    <n v="425"/>
    <x v="1580"/>
    <n v="4232.13"/>
    <n v="10"/>
    <x v="0"/>
    <n v="8"/>
    <n v="15.710000000000036"/>
    <n v="2.3529411764705882E-2"/>
    <n v="3.6983502203472907E-3"/>
  </r>
  <r>
    <s v="PO-01589"/>
    <x v="3"/>
    <x v="7"/>
    <x v="615"/>
    <d v="2023-04-20T00:00:00"/>
    <x v="0"/>
    <n v="372"/>
    <x v="1581"/>
    <n v="12321.72"/>
    <n v="3"/>
    <x v="0"/>
    <n v="12"/>
    <n v="177.36000000000058"/>
    <n v="8.0645161290322578E-3"/>
    <n v="1.4189844372545866E-2"/>
  </r>
  <r>
    <s v="PO-01590"/>
    <x v="6"/>
    <x v="8"/>
    <x v="390"/>
    <d v="2023-05-23T00:00:00"/>
    <x v="0"/>
    <n v="165"/>
    <x v="1582"/>
    <n v="8640.92"/>
    <n v="2"/>
    <x v="0"/>
    <n v="18"/>
    <n v="518.89999999999964"/>
    <n v="1.2121212121212121E-2"/>
    <n v="5.6649584817168856E-2"/>
  </r>
  <r>
    <s v="PO-01591"/>
    <x v="0"/>
    <x v="6"/>
    <x v="650"/>
    <d v="2023-05-26T00:00:00"/>
    <x v="0"/>
    <n v="497"/>
    <x v="1583"/>
    <n v="575.74"/>
    <n v="2"/>
    <x v="0"/>
    <n v="11"/>
    <n v="6.4900000000000091"/>
    <n v="4.0241448692152921E-3"/>
    <n v="1.1146797657283219E-2"/>
  </r>
  <r>
    <s v="PO-01592"/>
    <x v="5"/>
    <x v="1"/>
    <x v="631"/>
    <d v="2023-08-07T00:00:00"/>
    <x v="0"/>
    <n v="439"/>
    <x v="1584"/>
    <n v="4995.1899999999996"/>
    <n v="2"/>
    <x v="0"/>
    <n v="7"/>
    <n v="22.230000000000473"/>
    <n v="4.5558086560364463E-3"/>
    <n v="4.4305639153191228E-3"/>
  </r>
  <r>
    <s v="PO-01593"/>
    <x v="2"/>
    <x v="10"/>
    <x v="212"/>
    <d v="2023-04-17T00:00:00"/>
    <x v="0"/>
    <n v="489"/>
    <x v="1585"/>
    <n v="51726.23"/>
    <n v="3"/>
    <x v="0"/>
    <n v="18"/>
    <n v="766.58999999999651"/>
    <n v="6.1349693251533744E-3"/>
    <n v="1.4603711517117894E-2"/>
  </r>
  <r>
    <s v="PO-01594"/>
    <x v="7"/>
    <x v="2"/>
    <x v="40"/>
    <d v="2024-09-20T00:00:00"/>
    <x v="0"/>
    <n v="256"/>
    <x v="1586"/>
    <n v="119.3"/>
    <n v="0"/>
    <x v="0"/>
    <n v="3"/>
    <n v="0.65999999999999659"/>
    <n v="0"/>
    <n v="5.501833944648188E-3"/>
  </r>
  <r>
    <s v="PO-01595"/>
    <x v="4"/>
    <x v="2"/>
    <x v="616"/>
    <d v="2024-02-14T00:00:00"/>
    <x v="0"/>
    <n v="254"/>
    <x v="1587"/>
    <n v="110.72"/>
    <n v="2"/>
    <x v="0"/>
    <n v="17"/>
    <n v="4.8400000000000034"/>
    <n v="7.874015748031496E-3"/>
    <n v="4.1883004499826959E-2"/>
  </r>
  <r>
    <s v="PO-01596"/>
    <x v="4"/>
    <x v="3"/>
    <x v="394"/>
    <d v="2024-09-13T00:00:00"/>
    <x v="0"/>
    <n v="404"/>
    <x v="1588"/>
    <n v="11117.42"/>
    <n v="3"/>
    <x v="0"/>
    <n v="5"/>
    <n v="123.11000000000058"/>
    <n v="7.4257425742574254E-3"/>
    <n v="1.0952330539574253E-2"/>
  </r>
  <r>
    <s v="PO-01597"/>
    <x v="0"/>
    <x v="9"/>
    <x v="46"/>
    <d v="2023-02-23T00:00:00"/>
    <x v="0"/>
    <n v="148"/>
    <x v="1589"/>
    <n v="6578.58"/>
    <n v="0"/>
    <x v="0"/>
    <n v="25"/>
    <n v="162.19000000000051"/>
    <n v="0"/>
    <n v="2.4061049405335072E-2"/>
  </r>
  <r>
    <s v="PO-01598"/>
    <x v="4"/>
    <x v="5"/>
    <x v="71"/>
    <d v="2024-07-11T00:00:00"/>
    <x v="0"/>
    <n v="165"/>
    <x v="1590"/>
    <n v="807.74"/>
    <n v="5"/>
    <x v="0"/>
    <n v="15"/>
    <n v="21.939999999999941"/>
    <n v="3.0303030303030304E-2"/>
    <n v="2.6443930189952683E-2"/>
  </r>
  <r>
    <s v="PO-01599"/>
    <x v="5"/>
    <x v="3"/>
    <x v="290"/>
    <d v="2023-05-19T00:00:00"/>
    <x v="0"/>
    <n v="7"/>
    <x v="1591"/>
    <n v="11592.61"/>
    <n v="0"/>
    <x v="0"/>
    <n v="18"/>
    <n v="349.59000000000015"/>
    <n v="0"/>
    <n v="2.9273500695014328E-2"/>
  </r>
  <r>
    <s v="PO-01600"/>
    <x v="7"/>
    <x v="1"/>
    <x v="249"/>
    <d v="2024-09-21T00:00:00"/>
    <x v="0"/>
    <n v="52"/>
    <x v="1592"/>
    <n v="5322.01"/>
    <n v="0"/>
    <x v="0"/>
    <n v="6"/>
    <n v="25.050000000000182"/>
    <n v="0"/>
    <n v="4.6848174510853028E-3"/>
  </r>
  <r>
    <s v="PO-01601"/>
    <x v="0"/>
    <x v="10"/>
    <x v="99"/>
    <d v="2023-07-07T00:00:00"/>
    <x v="0"/>
    <n v="487"/>
    <x v="1593"/>
    <n v="53057.9"/>
    <n v="2"/>
    <x v="0"/>
    <n v="20"/>
    <n v="1604.4300000000003"/>
    <n v="4.1067761806981521E-3"/>
    <n v="2.9351657713822303E-2"/>
  </r>
  <r>
    <s v="PO-01602"/>
    <x v="5"/>
    <x v="0"/>
    <x v="189"/>
    <d v="2023-09-06T00:00:00"/>
    <x v="0"/>
    <n v="265"/>
    <x v="1594"/>
    <n v="3932.38"/>
    <n v="3"/>
    <x v="0"/>
    <n v="28"/>
    <n v="22.809999999999945"/>
    <n v="1.1320754716981131E-2"/>
    <n v="5.767106005021237E-3"/>
  </r>
  <r>
    <s v="PO-01603"/>
    <x v="7"/>
    <x v="7"/>
    <x v="651"/>
    <s v="Not Yet Delivered"/>
    <x v="1"/>
    <n v="56"/>
    <x v="1595"/>
    <n v="11435.79"/>
    <n v="2"/>
    <x v="0"/>
    <s v="Not Applicable"/>
    <n v="467.08999999999833"/>
    <n v="3.5714285714285712E-2"/>
    <n v="3.9241763337948328E-2"/>
  </r>
  <r>
    <s v="PO-01604"/>
    <x v="4"/>
    <x v="2"/>
    <x v="227"/>
    <d v="2024-11-21T00:00:00"/>
    <x v="0"/>
    <n v="419"/>
    <x v="1596"/>
    <n v="100.44"/>
    <n v="1"/>
    <x v="0"/>
    <n v="23"/>
    <n v="4.710000000000008"/>
    <n v="2.3866348448687352E-3"/>
    <n v="4.4793152639087092E-2"/>
  </r>
  <r>
    <s v="PO-01605"/>
    <x v="7"/>
    <x v="8"/>
    <x v="232"/>
    <d v="2024-01-07T00:00:00"/>
    <x v="3"/>
    <n v="450"/>
    <x v="1597"/>
    <n v="8171.18"/>
    <n v="0"/>
    <x v="0"/>
    <n v="3"/>
    <n v="33.959999999999127"/>
    <n v="0"/>
    <n v="4.1388690503756341E-3"/>
  </r>
  <r>
    <s v="PO-01606"/>
    <x v="6"/>
    <x v="4"/>
    <x v="162"/>
    <d v="2024-04-02T00:00:00"/>
    <x v="0"/>
    <n v="225"/>
    <x v="1598"/>
    <n v="52560.06"/>
    <n v="2"/>
    <x v="0"/>
    <n v="30"/>
    <n v="1230.9599999999991"/>
    <n v="8.8888888888888889E-3"/>
    <n v="2.2884117088688767E-2"/>
  </r>
  <r>
    <s v="PO-01607"/>
    <x v="5"/>
    <x v="3"/>
    <x v="626"/>
    <d v="2023-03-27T00:00:00"/>
    <x v="0"/>
    <n v="194"/>
    <x v="1599"/>
    <n v="12015.95"/>
    <n v="3"/>
    <x v="0"/>
    <n v="21"/>
    <n v="607.34999999999854"/>
    <n v="1.5463917525773196E-2"/>
    <n v="4.8113409330365162E-2"/>
  </r>
  <r>
    <s v="PO-01608"/>
    <x v="7"/>
    <x v="6"/>
    <x v="495"/>
    <d v="2023-02-25T00:00:00"/>
    <x v="0"/>
    <n v="116"/>
    <x v="1600"/>
    <n v="497.48"/>
    <n v="0"/>
    <x v="0"/>
    <n v="3"/>
    <n v="28.269999999999982"/>
    <n v="0"/>
    <n v="5.3770803613884893E-2"/>
  </r>
  <r>
    <s v="PO-01609"/>
    <x v="0"/>
    <x v="6"/>
    <x v="652"/>
    <d v="2023-10-28T00:00:00"/>
    <x v="0"/>
    <n v="163"/>
    <x v="1601"/>
    <n v="561.35"/>
    <n v="1"/>
    <x v="0"/>
    <n v="17"/>
    <n v="22.490000000000009"/>
    <n v="6.1349693251533744E-3"/>
    <n v="3.852082762400659E-2"/>
  </r>
  <r>
    <s v="PO-01610"/>
    <x v="1"/>
    <x v="1"/>
    <x v="212"/>
    <d v="2023-04-27T00:00:00"/>
    <x v="0"/>
    <n v="104"/>
    <x v="1602"/>
    <n v="4806.32"/>
    <n v="1"/>
    <x v="0"/>
    <n v="28"/>
    <n v="40.240000000000691"/>
    <n v="9.6153846153846159E-3"/>
    <n v="8.3027962100955498E-3"/>
  </r>
  <r>
    <s v="PO-01611"/>
    <x v="4"/>
    <x v="4"/>
    <x v="653"/>
    <s v="Not Yet Delivered"/>
    <x v="2"/>
    <n v="292"/>
    <x v="1603"/>
    <n v="44759.53"/>
    <n v="2"/>
    <x v="1"/>
    <s v="Not Applicable"/>
    <n v="1832.6300000000047"/>
    <n v="6.8493150684931503E-3"/>
    <n v="3.9333441506038881E-2"/>
  </r>
  <r>
    <s v="PO-01612"/>
    <x v="1"/>
    <x v="3"/>
    <x v="654"/>
    <s v="Not Yet Delivered"/>
    <x v="2"/>
    <n v="37"/>
    <x v="1604"/>
    <n v="12127.97"/>
    <n v="2"/>
    <x v="0"/>
    <s v="Not Applicable"/>
    <n v="26.840000000000146"/>
    <n v="5.4054054054054057E-2"/>
    <n v="2.208179313374717E-3"/>
  </r>
  <r>
    <s v="PO-01613"/>
    <x v="7"/>
    <x v="9"/>
    <x v="151"/>
    <s v="Not Yet Delivered"/>
    <x v="2"/>
    <n v="46"/>
    <x v="1605"/>
    <n v="6193.1"/>
    <n v="2"/>
    <x v="0"/>
    <s v="Not Applicable"/>
    <n v="246.92000000000007"/>
    <n v="4.3478260869565216E-2"/>
    <n v="3.8341495833863877E-2"/>
  </r>
  <r>
    <s v="PO-01614"/>
    <x v="5"/>
    <x v="2"/>
    <x v="490"/>
    <d v="2024-04-08T00:00:00"/>
    <x v="0"/>
    <n v="200"/>
    <x v="1606"/>
    <n v="119.9"/>
    <n v="1"/>
    <x v="0"/>
    <n v="6"/>
    <n v="2.3099999999999881"/>
    <n v="5.0000000000000001E-3"/>
    <n v="1.8901890189018805E-2"/>
  </r>
  <r>
    <s v="PO-01615"/>
    <x v="3"/>
    <x v="5"/>
    <x v="64"/>
    <d v="2023-08-23T00:00:00"/>
    <x v="0"/>
    <n v="375"/>
    <x v="1607"/>
    <n v="863.19"/>
    <n v="3"/>
    <x v="0"/>
    <n v="2"/>
    <n v="21.239999999999895"/>
    <n v="8.0000000000000002E-3"/>
    <n v="2.4015467589294685E-2"/>
  </r>
  <r>
    <s v="PO-01616"/>
    <x v="5"/>
    <x v="6"/>
    <x v="542"/>
    <d v="2024-12-20T00:00:00"/>
    <x v="0"/>
    <n v="356"/>
    <x v="1608"/>
    <n v="543.05999999999995"/>
    <n v="1"/>
    <x v="0"/>
    <n v="8"/>
    <n v="10.260000000000105"/>
    <n v="2.8089887640449437E-3"/>
    <n v="1.8542615484710662E-2"/>
  </r>
  <r>
    <s v="PO-01617"/>
    <x v="7"/>
    <x v="3"/>
    <x v="124"/>
    <d v="2024-08-30T00:00:00"/>
    <x v="0"/>
    <n v="426"/>
    <x v="1609"/>
    <n v="11457.08"/>
    <n v="8"/>
    <x v="0"/>
    <n v="4"/>
    <n v="456.60000000000036"/>
    <n v="1.8779342723004695E-2"/>
    <n v="3.8325689459512119E-2"/>
  </r>
  <r>
    <s v="PO-01618"/>
    <x v="5"/>
    <x v="2"/>
    <x v="348"/>
    <d v="2024-10-15T00:00:00"/>
    <x v="0"/>
    <n v="254"/>
    <x v="1610"/>
    <n v="111.71"/>
    <n v="0"/>
    <x v="1"/>
    <n v="24"/>
    <n v="2.3800000000000097"/>
    <n v="0"/>
    <n v="2.0860723989832672E-2"/>
  </r>
  <r>
    <s v="PO-01619"/>
    <x v="0"/>
    <x v="9"/>
    <x v="177"/>
    <d v="2024-04-29T00:00:00"/>
    <x v="0"/>
    <n v="150"/>
    <x v="1611"/>
    <n v="7058.58"/>
    <n v="0"/>
    <x v="0"/>
    <n v="2"/>
    <n v="37.579999999999927"/>
    <n v="0"/>
    <n v="5.2958219656828384E-3"/>
  </r>
  <r>
    <s v="PO-01620"/>
    <x v="6"/>
    <x v="7"/>
    <x v="357"/>
    <d v="2024-11-08T00:00:00"/>
    <x v="0"/>
    <n v="220"/>
    <x v="1612"/>
    <n v="12631.92"/>
    <n v="1"/>
    <x v="0"/>
    <n v="7"/>
    <n v="238.77000000000044"/>
    <n v="4.5454545454545452E-3"/>
    <n v="1.8551452952405848E-2"/>
  </r>
  <r>
    <s v="PO-01621"/>
    <x v="6"/>
    <x v="8"/>
    <x v="596"/>
    <d v="2024-03-16T00:00:00"/>
    <x v="0"/>
    <n v="117"/>
    <x v="1613"/>
    <n v="8923.52"/>
    <n v="4"/>
    <x v="0"/>
    <n v="11"/>
    <n v="216.25"/>
    <n v="3.4188034188034191E-2"/>
    <n v="2.3660332809250121E-2"/>
  </r>
  <r>
    <s v="PO-01622"/>
    <x v="4"/>
    <x v="10"/>
    <x v="8"/>
    <d v="2023-07-23T00:00:00"/>
    <x v="0"/>
    <n v="448"/>
    <x v="1614"/>
    <n v="47407.12"/>
    <n v="0"/>
    <x v="0"/>
    <n v="3"/>
    <n v="2518.7699999999968"/>
    <n v="0"/>
    <n v="5.0450177252723924E-2"/>
  </r>
  <r>
    <s v="PO-01623"/>
    <x v="2"/>
    <x v="7"/>
    <x v="192"/>
    <d v="2023-10-02T00:00:00"/>
    <x v="0"/>
    <n v="455"/>
    <x v="1615"/>
    <n v="10670.88"/>
    <n v="7"/>
    <x v="0"/>
    <n v="21"/>
    <n v="624.97000000000116"/>
    <n v="1.5384615384615385E-2"/>
    <n v="5.5327399000517988E-2"/>
  </r>
  <r>
    <s v="PO-01624"/>
    <x v="7"/>
    <x v="1"/>
    <x v="24"/>
    <d v="2024-09-15T00:00:00"/>
    <x v="0"/>
    <n v="37"/>
    <x v="1616"/>
    <n v="4670.72"/>
    <n v="0"/>
    <x v="1"/>
    <n v="15"/>
    <n v="291.69999999999982"/>
    <n v="0"/>
    <n v="5.8781804039158274E-2"/>
  </r>
  <r>
    <s v="PO-01625"/>
    <x v="3"/>
    <x v="11"/>
    <x v="655"/>
    <s v="Not Yet Delivered"/>
    <x v="2"/>
    <n v="129"/>
    <x v="1617"/>
    <n v="14303.33"/>
    <n v="2"/>
    <x v="1"/>
    <s v="Not Applicable"/>
    <n v="397.07999999999993"/>
    <n v="1.5503875968992248E-2"/>
    <n v="2.7011491516223011E-2"/>
  </r>
  <r>
    <s v="PO-01626"/>
    <x v="6"/>
    <x v="9"/>
    <x v="58"/>
    <d v="2024-03-27T00:00:00"/>
    <x v="0"/>
    <n v="186"/>
    <x v="1618"/>
    <n v="6737.18"/>
    <n v="0"/>
    <x v="0"/>
    <n v="3"/>
    <n v="306.27999999999975"/>
    <n v="0"/>
    <n v="4.3484310267964857E-2"/>
  </r>
  <r>
    <s v="PO-01627"/>
    <x v="1"/>
    <x v="9"/>
    <x v="322"/>
    <d v="2023-08-24T00:00:00"/>
    <x v="0"/>
    <n v="150"/>
    <x v="1619"/>
    <n v="5855.95"/>
    <n v="4"/>
    <x v="0"/>
    <n v="25"/>
    <n v="300.23000000000047"/>
    <n v="2.6666666666666668E-2"/>
    <n v="4.8768879402486684E-2"/>
  </r>
  <r>
    <s v="PO-01628"/>
    <x v="7"/>
    <x v="11"/>
    <x v="352"/>
    <s v="Not Yet Delivered"/>
    <x v="1"/>
    <n v="72"/>
    <x v="1620"/>
    <n v="13007.17"/>
    <n v="2"/>
    <x v="0"/>
    <s v="Not Applicable"/>
    <n v="674.6200000000008"/>
    <n v="2.7777777777777776E-2"/>
    <n v="4.9307875650773818E-2"/>
  </r>
  <r>
    <s v="PO-01629"/>
    <x v="6"/>
    <x v="4"/>
    <x v="397"/>
    <d v="2024-01-16T00:00:00"/>
    <x v="0"/>
    <n v="428"/>
    <x v="1621"/>
    <n v="52156.73"/>
    <n v="8"/>
    <x v="0"/>
    <n v="13"/>
    <n v="893.88999999999942"/>
    <n v="1.8691588785046728E-2"/>
    <n v="1.6849755950071824E-2"/>
  </r>
  <r>
    <s v="PO-01630"/>
    <x v="0"/>
    <x v="4"/>
    <x v="324"/>
    <d v="2024-10-08T00:00:00"/>
    <x v="0"/>
    <n v="456"/>
    <x v="1622"/>
    <n v="47880.55"/>
    <n v="1"/>
    <x v="0"/>
    <n v="4"/>
    <n v="1289.9300000000003"/>
    <n v="2.1929824561403508E-3"/>
    <n v="2.6233829728731551E-2"/>
  </r>
  <r>
    <s v="PO-01631"/>
    <x v="0"/>
    <x v="6"/>
    <x v="588"/>
    <d v="2023-10-21T00:00:00"/>
    <x v="0"/>
    <n v="186"/>
    <x v="1623"/>
    <n v="573.01"/>
    <n v="2"/>
    <x v="0"/>
    <n v="14"/>
    <n v="34.860000000000014"/>
    <n v="1.0752688172043012E-2"/>
    <n v="5.7347788178393429E-2"/>
  </r>
  <r>
    <s v="PO-01632"/>
    <x v="6"/>
    <x v="7"/>
    <x v="249"/>
    <s v="Not Yet Delivered"/>
    <x v="1"/>
    <n v="295"/>
    <x v="1624"/>
    <n v="12677.73"/>
    <n v="2"/>
    <x v="0"/>
    <s v="Not Applicable"/>
    <n v="509.35000000000036"/>
    <n v="6.7796610169491523E-3"/>
    <n v="3.8624926822313992E-2"/>
  </r>
  <r>
    <s v="PO-01633"/>
    <x v="2"/>
    <x v="9"/>
    <x v="0"/>
    <d v="2023-10-21T00:00:00"/>
    <x v="0"/>
    <n v="425"/>
    <x v="1625"/>
    <n v="6144.17"/>
    <n v="4"/>
    <x v="0"/>
    <n v="23"/>
    <n v="91.279999999999745"/>
    <n v="9.4117647058823521E-3"/>
    <n v="1.4638879311036052E-2"/>
  </r>
  <r>
    <s v="PO-01634"/>
    <x v="5"/>
    <x v="11"/>
    <x v="338"/>
    <d v="2024-09-01T00:00:00"/>
    <x v="0"/>
    <n v="84"/>
    <x v="1626"/>
    <n v="13363.12"/>
    <n v="1"/>
    <x v="0"/>
    <n v="4"/>
    <n v="715.7599999999984"/>
    <n v="1.1904761904761904E-2"/>
    <n v="5.0839271305671931E-2"/>
  </r>
  <r>
    <s v="PO-01635"/>
    <x v="4"/>
    <x v="7"/>
    <x v="532"/>
    <d v="2024-06-20T00:00:00"/>
    <x v="0"/>
    <n v="212"/>
    <x v="1627"/>
    <n v="10771.93"/>
    <n v="0"/>
    <x v="0"/>
    <n v="27"/>
    <n v="480.03999999999905"/>
    <n v="0"/>
    <n v="4.2662751500403849E-2"/>
  </r>
  <r>
    <s v="PO-01636"/>
    <x v="2"/>
    <x v="8"/>
    <x v="315"/>
    <d v="2023-08-19T00:00:00"/>
    <x v="0"/>
    <n v="392"/>
    <x v="1628"/>
    <n v="7907.46"/>
    <n v="2"/>
    <x v="0"/>
    <n v="16"/>
    <n v="76.409999999999854"/>
    <n v="5.1020408163265302E-3"/>
    <n v="9.5705466146116924E-3"/>
  </r>
  <r>
    <s v="PO-01637"/>
    <x v="7"/>
    <x v="1"/>
    <x v="233"/>
    <s v="Not Yet Delivered"/>
    <x v="1"/>
    <n v="247"/>
    <x v="1629"/>
    <n v="4734.57"/>
    <n v="2"/>
    <x v="0"/>
    <s v="Not Applicable"/>
    <n v="147.53000000000065"/>
    <n v="8.0971659919028341E-3"/>
    <n v="3.0218553491325587E-2"/>
  </r>
  <r>
    <s v="PO-01638"/>
    <x v="5"/>
    <x v="6"/>
    <x v="291"/>
    <d v="2023-04-03T00:00:00"/>
    <x v="3"/>
    <n v="60"/>
    <x v="1630"/>
    <n v="535.04999999999995"/>
    <n v="0"/>
    <x v="0"/>
    <n v="24"/>
    <n v="33.050000000000068"/>
    <n v="0"/>
    <n v="5.8176377398345483E-2"/>
  </r>
  <r>
    <s v="PO-01639"/>
    <x v="4"/>
    <x v="9"/>
    <x v="656"/>
    <s v="Not Yet Delivered"/>
    <x v="1"/>
    <n v="267"/>
    <x v="1631"/>
    <n v="5490.7"/>
    <n v="2"/>
    <x v="0"/>
    <s v="Not Applicable"/>
    <n v="315.55000000000018"/>
    <n v="7.4906367041198503E-3"/>
    <n v="5.4346609257265907E-2"/>
  </r>
  <r>
    <s v="PO-01640"/>
    <x v="4"/>
    <x v="8"/>
    <x v="504"/>
    <d v="2024-09-11T00:00:00"/>
    <x v="0"/>
    <n v="11"/>
    <x v="1632"/>
    <n v="7722.17"/>
    <n v="0"/>
    <x v="0"/>
    <n v="5"/>
    <n v="372.5"/>
    <n v="0"/>
    <n v="4.6017935258633152E-2"/>
  </r>
  <r>
    <s v="PO-01641"/>
    <x v="0"/>
    <x v="8"/>
    <x v="107"/>
    <d v="2023-06-22T00:00:00"/>
    <x v="0"/>
    <n v="130"/>
    <x v="1633"/>
    <n v="8021.02"/>
    <n v="1"/>
    <x v="0"/>
    <n v="2"/>
    <n v="474.23999999999978"/>
    <n v="7.6923076923076927E-3"/>
    <n v="5.5824071305645706E-2"/>
  </r>
  <r>
    <s v="PO-01642"/>
    <x v="0"/>
    <x v="10"/>
    <x v="270"/>
    <d v="2023-10-24T00:00:00"/>
    <x v="0"/>
    <n v="155"/>
    <x v="1634"/>
    <n v="50831.14"/>
    <n v="5"/>
    <x v="0"/>
    <n v="19"/>
    <n v="2045.25"/>
    <n v="3.2258064516129031E-2"/>
    <n v="3.8679834232253754E-2"/>
  </r>
  <r>
    <s v="PO-01643"/>
    <x v="3"/>
    <x v="0"/>
    <x v="565"/>
    <d v="2024-10-24T00:00:00"/>
    <x v="0"/>
    <n v="434"/>
    <x v="1635"/>
    <n v="4074.11"/>
    <n v="2"/>
    <x v="0"/>
    <n v="4"/>
    <n v="222.48000000000002"/>
    <n v="4.608294930875576E-3"/>
    <n v="5.1780598102215948E-2"/>
  </r>
  <r>
    <s v="PO-01644"/>
    <x v="1"/>
    <x v="2"/>
    <x v="413"/>
    <d v="2024-06-06T00:00:00"/>
    <x v="0"/>
    <n v="59"/>
    <x v="1636"/>
    <n v="109.81"/>
    <n v="1"/>
    <x v="0"/>
    <n v="26"/>
    <n v="3.2399999999999949"/>
    <n v="1.6949152542372881E-2"/>
    <n v="2.8659885006634189E-2"/>
  </r>
  <r>
    <s v="PO-01645"/>
    <x v="1"/>
    <x v="1"/>
    <x v="657"/>
    <s v="Not Yet Delivered"/>
    <x v="1"/>
    <n v="159"/>
    <x v="1637"/>
    <n v="4593.09"/>
    <n v="2"/>
    <x v="1"/>
    <s v="Not Applicable"/>
    <n v="186.4399999999996"/>
    <n v="1.2578616352201259E-2"/>
    <n v="3.9008019616991546E-2"/>
  </r>
  <r>
    <s v="PO-01646"/>
    <x v="1"/>
    <x v="8"/>
    <x v="118"/>
    <s v="Not Yet Delivered"/>
    <x v="1"/>
    <n v="314"/>
    <x v="1638"/>
    <n v="7589.55"/>
    <n v="2"/>
    <x v="0"/>
    <s v="Not Applicable"/>
    <n v="89.279999999999745"/>
    <n v="6.369426751592357E-3"/>
    <n v="1.1626771265935011E-2"/>
  </r>
  <r>
    <s v="PO-01647"/>
    <x v="1"/>
    <x v="9"/>
    <x v="364"/>
    <d v="2023-07-27T00:00:00"/>
    <x v="0"/>
    <n v="203"/>
    <x v="1639"/>
    <n v="5948.7"/>
    <n v="4"/>
    <x v="0"/>
    <n v="8"/>
    <n v="117.78999999999996"/>
    <n v="1.9704433497536946E-2"/>
    <n v="1.9416499491468703E-2"/>
  </r>
  <r>
    <s v="PO-01648"/>
    <x v="0"/>
    <x v="1"/>
    <x v="453"/>
    <d v="2023-09-29T00:00:00"/>
    <x v="0"/>
    <n v="371"/>
    <x v="1640"/>
    <n v="5491.05"/>
    <n v="3"/>
    <x v="0"/>
    <n v="29"/>
    <n v="241.51000000000022"/>
    <n v="8.0862533692722376E-3"/>
    <n v="4.2129519795693411E-2"/>
  </r>
  <r>
    <s v="PO-01649"/>
    <x v="3"/>
    <x v="7"/>
    <x v="411"/>
    <d v="2024-03-07T00:00:00"/>
    <x v="3"/>
    <n v="53"/>
    <x v="1641"/>
    <n v="11980.76"/>
    <n v="0"/>
    <x v="0"/>
    <n v="12"/>
    <n v="596.60000000000036"/>
    <n v="0"/>
    <n v="4.7434437751642661E-2"/>
  </r>
  <r>
    <s v="PO-01650"/>
    <x v="4"/>
    <x v="2"/>
    <x v="618"/>
    <d v="2024-02-22T00:00:00"/>
    <x v="0"/>
    <n v="385"/>
    <x v="1642"/>
    <n v="112.59"/>
    <n v="2"/>
    <x v="0"/>
    <n v="21"/>
    <n v="2.0699999999999932"/>
    <n v="5.1948051948051948E-3"/>
    <n v="1.805337519623228E-2"/>
  </r>
  <r>
    <s v="PO-01651"/>
    <x v="2"/>
    <x v="9"/>
    <x v="79"/>
    <d v="2024-06-08T00:00:00"/>
    <x v="0"/>
    <n v="119"/>
    <x v="1643"/>
    <n v="5582.41"/>
    <n v="0"/>
    <x v="0"/>
    <n v="25"/>
    <n v="303.92000000000007"/>
    <n v="0"/>
    <n v="5.1631491948293771E-2"/>
  </r>
  <r>
    <s v="PO-01652"/>
    <x v="2"/>
    <x v="0"/>
    <x v="225"/>
    <d v="2024-09-29T00:00:00"/>
    <x v="0"/>
    <n v="155"/>
    <x v="1644"/>
    <n v="3617.91"/>
    <n v="0"/>
    <x v="0"/>
    <n v="27"/>
    <n v="178.28999999999996"/>
    <n v="0"/>
    <n v="4.6965386439070639E-2"/>
  </r>
  <r>
    <s v="PO-01653"/>
    <x v="2"/>
    <x v="3"/>
    <x v="569"/>
    <d v="2023-03-17T00:00:00"/>
    <x v="0"/>
    <n v="318"/>
    <x v="1645"/>
    <n v="10952.57"/>
    <n v="1"/>
    <x v="0"/>
    <n v="26"/>
    <n v="389.26000000000022"/>
    <n v="3.1446540880503146E-3"/>
    <n v="3.432074012747504E-2"/>
  </r>
  <r>
    <s v="PO-01654"/>
    <x v="1"/>
    <x v="1"/>
    <x v="449"/>
    <d v="2023-07-31T00:00:00"/>
    <x v="0"/>
    <n v="229"/>
    <x v="1646"/>
    <n v="4938.42"/>
    <n v="3"/>
    <x v="0"/>
    <n v="10"/>
    <n v="54.260000000000218"/>
    <n v="1.3100436681222707E-2"/>
    <n v="1.0867910621149406E-2"/>
  </r>
  <r>
    <s v="PO-01655"/>
    <x v="1"/>
    <x v="5"/>
    <x v="43"/>
    <d v="2024-10-03T00:00:00"/>
    <x v="3"/>
    <n v="120"/>
    <x v="1647"/>
    <n v="835.54"/>
    <n v="2"/>
    <x v="0"/>
    <n v="30"/>
    <n v="48.830000000000041"/>
    <n v="1.6666666666666666E-2"/>
    <n v="5.5214446442100072E-2"/>
  </r>
  <r>
    <s v="PO-01656"/>
    <x v="5"/>
    <x v="10"/>
    <x v="415"/>
    <d v="2024-11-13T00:00:00"/>
    <x v="0"/>
    <n v="186"/>
    <x v="1648"/>
    <n v="51127.27"/>
    <n v="0"/>
    <x v="0"/>
    <n v="19"/>
    <n v="1454.5300000000061"/>
    <n v="0"/>
    <n v="2.7662232939914686E-2"/>
  </r>
  <r>
    <s v="PO-01657"/>
    <x v="4"/>
    <x v="11"/>
    <x v="42"/>
    <s v="Not Yet Delivered"/>
    <x v="2"/>
    <n v="42"/>
    <x v="1649"/>
    <n v="13588.87"/>
    <n v="2"/>
    <x v="0"/>
    <s v="Not Applicable"/>
    <n v="531.67000000000007"/>
    <n v="4.7619047619047616E-2"/>
    <n v="3.7652242761254173E-2"/>
  </r>
  <r>
    <s v="PO-01658"/>
    <x v="5"/>
    <x v="0"/>
    <x v="171"/>
    <d v="2024-05-02T00:00:00"/>
    <x v="3"/>
    <n v="444"/>
    <x v="1650"/>
    <n v="4190.6099999999997"/>
    <n v="6"/>
    <x v="0"/>
    <n v="21"/>
    <n v="254.74000000000069"/>
    <n v="1.3513513513513514E-2"/>
    <n v="5.7304824142081205E-2"/>
  </r>
  <r>
    <s v="PO-01659"/>
    <x v="6"/>
    <x v="4"/>
    <x v="250"/>
    <d v="2023-07-19T00:00:00"/>
    <x v="0"/>
    <n v="346"/>
    <x v="1651"/>
    <n v="46508.800000000003"/>
    <n v="6"/>
    <x v="0"/>
    <n v="25"/>
    <n v="2793.5499999999956"/>
    <n v="1.7341040462427744E-2"/>
    <n v="5.6661599294962527E-2"/>
  </r>
  <r>
    <s v="PO-01660"/>
    <x v="1"/>
    <x v="8"/>
    <x v="35"/>
    <s v="Not Yet Delivered"/>
    <x v="1"/>
    <n v="205"/>
    <x v="1652"/>
    <n v="8099.29"/>
    <n v="2"/>
    <x v="0"/>
    <s v="Not Applicable"/>
    <n v="168.86999999999989"/>
    <n v="9.7560975609756097E-3"/>
    <n v="2.0424133059834339E-2"/>
  </r>
  <r>
    <s v="PO-01661"/>
    <x v="5"/>
    <x v="3"/>
    <x v="179"/>
    <d v="2023-08-17T00:00:00"/>
    <x v="0"/>
    <n v="128"/>
    <x v="1653"/>
    <n v="12321"/>
    <n v="2"/>
    <x v="0"/>
    <n v="6"/>
    <n v="36.350000000000364"/>
    <n v="1.5625E-2"/>
    <n v="2.9415691875685616E-3"/>
  </r>
  <r>
    <s v="PO-01662"/>
    <x v="1"/>
    <x v="4"/>
    <x v="239"/>
    <d v="2024-04-07T00:00:00"/>
    <x v="0"/>
    <n v="408"/>
    <x v="1654"/>
    <n v="42878.26"/>
    <n v="1"/>
    <x v="0"/>
    <n v="20"/>
    <n v="2200.6500000000015"/>
    <n v="2.4509803921568627E-3"/>
    <n v="4.8817728733902423E-2"/>
  </r>
  <r>
    <s v="PO-01663"/>
    <x v="6"/>
    <x v="9"/>
    <x v="601"/>
    <d v="2023-02-03T00:00:00"/>
    <x v="3"/>
    <n v="205"/>
    <x v="1655"/>
    <n v="6870.54"/>
    <n v="4"/>
    <x v="0"/>
    <n v="23"/>
    <n v="271.68000000000029"/>
    <n v="1.9512195121951219E-2"/>
    <n v="3.803859304249943E-2"/>
  </r>
  <r>
    <s v="PO-01664"/>
    <x v="2"/>
    <x v="5"/>
    <x v="658"/>
    <d v="2023-05-10T00:00:00"/>
    <x v="3"/>
    <n v="295"/>
    <x v="1656"/>
    <n v="804.78"/>
    <n v="0"/>
    <x v="0"/>
    <n v="21"/>
    <n v="19.5"/>
    <n v="0"/>
    <n v="2.36570097539671E-2"/>
  </r>
  <r>
    <s v="PO-01665"/>
    <x v="3"/>
    <x v="10"/>
    <x v="12"/>
    <d v="2024-10-26T00:00:00"/>
    <x v="0"/>
    <n v="496"/>
    <x v="1657"/>
    <n v="50127.21"/>
    <n v="2"/>
    <x v="0"/>
    <n v="19"/>
    <n v="3100.9500000000044"/>
    <n v="4.0322580645161289E-3"/>
    <n v="5.8257696677848796E-2"/>
  </r>
  <r>
    <s v="PO-01666"/>
    <x v="2"/>
    <x v="2"/>
    <x v="79"/>
    <d v="2024-06-03T00:00:00"/>
    <x v="0"/>
    <n v="33"/>
    <x v="560"/>
    <n v="108.81"/>
    <n v="0"/>
    <x v="0"/>
    <n v="20"/>
    <n v="2.5900000000000034"/>
    <n v="0"/>
    <n v="2.3249551166965917E-2"/>
  </r>
  <r>
    <s v="PO-01667"/>
    <x v="2"/>
    <x v="0"/>
    <x v="151"/>
    <d v="2024-09-19T00:00:00"/>
    <x v="0"/>
    <n v="498"/>
    <x v="1658"/>
    <n v="3809.61"/>
    <n v="9"/>
    <x v="0"/>
    <n v="27"/>
    <n v="119.54999999999973"/>
    <n v="1.8072289156626505E-2"/>
    <n v="3.0426350670372224E-2"/>
  </r>
  <r>
    <s v="PO-01668"/>
    <x v="5"/>
    <x v="2"/>
    <x v="352"/>
    <d v="2024-08-24T00:00:00"/>
    <x v="0"/>
    <n v="236"/>
    <x v="1659"/>
    <n v="126.36"/>
    <n v="0"/>
    <x v="0"/>
    <n v="13"/>
    <n v="0.78000000000000114"/>
    <n v="0"/>
    <n v="6.1349693251533831E-3"/>
  </r>
  <r>
    <s v="PO-01669"/>
    <x v="6"/>
    <x v="3"/>
    <x v="130"/>
    <d v="2023-09-13T00:00:00"/>
    <x v="0"/>
    <n v="495"/>
    <x v="1660"/>
    <n v="12703.1"/>
    <n v="8"/>
    <x v="0"/>
    <n v="14"/>
    <n v="538.20999999999913"/>
    <n v="1.6161616161616162E-2"/>
    <n v="4.0646280466207586E-2"/>
  </r>
  <r>
    <s v="PO-01670"/>
    <x v="5"/>
    <x v="3"/>
    <x v="448"/>
    <s v="Not Yet Delivered"/>
    <x v="2"/>
    <n v="236"/>
    <x v="1661"/>
    <n v="12580.52"/>
    <n v="2"/>
    <x v="0"/>
    <s v="Not Applicable"/>
    <n v="660.85999999999876"/>
    <n v="8.4745762711864406E-3"/>
    <n v="4.9908695317255364E-2"/>
  </r>
  <r>
    <s v="PO-01671"/>
    <x v="1"/>
    <x v="11"/>
    <x v="562"/>
    <d v="2024-10-27T00:00:00"/>
    <x v="0"/>
    <n v="307"/>
    <x v="1662"/>
    <n v="12915.18"/>
    <n v="1"/>
    <x v="1"/>
    <n v="3"/>
    <n v="506.05999999999949"/>
    <n v="3.2573289902280132E-3"/>
    <n v="3.7705904968542363E-2"/>
  </r>
  <r>
    <s v="PO-01672"/>
    <x v="3"/>
    <x v="1"/>
    <x v="149"/>
    <d v="2024-08-24T00:00:00"/>
    <x v="0"/>
    <n v="331"/>
    <x v="1663"/>
    <n v="5525.93"/>
    <n v="4"/>
    <x v="0"/>
    <n v="17"/>
    <n v="2.319999999999709"/>
    <n v="1.2084592145015106E-2"/>
    <n v="4.1966264188481148E-4"/>
  </r>
  <r>
    <s v="PO-01673"/>
    <x v="4"/>
    <x v="11"/>
    <x v="659"/>
    <d v="2024-09-15T00:00:00"/>
    <x v="0"/>
    <n v="423"/>
    <x v="1664"/>
    <n v="12273.7"/>
    <n v="8"/>
    <x v="1"/>
    <n v="29"/>
    <n v="345.27999999999884"/>
    <n v="1.8912529550827423E-2"/>
    <n v="2.7361957939548112E-2"/>
  </r>
  <r>
    <s v="PO-01674"/>
    <x v="5"/>
    <x v="2"/>
    <x v="577"/>
    <d v="2024-11-28T00:00:00"/>
    <x v="0"/>
    <n v="27"/>
    <x v="1665"/>
    <m/>
    <n v="0"/>
    <x v="0"/>
    <n v="6"/>
    <n v="113.86"/>
    <n v="0"/>
    <n v="1"/>
  </r>
  <r>
    <s v="PO-01675"/>
    <x v="5"/>
    <x v="2"/>
    <x v="660"/>
    <d v="2024-05-08T00:00:00"/>
    <x v="0"/>
    <n v="358"/>
    <x v="1666"/>
    <n v="111.9"/>
    <n v="8"/>
    <x v="0"/>
    <n v="6"/>
    <n v="1.9399999999999977"/>
    <n v="2.23463687150838E-2"/>
    <n v="1.7041461700632445E-2"/>
  </r>
  <r>
    <s v="PO-01676"/>
    <x v="3"/>
    <x v="0"/>
    <x v="320"/>
    <d v="2023-07-29T00:00:00"/>
    <x v="0"/>
    <n v="409"/>
    <x v="1667"/>
    <n v="3936.83"/>
    <n v="12"/>
    <x v="0"/>
    <n v="26"/>
    <n v="115.71000000000004"/>
    <n v="2.9339853300733496E-2"/>
    <n v="2.8552463393328637E-2"/>
  </r>
  <r>
    <s v="PO-01677"/>
    <x v="1"/>
    <x v="10"/>
    <x v="661"/>
    <d v="2024-01-21T00:00:00"/>
    <x v="0"/>
    <n v="493"/>
    <x v="1668"/>
    <n v="48388.67"/>
    <n v="6"/>
    <x v="0"/>
    <n v="19"/>
    <n v="2502.9700000000012"/>
    <n v="1.2170385395537525E-2"/>
    <n v="4.9182341146797412E-2"/>
  </r>
  <r>
    <s v="PO-01678"/>
    <x v="7"/>
    <x v="1"/>
    <x v="396"/>
    <s v="Not Yet Delivered"/>
    <x v="2"/>
    <n v="120"/>
    <x v="1669"/>
    <n v="4767.6000000000004"/>
    <n v="2"/>
    <x v="0"/>
    <s v="Not Applicable"/>
    <n v="79.269999999999527"/>
    <n v="1.6666666666666666E-2"/>
    <n v="1.6354884698784891E-2"/>
  </r>
  <r>
    <s v="PO-01679"/>
    <x v="7"/>
    <x v="6"/>
    <x v="421"/>
    <d v="2024-02-01T00:00:00"/>
    <x v="0"/>
    <n v="120"/>
    <x v="1670"/>
    <n v="517.33000000000004"/>
    <n v="1"/>
    <x v="0"/>
    <n v="23"/>
    <n v="20.629999999999995"/>
    <n v="8.3333333333333332E-3"/>
    <n v="3.8348576102312432E-2"/>
  </r>
  <r>
    <s v="PO-01680"/>
    <x v="1"/>
    <x v="10"/>
    <x v="640"/>
    <d v="2023-07-30T00:00:00"/>
    <x v="0"/>
    <n v="453"/>
    <x v="1671"/>
    <n v="47273.85"/>
    <n v="9"/>
    <x v="0"/>
    <n v="6"/>
    <n v="2260.3499999999985"/>
    <n v="1.9867549668874173E-2"/>
    <n v="4.5632108724880965E-2"/>
  </r>
  <r>
    <s v="PO-01681"/>
    <x v="3"/>
    <x v="11"/>
    <x v="332"/>
    <d v="2024-12-29T00:00:00"/>
    <x v="0"/>
    <n v="105"/>
    <x v="1672"/>
    <n v="14886.35"/>
    <n v="0"/>
    <x v="0"/>
    <n v="9"/>
    <n v="222.52999999999884"/>
    <n v="0"/>
    <n v="1.4728424608574485E-2"/>
  </r>
  <r>
    <s v="PO-01682"/>
    <x v="3"/>
    <x v="2"/>
    <x v="471"/>
    <d v="2023-06-11T00:00:00"/>
    <x v="0"/>
    <n v="438"/>
    <x v="1673"/>
    <n v="118.29"/>
    <n v="1"/>
    <x v="0"/>
    <n v="24"/>
    <n v="3.269999999999996"/>
    <n v="2.2831050228310501E-3"/>
    <n v="2.6900296150049324E-2"/>
  </r>
  <r>
    <s v="PO-01683"/>
    <x v="2"/>
    <x v="8"/>
    <x v="240"/>
    <s v="Not Yet Delivered"/>
    <x v="2"/>
    <n v="226"/>
    <x v="1674"/>
    <n v="7546.2"/>
    <n v="2"/>
    <x v="0"/>
    <s v="Not Applicable"/>
    <n v="307.34000000000015"/>
    <n v="8.8495575221238937E-3"/>
    <n v="3.9133944692457179E-2"/>
  </r>
  <r>
    <s v="PO-01684"/>
    <x v="2"/>
    <x v="11"/>
    <x v="529"/>
    <d v="2024-04-24T00:00:00"/>
    <x v="0"/>
    <n v="192"/>
    <x v="1675"/>
    <n v="14298.43"/>
    <n v="5"/>
    <x v="0"/>
    <n v="16"/>
    <n v="262.64999999999964"/>
    <n v="2.6041666666666668E-2"/>
    <n v="1.80378103821969E-2"/>
  </r>
  <r>
    <s v="PO-01685"/>
    <x v="3"/>
    <x v="7"/>
    <x v="128"/>
    <d v="2023-10-09T00:00:00"/>
    <x v="0"/>
    <n v="337"/>
    <x v="1676"/>
    <n v="11174.32"/>
    <n v="4"/>
    <x v="1"/>
    <n v="8"/>
    <n v="628.98999999999978"/>
    <n v="1.1869436201780416E-2"/>
    <n v="5.3289289190913379E-2"/>
  </r>
  <r>
    <s v="PO-01686"/>
    <x v="2"/>
    <x v="8"/>
    <x v="450"/>
    <d v="2023-05-23T00:00:00"/>
    <x v="3"/>
    <n v="118"/>
    <x v="1677"/>
    <n v="8292.68"/>
    <n v="1"/>
    <x v="0"/>
    <n v="9"/>
    <n v="207.72999999999956"/>
    <n v="8.4745762711864406E-3"/>
    <n v="2.4437644772428574E-2"/>
  </r>
  <r>
    <s v="PO-01687"/>
    <x v="1"/>
    <x v="4"/>
    <x v="245"/>
    <d v="2023-11-19T00:00:00"/>
    <x v="0"/>
    <n v="97"/>
    <x v="1678"/>
    <n v="41084.47"/>
    <n v="0"/>
    <x v="0"/>
    <n v="2"/>
    <n v="2338.5499999999956"/>
    <n v="0"/>
    <n v="5.3855075027024739E-2"/>
  </r>
  <r>
    <s v="PO-01688"/>
    <x v="4"/>
    <x v="0"/>
    <x v="607"/>
    <s v="Not Yet Delivered"/>
    <x v="2"/>
    <n v="315"/>
    <x v="1679"/>
    <n v="3788.73"/>
    <n v="2"/>
    <x v="0"/>
    <s v="Not Applicable"/>
    <n v="111.84000000000015"/>
    <n v="6.3492063492063492E-3"/>
    <n v="2.8672732446796273E-2"/>
  </r>
  <r>
    <s v="PO-01689"/>
    <x v="0"/>
    <x v="2"/>
    <x v="79"/>
    <d v="2024-05-27T00:00:00"/>
    <x v="0"/>
    <n v="312"/>
    <x v="1680"/>
    <n v="125.9"/>
    <n v="4"/>
    <x v="0"/>
    <n v="13"/>
    <n v="5.9199999999999875"/>
    <n v="1.282051282051282E-2"/>
    <n v="4.4909725383098072E-2"/>
  </r>
  <r>
    <s v="PO-01690"/>
    <x v="1"/>
    <x v="2"/>
    <x v="273"/>
    <d v="2023-12-09T00:00:00"/>
    <x v="0"/>
    <n v="262"/>
    <x v="1681"/>
    <n v="108.5"/>
    <n v="2"/>
    <x v="0"/>
    <n v="26"/>
    <n v="4.519999999999996"/>
    <n v="7.6335877862595417E-3"/>
    <n v="3.9992921606795226E-2"/>
  </r>
  <r>
    <s v="PO-01691"/>
    <x v="5"/>
    <x v="0"/>
    <x v="653"/>
    <s v="Not Yet Delivered"/>
    <x v="2"/>
    <n v="89"/>
    <x v="1682"/>
    <n v="4043.7"/>
    <n v="2"/>
    <x v="0"/>
    <s v="Not Applicable"/>
    <n v="208.02999999999975"/>
    <n v="2.247191011235955E-2"/>
    <n v="4.8928318590314948E-2"/>
  </r>
  <r>
    <s v="PO-01692"/>
    <x v="4"/>
    <x v="2"/>
    <x v="53"/>
    <d v="2023-06-14T00:00:00"/>
    <x v="0"/>
    <n v="284"/>
    <x v="1683"/>
    <n v="99.44"/>
    <n v="3"/>
    <x v="0"/>
    <n v="20"/>
    <n v="4.5700000000000074"/>
    <n v="1.0563380281690141E-2"/>
    <n v="4.3938082876646543E-2"/>
  </r>
  <r>
    <s v="PO-01693"/>
    <x v="7"/>
    <x v="8"/>
    <x v="522"/>
    <d v="2024-08-30T00:00:00"/>
    <x v="0"/>
    <n v="290"/>
    <x v="1684"/>
    <n v="8064.93"/>
    <n v="4"/>
    <x v="0"/>
    <n v="16"/>
    <n v="396.79999999999927"/>
    <n v="1.3793103448275862E-2"/>
    <n v="4.6893483956590355E-2"/>
  </r>
  <r>
    <s v="PO-01694"/>
    <x v="0"/>
    <x v="7"/>
    <x v="662"/>
    <d v="2023-11-25T00:00:00"/>
    <x v="3"/>
    <n v="496"/>
    <x v="1685"/>
    <n v="12155.89"/>
    <n v="4"/>
    <x v="0"/>
    <n v="10"/>
    <n v="420.30000000000109"/>
    <n v="8.0645161290322578E-3"/>
    <n v="3.3420296608114311E-2"/>
  </r>
  <r>
    <s v="PO-01695"/>
    <x v="5"/>
    <x v="8"/>
    <x v="210"/>
    <d v="2023-04-22T00:00:00"/>
    <x v="0"/>
    <n v="35"/>
    <x v="1686"/>
    <n v="8131.91"/>
    <n v="0"/>
    <x v="0"/>
    <n v="29"/>
    <n v="61.1200000000008"/>
    <n v="0"/>
    <n v="7.4599995361912252E-3"/>
  </r>
  <r>
    <s v="PO-01696"/>
    <x v="6"/>
    <x v="8"/>
    <x v="527"/>
    <d v="2025-01-02T00:00:00"/>
    <x v="0"/>
    <n v="184"/>
    <x v="1687"/>
    <n v="9006.07"/>
    <n v="2"/>
    <x v="0"/>
    <n v="27"/>
    <n v="69.420000000000073"/>
    <n v="1.0869565217391304E-2"/>
    <n v="7.649173763620485E-3"/>
  </r>
  <r>
    <s v="PO-01697"/>
    <x v="6"/>
    <x v="0"/>
    <x v="107"/>
    <s v="Not Yet Delivered"/>
    <x v="1"/>
    <n v="410"/>
    <x v="1688"/>
    <n v="4665.37"/>
    <n v="2"/>
    <x v="0"/>
    <s v="Not Applicable"/>
    <n v="12.850000000000364"/>
    <n v="4.8780487804878049E-3"/>
    <n v="2.7467712078526369E-3"/>
  </r>
  <r>
    <s v="PO-01698"/>
    <x v="0"/>
    <x v="0"/>
    <x v="467"/>
    <d v="2023-05-21T00:00:00"/>
    <x v="0"/>
    <n v="76"/>
    <x v="1689"/>
    <n v="4103.75"/>
    <n v="4"/>
    <x v="0"/>
    <n v="8"/>
    <n v="184.19999999999982"/>
    <n v="5.2631578947368418E-2"/>
    <n v="4.2957590456978237E-2"/>
  </r>
  <r>
    <s v="PO-01699"/>
    <x v="4"/>
    <x v="9"/>
    <x v="338"/>
    <d v="2024-09-18T00:00:00"/>
    <x v="0"/>
    <n v="73"/>
    <x v="1690"/>
    <n v="5877.06"/>
    <n v="0"/>
    <x v="0"/>
    <n v="21"/>
    <n v="223.91999999999916"/>
    <n v="0"/>
    <n v="3.6702300286183397E-2"/>
  </r>
  <r>
    <s v="PO-01700"/>
    <x v="5"/>
    <x v="7"/>
    <x v="449"/>
    <s v="Not Yet Delivered"/>
    <x v="2"/>
    <n v="166"/>
    <x v="1691"/>
    <n v="12274.82"/>
    <n v="2"/>
    <x v="0"/>
    <s v="Not Applicable"/>
    <n v="428.02000000000044"/>
    <n v="1.2048192771084338E-2"/>
    <n v="3.3694827298462425E-2"/>
  </r>
  <r>
    <s v="PO-01701"/>
    <x v="7"/>
    <x v="0"/>
    <x v="641"/>
    <d v="2023-07-27T00:00:00"/>
    <x v="0"/>
    <n v="33"/>
    <x v="1692"/>
    <n v="3803.05"/>
    <n v="0"/>
    <x v="0"/>
    <n v="17"/>
    <n v="153.21000000000004"/>
    <n v="0"/>
    <n v="3.8725968465166606E-2"/>
  </r>
  <r>
    <s v="PO-01702"/>
    <x v="3"/>
    <x v="0"/>
    <x v="338"/>
    <d v="2024-09-27T00:00:00"/>
    <x v="0"/>
    <n v="374"/>
    <x v="487"/>
    <n v="4287.8"/>
    <n v="1"/>
    <x v="0"/>
    <n v="30"/>
    <n v="237.47000000000025"/>
    <n v="2.6737967914438501E-3"/>
    <n v="5.247642682094112E-2"/>
  </r>
  <r>
    <s v="PO-01703"/>
    <x v="4"/>
    <x v="0"/>
    <x v="128"/>
    <d v="2023-10-15T00:00:00"/>
    <x v="0"/>
    <n v="362"/>
    <x v="1693"/>
    <n v="3772.99"/>
    <n v="5"/>
    <x v="0"/>
    <n v="14"/>
    <n v="24.830000000000382"/>
    <n v="1.3812154696132596E-2"/>
    <n v="6.5379612514548822E-3"/>
  </r>
  <r>
    <s v="PO-01704"/>
    <x v="4"/>
    <x v="6"/>
    <x v="314"/>
    <d v="2024-04-03T00:00:00"/>
    <x v="0"/>
    <n v="279"/>
    <x v="1694"/>
    <n v="481.8"/>
    <n v="5"/>
    <x v="0"/>
    <n v="20"/>
    <n v="0.25"/>
    <n v="1.7921146953405017E-2"/>
    <n v="5.1861840058085255E-4"/>
  </r>
  <r>
    <s v="PO-01705"/>
    <x v="4"/>
    <x v="5"/>
    <x v="497"/>
    <d v="2024-10-07T00:00:00"/>
    <x v="0"/>
    <n v="130"/>
    <x v="1695"/>
    <n v="848.18"/>
    <n v="3"/>
    <x v="0"/>
    <n v="6"/>
    <n v="12.310000000000059"/>
    <n v="2.3076923076923078E-2"/>
    <n v="1.4305802507873489E-2"/>
  </r>
  <r>
    <s v="PO-01706"/>
    <x v="4"/>
    <x v="5"/>
    <x v="222"/>
    <d v="2024-05-16T00:00:00"/>
    <x v="0"/>
    <n v="87"/>
    <x v="1696"/>
    <n v="786.99"/>
    <n v="0"/>
    <x v="0"/>
    <n v="17"/>
    <n v="26.419999999999959"/>
    <n v="0"/>
    <n v="3.2480544866672352E-2"/>
  </r>
  <r>
    <s v="PO-01707"/>
    <x v="3"/>
    <x v="9"/>
    <x v="662"/>
    <d v="2023-12-11T00:00:00"/>
    <x v="0"/>
    <n v="203"/>
    <x v="1697"/>
    <n v="6763.99"/>
    <n v="0"/>
    <x v="0"/>
    <n v="26"/>
    <n v="8.930000000000291"/>
    <n v="0"/>
    <n v="1.3184859706006111E-3"/>
  </r>
  <r>
    <s v="PO-01708"/>
    <x v="1"/>
    <x v="4"/>
    <x v="305"/>
    <d v="2024-01-10T00:00:00"/>
    <x v="0"/>
    <n v="169"/>
    <x v="1698"/>
    <n v="45986.42"/>
    <n v="5"/>
    <x v="0"/>
    <n v="4"/>
    <n v="1188.6900000000023"/>
    <n v="2.9585798816568046E-2"/>
    <n v="2.5197397525941165E-2"/>
  </r>
  <r>
    <s v="PO-01709"/>
    <x v="7"/>
    <x v="7"/>
    <x v="104"/>
    <d v="2024-08-17T00:00:00"/>
    <x v="0"/>
    <n v="269"/>
    <x v="1699"/>
    <n v="11425.46"/>
    <n v="2"/>
    <x v="1"/>
    <n v="24"/>
    <n v="259.71000000000095"/>
    <n v="7.4349442379182153E-3"/>
    <n v="2.2225607329632427E-2"/>
  </r>
  <r>
    <s v="PO-01710"/>
    <x v="3"/>
    <x v="0"/>
    <x v="458"/>
    <d v="2023-03-30T00:00:00"/>
    <x v="3"/>
    <n v="35"/>
    <x v="1700"/>
    <n v="4471.5200000000004"/>
    <n v="0"/>
    <x v="0"/>
    <n v="2"/>
    <n v="51.759999999999309"/>
    <n v="0"/>
    <n v="1.1443023646557214E-2"/>
  </r>
  <r>
    <s v="PO-01711"/>
    <x v="7"/>
    <x v="0"/>
    <x v="373"/>
    <d v="2024-03-19T00:00:00"/>
    <x v="0"/>
    <n v="90"/>
    <x v="1701"/>
    <n v="4196.45"/>
    <n v="2"/>
    <x v="0"/>
    <n v="15"/>
    <n v="196.42000000000007"/>
    <n v="2.2222222222222223E-2"/>
    <n v="4.4713365066573807E-2"/>
  </r>
  <r>
    <s v="PO-01712"/>
    <x v="0"/>
    <x v="2"/>
    <x v="217"/>
    <d v="2024-03-04T00:00:00"/>
    <x v="0"/>
    <n v="276"/>
    <x v="1702"/>
    <n v="123.75"/>
    <n v="0"/>
    <x v="0"/>
    <n v="5"/>
    <n v="6.0800000000000125"/>
    <n v="0"/>
    <n v="4.6830470615420255E-2"/>
  </r>
  <r>
    <s v="PO-01713"/>
    <x v="4"/>
    <x v="5"/>
    <x v="306"/>
    <d v="2023-12-31T00:00:00"/>
    <x v="0"/>
    <n v="158"/>
    <x v="1703"/>
    <n v="813.47"/>
    <n v="3"/>
    <x v="0"/>
    <n v="25"/>
    <n v="15.289999999999964"/>
    <n v="1.8987341772151899E-2"/>
    <n v="1.8449249481152522E-2"/>
  </r>
  <r>
    <s v="PO-01714"/>
    <x v="6"/>
    <x v="0"/>
    <x v="531"/>
    <d v="2024-05-20T00:00:00"/>
    <x v="0"/>
    <n v="418"/>
    <x v="1704"/>
    <n v="4426.6000000000004"/>
    <n v="8"/>
    <x v="0"/>
    <n v="28"/>
    <n v="64.619999999999891"/>
    <n v="1.9138755980861243E-2"/>
    <n v="1.4388072728568159E-2"/>
  </r>
  <r>
    <s v="PO-01715"/>
    <x v="5"/>
    <x v="0"/>
    <x v="467"/>
    <s v="Not Yet Delivered"/>
    <x v="1"/>
    <n v="486"/>
    <x v="1705"/>
    <n v="4264.5200000000004"/>
    <n v="2"/>
    <x v="0"/>
    <s v="Not Applicable"/>
    <n v="27.869999999999891"/>
    <n v="4.11522633744856E-3"/>
    <n v="6.4928862475217512E-3"/>
  </r>
  <r>
    <s v="PO-01716"/>
    <x v="2"/>
    <x v="7"/>
    <x v="536"/>
    <d v="2024-06-05T00:00:00"/>
    <x v="0"/>
    <n v="324"/>
    <x v="1706"/>
    <n v="11292.35"/>
    <n v="3"/>
    <x v="0"/>
    <n v="23"/>
    <n v="572.25"/>
    <n v="9.2592592592592587E-3"/>
    <n v="4.8231714512077944E-2"/>
  </r>
  <r>
    <s v="PO-01717"/>
    <x v="6"/>
    <x v="2"/>
    <x v="187"/>
    <d v="2023-08-19T00:00:00"/>
    <x v="0"/>
    <n v="167"/>
    <x v="1707"/>
    <n v="122.67"/>
    <n v="0"/>
    <x v="0"/>
    <n v="22"/>
    <n v="5.230000000000004"/>
    <n v="0"/>
    <n v="4.0891321344800655E-2"/>
  </r>
  <r>
    <s v="PO-01718"/>
    <x v="4"/>
    <x v="0"/>
    <x v="540"/>
    <d v="2023-02-10T00:00:00"/>
    <x v="0"/>
    <n v="59"/>
    <x v="1708"/>
    <n v="3641.85"/>
    <n v="1"/>
    <x v="0"/>
    <n v="22"/>
    <n v="185.01000000000022"/>
    <n v="1.6949152542372881E-2"/>
    <n v="4.8345118452203691E-2"/>
  </r>
  <r>
    <s v="PO-01719"/>
    <x v="0"/>
    <x v="5"/>
    <x v="417"/>
    <d v="2024-06-19T00:00:00"/>
    <x v="0"/>
    <n v="334"/>
    <x v="1709"/>
    <n v="910.14"/>
    <n v="0"/>
    <x v="1"/>
    <n v="25"/>
    <n v="55.980000000000018"/>
    <n v="0"/>
    <n v="5.7943112656812838E-2"/>
  </r>
  <r>
    <s v="PO-01720"/>
    <x v="6"/>
    <x v="8"/>
    <x v="25"/>
    <d v="2023-08-18T00:00:00"/>
    <x v="0"/>
    <n v="331"/>
    <x v="1710"/>
    <n v="8684.31"/>
    <n v="1"/>
    <x v="0"/>
    <n v="10"/>
    <n v="27.890000000001237"/>
    <n v="3.0211480362537764E-3"/>
    <n v="3.2012580060146959E-3"/>
  </r>
  <r>
    <s v="PO-01721"/>
    <x v="3"/>
    <x v="2"/>
    <x v="372"/>
    <d v="2024-07-12T00:00:00"/>
    <x v="0"/>
    <n v="401"/>
    <x v="1711"/>
    <n v="111.18"/>
    <n v="1"/>
    <x v="0"/>
    <n v="29"/>
    <n v="3.9899999999999949"/>
    <n v="2.4937655860349127E-3"/>
    <n v="3.4644438655899931E-2"/>
  </r>
  <r>
    <s v="PO-01722"/>
    <x v="3"/>
    <x v="4"/>
    <x v="117"/>
    <d v="2024-12-09T00:00:00"/>
    <x v="0"/>
    <n v="421"/>
    <x v="1712"/>
    <n v="46154.59"/>
    <n v="6"/>
    <x v="0"/>
    <n v="21"/>
    <n v="2843.9100000000035"/>
    <n v="1.4251781472684086E-2"/>
    <n v="5.8040756349684246E-2"/>
  </r>
  <r>
    <s v="PO-01723"/>
    <x v="3"/>
    <x v="0"/>
    <x v="356"/>
    <d v="2024-05-03T00:00:00"/>
    <x v="3"/>
    <n v="147"/>
    <x v="1713"/>
    <n v="4071.22"/>
    <n v="2"/>
    <x v="0"/>
    <n v="21"/>
    <n v="82.300000000000637"/>
    <n v="1.3605442176870748E-2"/>
    <n v="1.9814518769622064E-2"/>
  </r>
  <r>
    <s v="PO-01724"/>
    <x v="6"/>
    <x v="6"/>
    <x v="266"/>
    <d v="2024-06-18T00:00:00"/>
    <x v="0"/>
    <n v="475"/>
    <x v="1714"/>
    <n v="568.61"/>
    <n v="1"/>
    <x v="0"/>
    <n v="15"/>
    <n v="26.210000000000036"/>
    <n v="2.1052631578947368E-3"/>
    <n v="4.4063750378265751E-2"/>
  </r>
  <r>
    <s v="PO-01725"/>
    <x v="3"/>
    <x v="9"/>
    <x v="550"/>
    <d v="2023-06-10T00:00:00"/>
    <x v="3"/>
    <n v="82"/>
    <x v="1715"/>
    <n v="6138.81"/>
    <n v="1"/>
    <x v="0"/>
    <n v="19"/>
    <n v="362.10999999999967"/>
    <n v="1.2195121951219513E-2"/>
    <n v="5.5701346886286814E-2"/>
  </r>
  <r>
    <s v="PO-01726"/>
    <x v="6"/>
    <x v="3"/>
    <x v="0"/>
    <s v="Not Yet Delivered"/>
    <x v="2"/>
    <n v="68"/>
    <x v="1716"/>
    <n v="12384.97"/>
    <n v="2"/>
    <x v="0"/>
    <s v="Not Applicable"/>
    <n v="506.60000000000036"/>
    <n v="2.9411764705882353E-2"/>
    <n v="3.929699796068286E-2"/>
  </r>
  <r>
    <s v="PO-01727"/>
    <x v="4"/>
    <x v="6"/>
    <x v="514"/>
    <d v="2024-08-29T00:00:00"/>
    <x v="0"/>
    <n v="190"/>
    <x v="1717"/>
    <n v="483.59"/>
    <n v="2"/>
    <x v="0"/>
    <n v="26"/>
    <n v="17.480000000000018"/>
    <n v="1.0526315789473684E-2"/>
    <n v="3.4885345360927654E-2"/>
  </r>
  <r>
    <s v="PO-01728"/>
    <x v="6"/>
    <x v="6"/>
    <x v="659"/>
    <d v="2024-09-15T00:00:00"/>
    <x v="0"/>
    <n v="362"/>
    <x v="1718"/>
    <n v="579.64"/>
    <n v="6"/>
    <x v="0"/>
    <n v="29"/>
    <n v="22.080000000000041"/>
    <n v="1.6574585635359115E-2"/>
    <n v="3.6694808216446252E-2"/>
  </r>
  <r>
    <s v="PO-01729"/>
    <x v="7"/>
    <x v="6"/>
    <x v="286"/>
    <d v="2023-10-16T00:00:00"/>
    <x v="0"/>
    <n v="219"/>
    <x v="1719"/>
    <n v="556.99"/>
    <n v="4"/>
    <x v="0"/>
    <n v="27"/>
    <n v="11.200000000000045"/>
    <n v="1.8264840182648401E-2"/>
    <n v="1.9711716151287501E-2"/>
  </r>
  <r>
    <s v="PO-01730"/>
    <x v="0"/>
    <x v="8"/>
    <x v="537"/>
    <d v="2023-12-27T00:00:00"/>
    <x v="0"/>
    <n v="478"/>
    <x v="1720"/>
    <n v="8544.8700000000008"/>
    <n v="3"/>
    <x v="0"/>
    <n v="7"/>
    <n v="427.86999999999898"/>
    <n v="6.2761506276150627E-3"/>
    <n v="4.7685545329520192E-2"/>
  </r>
  <r>
    <s v="PO-01731"/>
    <x v="0"/>
    <x v="7"/>
    <x v="298"/>
    <s v="Not Yet Delivered"/>
    <x v="2"/>
    <n v="371"/>
    <x v="1721"/>
    <n v="12373.17"/>
    <n v="2"/>
    <x v="0"/>
    <s v="Not Applicable"/>
    <n v="155.35000000000036"/>
    <n v="5.3908355795148251E-3"/>
    <n v="1.2399708824346401E-2"/>
  </r>
  <r>
    <s v="PO-01732"/>
    <x v="2"/>
    <x v="9"/>
    <x v="324"/>
    <d v="2024-10-06T00:00:00"/>
    <x v="3"/>
    <n v="364"/>
    <x v="1722"/>
    <n v="5974.67"/>
    <n v="3"/>
    <x v="0"/>
    <n v="2"/>
    <n v="302"/>
    <n v="8.241758241758242E-3"/>
    <n v="4.81146850160993E-2"/>
  </r>
  <r>
    <s v="PO-01733"/>
    <x v="3"/>
    <x v="11"/>
    <x v="417"/>
    <d v="2024-05-30T00:00:00"/>
    <x v="0"/>
    <n v="416"/>
    <x v="1723"/>
    <n v="14690.72"/>
    <n v="1"/>
    <x v="0"/>
    <n v="5"/>
    <n v="742.68000000000029"/>
    <n v="2.403846153846154E-3"/>
    <n v="4.812160638614954E-2"/>
  </r>
  <r>
    <s v="PO-01734"/>
    <x v="4"/>
    <x v="3"/>
    <x v="663"/>
    <s v="Not Yet Delivered"/>
    <x v="1"/>
    <n v="453"/>
    <x v="1724"/>
    <n v="10469.89"/>
    <n v="2"/>
    <x v="0"/>
    <s v="Not Applicable"/>
    <n v="620.47000000000116"/>
    <n v="4.4150110375275938E-3"/>
    <n v="5.5946786217940726E-2"/>
  </r>
  <r>
    <s v="PO-01735"/>
    <x v="5"/>
    <x v="5"/>
    <x v="382"/>
    <d v="2023-01-26T00:00:00"/>
    <x v="0"/>
    <n v="31"/>
    <x v="1725"/>
    <n v="915.18"/>
    <n v="1"/>
    <x v="0"/>
    <n v="2"/>
    <n v="20.490000000000009"/>
    <n v="3.2258064516129031E-2"/>
    <n v="2.1898746352880832E-2"/>
  </r>
  <r>
    <s v="PO-01736"/>
    <x v="3"/>
    <x v="4"/>
    <x v="598"/>
    <d v="2024-03-16T00:00:00"/>
    <x v="0"/>
    <n v="44"/>
    <x v="1726"/>
    <n v="45774.74"/>
    <n v="0"/>
    <x v="1"/>
    <n v="5"/>
    <n v="2092.5200000000041"/>
    <n v="0"/>
    <n v="4.371505701391732E-2"/>
  </r>
  <r>
    <s v="PO-01737"/>
    <x v="1"/>
    <x v="3"/>
    <x v="664"/>
    <d v="2023-07-24T00:00:00"/>
    <x v="0"/>
    <n v="78"/>
    <x v="1727"/>
    <n v="11766.19"/>
    <n v="1"/>
    <x v="1"/>
    <n v="9"/>
    <n v="137.61999999999898"/>
    <n v="1.282051282051282E-2"/>
    <n v="1.1561004417913171E-2"/>
  </r>
  <r>
    <s v="PO-01738"/>
    <x v="1"/>
    <x v="0"/>
    <x v="100"/>
    <d v="2023-08-19T00:00:00"/>
    <x v="0"/>
    <n v="277"/>
    <x v="1728"/>
    <n v="3534.47"/>
    <n v="1"/>
    <x v="0"/>
    <n v="4"/>
    <n v="180.87000000000035"/>
    <n v="3.6101083032490976E-3"/>
    <n v="4.8681951046203133E-2"/>
  </r>
  <r>
    <s v="PO-01739"/>
    <x v="4"/>
    <x v="0"/>
    <x v="3"/>
    <d v="2024-08-04T00:00:00"/>
    <x v="3"/>
    <n v="360"/>
    <x v="1729"/>
    <n v="3772.51"/>
    <n v="0"/>
    <x v="0"/>
    <n v="15"/>
    <n v="219.39999999999964"/>
    <n v="0"/>
    <n v="5.4961158943964077E-2"/>
  </r>
  <r>
    <s v="PO-01740"/>
    <x v="5"/>
    <x v="0"/>
    <x v="399"/>
    <d v="2024-06-05T00:00:00"/>
    <x v="0"/>
    <n v="261"/>
    <x v="1730"/>
    <n v="3743.31"/>
    <n v="0"/>
    <x v="0"/>
    <n v="8"/>
    <n v="211.17000000000007"/>
    <n v="0"/>
    <n v="5.3400194210111079E-2"/>
  </r>
  <r>
    <s v="PO-01741"/>
    <x v="3"/>
    <x v="10"/>
    <x v="149"/>
    <d v="2024-09-05T00:00:00"/>
    <x v="0"/>
    <n v="437"/>
    <x v="1731"/>
    <n v="50227.14"/>
    <n v="2"/>
    <x v="1"/>
    <n v="29"/>
    <n v="1954.989999999998"/>
    <n v="4.5766590389016018E-3"/>
    <n v="3.7464741282120871E-2"/>
  </r>
  <r>
    <s v="PO-01742"/>
    <x v="0"/>
    <x v="0"/>
    <x v="98"/>
    <d v="2023-02-13T00:00:00"/>
    <x v="0"/>
    <n v="92"/>
    <x v="1732"/>
    <n v="4392.04"/>
    <n v="0"/>
    <x v="0"/>
    <n v="10"/>
    <n v="230.47000000000025"/>
    <n v="0"/>
    <n v="4.9858193924945594E-2"/>
  </r>
  <r>
    <s v="PO-01743"/>
    <x v="4"/>
    <x v="5"/>
    <x v="77"/>
    <d v="2024-02-25T00:00:00"/>
    <x v="0"/>
    <n v="328"/>
    <x v="1733"/>
    <n v="814"/>
    <n v="3"/>
    <x v="0"/>
    <n v="19"/>
    <n v="44.549999999999955"/>
    <n v="9.1463414634146336E-3"/>
    <n v="5.1889814221652737E-2"/>
  </r>
  <r>
    <s v="PO-01744"/>
    <x v="4"/>
    <x v="8"/>
    <x v="416"/>
    <d v="2025-01-07T00:00:00"/>
    <x v="0"/>
    <n v="65"/>
    <x v="1734"/>
    <n v="7450.47"/>
    <n v="0"/>
    <x v="0"/>
    <n v="13"/>
    <n v="28.779999999999745"/>
    <n v="0"/>
    <n v="3.8479794097001363E-3"/>
  </r>
  <r>
    <s v="PO-01745"/>
    <x v="7"/>
    <x v="0"/>
    <x v="573"/>
    <d v="2024-07-30T00:00:00"/>
    <x v="0"/>
    <n v="30"/>
    <x v="1735"/>
    <n v="4113.33"/>
    <n v="0"/>
    <x v="0"/>
    <n v="30"/>
    <n v="200.39999999999964"/>
    <n v="0"/>
    <n v="4.6456315068397806E-2"/>
  </r>
  <r>
    <s v="PO-01746"/>
    <x v="4"/>
    <x v="11"/>
    <x v="395"/>
    <d v="2025-01-20T00:00:00"/>
    <x v="3"/>
    <n v="327"/>
    <x v="1736"/>
    <n v="12701.48"/>
    <n v="7"/>
    <x v="0"/>
    <n v="30"/>
    <n v="588.80000000000109"/>
    <n v="2.1406727828746176E-2"/>
    <n v="4.4303054563184605E-2"/>
  </r>
  <r>
    <s v="PO-01747"/>
    <x v="7"/>
    <x v="6"/>
    <x v="158"/>
    <d v="2023-01-28T00:00:00"/>
    <x v="0"/>
    <n v="362"/>
    <x v="1737"/>
    <n v="501.71"/>
    <n v="5"/>
    <x v="0"/>
    <n v="18"/>
    <n v="17.410000000000025"/>
    <n v="1.3812154696132596E-2"/>
    <n v="3.353752504237946E-2"/>
  </r>
  <r>
    <s v="PO-01748"/>
    <x v="2"/>
    <x v="0"/>
    <x v="303"/>
    <d v="2023-05-27T00:00:00"/>
    <x v="0"/>
    <n v="434"/>
    <x v="1738"/>
    <n v="3984.42"/>
    <n v="5"/>
    <x v="0"/>
    <n v="11"/>
    <n v="246.5"/>
    <n v="1.1520737327188941E-2"/>
    <n v="5.8261560133493422E-2"/>
  </r>
  <r>
    <s v="PO-01749"/>
    <x v="3"/>
    <x v="7"/>
    <x v="503"/>
    <d v="2024-05-22T00:00:00"/>
    <x v="0"/>
    <n v="193"/>
    <x v="1739"/>
    <n v="12723.28"/>
    <n v="1"/>
    <x v="0"/>
    <n v="26"/>
    <n v="224.10999999999876"/>
    <n v="5.1813471502590676E-3"/>
    <n v="1.730928009428918E-2"/>
  </r>
  <r>
    <s v="PO-01750"/>
    <x v="3"/>
    <x v="4"/>
    <x v="219"/>
    <d v="2024-08-01T00:00:00"/>
    <x v="0"/>
    <n v="74"/>
    <x v="1740"/>
    <n v="48479.53"/>
    <n v="1"/>
    <x v="0"/>
    <n v="30"/>
    <n v="1048.239999999998"/>
    <n v="1.3513513513513514E-2"/>
    <n v="2.1164692050540494E-2"/>
  </r>
  <r>
    <s v="PO-01751"/>
    <x v="6"/>
    <x v="10"/>
    <x v="495"/>
    <d v="2023-03-08T00:00:00"/>
    <x v="0"/>
    <n v="122"/>
    <x v="1741"/>
    <n v="55024.84"/>
    <n v="0"/>
    <x v="0"/>
    <n v="14"/>
    <n v="2357.7000000000044"/>
    <n v="0"/>
    <n v="4.1087410909311513E-2"/>
  </r>
  <r>
    <s v="PO-01752"/>
    <x v="0"/>
    <x v="3"/>
    <x v="659"/>
    <d v="2024-08-22T00:00:00"/>
    <x v="0"/>
    <n v="54"/>
    <x v="1742"/>
    <n v="12441.89"/>
    <n v="2"/>
    <x v="0"/>
    <n v="5"/>
    <n v="505.06000000000131"/>
    <n v="3.7037037037037035E-2"/>
    <n v="3.9009959874719627E-2"/>
  </r>
  <r>
    <s v="PO-01753"/>
    <x v="5"/>
    <x v="8"/>
    <x v="277"/>
    <d v="2023-12-06T00:00:00"/>
    <x v="0"/>
    <n v="308"/>
    <x v="1743"/>
    <n v="8542.86"/>
    <n v="2"/>
    <x v="0"/>
    <n v="25"/>
    <n v="230.23999999999978"/>
    <n v="6.4935064935064939E-3"/>
    <n v="2.6243859069200143E-2"/>
  </r>
  <r>
    <s v="PO-01754"/>
    <x v="3"/>
    <x v="10"/>
    <x v="522"/>
    <d v="2024-08-16T00:00:00"/>
    <x v="0"/>
    <n v="427"/>
    <x v="1744"/>
    <n v="50143.59"/>
    <n v="4"/>
    <x v="0"/>
    <n v="2"/>
    <n v="705.17000000000553"/>
    <n v="9.3676814988290398E-3"/>
    <n v="1.3867988127930858E-2"/>
  </r>
  <r>
    <s v="PO-01755"/>
    <x v="6"/>
    <x v="11"/>
    <x v="502"/>
    <d v="2024-01-30T00:00:00"/>
    <x v="0"/>
    <n v="317"/>
    <x v="1745"/>
    <n v="15263.64"/>
    <n v="4"/>
    <x v="0"/>
    <n v="14"/>
    <n v="168.42000000000007"/>
    <n v="1.2618296529968454E-2"/>
    <n v="1.0913643415072264E-2"/>
  </r>
  <r>
    <s v="PO-01756"/>
    <x v="1"/>
    <x v="0"/>
    <x v="357"/>
    <s v="Not Yet Delivered"/>
    <x v="1"/>
    <n v="289"/>
    <x v="1746"/>
    <n v="3800.78"/>
    <n v="2"/>
    <x v="0"/>
    <s v="Not Applicable"/>
    <n v="141.63999999999987"/>
    <n v="6.920415224913495E-3"/>
    <n v="3.5927171635695809E-2"/>
  </r>
  <r>
    <s v="PO-01757"/>
    <x v="2"/>
    <x v="9"/>
    <x v="665"/>
    <d v="2024-08-28T00:00:00"/>
    <x v="0"/>
    <n v="225"/>
    <x v="1747"/>
    <n v="6286.18"/>
    <n v="2"/>
    <x v="0"/>
    <n v="18"/>
    <n v="278.97999999999956"/>
    <n v="8.8888888888888889E-3"/>
    <n v="4.2494013854955485E-2"/>
  </r>
  <r>
    <s v="PO-01758"/>
    <x v="3"/>
    <x v="5"/>
    <x v="633"/>
    <s v="Not Yet Delivered"/>
    <x v="1"/>
    <n v="280"/>
    <x v="1748"/>
    <n v="954.79"/>
    <n v="2"/>
    <x v="0"/>
    <s v="Not Applicable"/>
    <n v="3.5099999999999909"/>
    <n v="7.1428571428571426E-3"/>
    <n v="3.6627360951685182E-3"/>
  </r>
  <r>
    <s v="PO-01759"/>
    <x v="0"/>
    <x v="2"/>
    <x v="306"/>
    <d v="2023-12-26T00:00:00"/>
    <x v="0"/>
    <n v="380"/>
    <x v="1749"/>
    <n v="124.3"/>
    <n v="4"/>
    <x v="0"/>
    <n v="20"/>
    <n v="7.8200000000000074"/>
    <n v="1.0526315789473684E-2"/>
    <n v="5.9188616409324907E-2"/>
  </r>
  <r>
    <s v="PO-01760"/>
    <x v="0"/>
    <x v="1"/>
    <x v="52"/>
    <d v="2023-01-15T00:00:00"/>
    <x v="0"/>
    <n v="126"/>
    <x v="1750"/>
    <n v="5755.31"/>
    <n v="2"/>
    <x v="0"/>
    <n v="7"/>
    <n v="7.2299999999995634"/>
    <n v="1.5873015873015872E-2"/>
    <n v="1.2546550653009894E-3"/>
  </r>
  <r>
    <s v="PO-01761"/>
    <x v="2"/>
    <x v="7"/>
    <x v="617"/>
    <d v="2024-04-28T00:00:00"/>
    <x v="3"/>
    <n v="19"/>
    <x v="1751"/>
    <n v="10507"/>
    <n v="0"/>
    <x v="0"/>
    <n v="21"/>
    <n v="537.26000000000022"/>
    <n v="0"/>
    <n v="4.8646084029169923E-2"/>
  </r>
  <r>
    <s v="PO-01762"/>
    <x v="4"/>
    <x v="3"/>
    <x v="651"/>
    <s v="Not Yet Delivered"/>
    <x v="2"/>
    <n v="219"/>
    <x v="1752"/>
    <n v="10984.59"/>
    <n v="2"/>
    <x v="0"/>
    <s v="Not Applicable"/>
    <n v="262.77000000000044"/>
    <n v="9.1324200913242004E-3"/>
    <n v="2.3362815807442851E-2"/>
  </r>
  <r>
    <s v="PO-01763"/>
    <x v="3"/>
    <x v="7"/>
    <x v="633"/>
    <d v="2023-10-30T00:00:00"/>
    <x v="0"/>
    <n v="263"/>
    <x v="1753"/>
    <n v="11342.61"/>
    <n v="3"/>
    <x v="0"/>
    <n v="21"/>
    <n v="351.53999999999905"/>
    <n v="1.1406844106463879E-2"/>
    <n v="3.0061184438372954E-2"/>
  </r>
  <r>
    <s v="PO-01764"/>
    <x v="1"/>
    <x v="11"/>
    <x v="155"/>
    <s v="Not Yet Delivered"/>
    <x v="1"/>
    <n v="482"/>
    <x v="1754"/>
    <n v="12166.77"/>
    <n v="2"/>
    <x v="0"/>
    <s v="Not Applicable"/>
    <n v="776.13999999999942"/>
    <n v="4.1493775933609959E-3"/>
    <n v="5.9966421770683676E-2"/>
  </r>
  <r>
    <s v="PO-01765"/>
    <x v="2"/>
    <x v="4"/>
    <x v="415"/>
    <d v="2024-10-30T00:00:00"/>
    <x v="0"/>
    <n v="202"/>
    <x v="1755"/>
    <n v="44385.64"/>
    <n v="7"/>
    <x v="0"/>
    <n v="5"/>
    <n v="2372.8400000000038"/>
    <n v="3.4653465346534656E-2"/>
    <n v="5.0746730860370216E-2"/>
  </r>
  <r>
    <s v="PO-01766"/>
    <x v="1"/>
    <x v="7"/>
    <x v="666"/>
    <d v="2024-02-01T00:00:00"/>
    <x v="0"/>
    <n v="293"/>
    <x v="1756"/>
    <n v="11154"/>
    <n v="7"/>
    <x v="0"/>
    <n v="2"/>
    <n v="175.30999999999949"/>
    <n v="2.3890784982935155E-2"/>
    <n v="1.5474022689819547E-2"/>
  </r>
  <r>
    <s v="PO-01767"/>
    <x v="4"/>
    <x v="6"/>
    <x v="255"/>
    <d v="2024-03-29T00:00:00"/>
    <x v="3"/>
    <n v="8"/>
    <x v="1757"/>
    <n v="525.07000000000005"/>
    <n v="0"/>
    <x v="0"/>
    <n v="16"/>
    <n v="4.8700000000000045"/>
    <n v="0"/>
    <n v="9.1897195908970906E-3"/>
  </r>
  <r>
    <s v="PO-01768"/>
    <x v="2"/>
    <x v="7"/>
    <x v="667"/>
    <d v="2024-02-14T00:00:00"/>
    <x v="0"/>
    <n v="360"/>
    <x v="1758"/>
    <n v="10731.1"/>
    <n v="3"/>
    <x v="0"/>
    <n v="10"/>
    <n v="413.32999999999993"/>
    <n v="8.3333333333333332E-3"/>
    <n v="3.708848276672741E-2"/>
  </r>
  <r>
    <s v="PO-01769"/>
    <x v="3"/>
    <x v="4"/>
    <x v="548"/>
    <d v="2023-08-08T00:00:00"/>
    <x v="0"/>
    <n v="161"/>
    <x v="1759"/>
    <n v="46824.2"/>
    <n v="2"/>
    <x v="0"/>
    <n v="12"/>
    <n v="2385.8100000000049"/>
    <n v="1.2422360248447204E-2"/>
    <n v="4.8482209209061426E-2"/>
  </r>
  <r>
    <s v="PO-01770"/>
    <x v="1"/>
    <x v="1"/>
    <x v="282"/>
    <s v="Not Yet Delivered"/>
    <x v="2"/>
    <n v="11"/>
    <x v="1760"/>
    <n v="4798.53"/>
    <n v="2"/>
    <x v="0"/>
    <s v="Not Applicable"/>
    <n v="188.61000000000058"/>
    <n v="0.18181818181818182"/>
    <n v="3.7819271165437617E-2"/>
  </r>
  <r>
    <s v="PO-01771"/>
    <x v="0"/>
    <x v="11"/>
    <x v="668"/>
    <d v="2024-01-29T00:00:00"/>
    <x v="0"/>
    <n v="106"/>
    <x v="1761"/>
    <n v="14598.73"/>
    <n v="1"/>
    <x v="0"/>
    <n v="3"/>
    <n v="20.850000000000364"/>
    <n v="9.433962264150943E-3"/>
    <n v="1.4261695616426986E-3"/>
  </r>
  <r>
    <s v="PO-01772"/>
    <x v="4"/>
    <x v="4"/>
    <x v="293"/>
    <d v="2023-06-16T00:00:00"/>
    <x v="0"/>
    <n v="327"/>
    <x v="1762"/>
    <n v="40179.03"/>
    <n v="4"/>
    <x v="0"/>
    <n v="30"/>
    <n v="1417.989999999998"/>
    <n v="1.2232415902140673E-2"/>
    <n v="3.4088740010702646E-2"/>
  </r>
  <r>
    <s v="PO-01773"/>
    <x v="3"/>
    <x v="7"/>
    <x v="550"/>
    <d v="2023-06-02T00:00:00"/>
    <x v="0"/>
    <n v="252"/>
    <x v="1763"/>
    <n v="10961.53"/>
    <n v="0"/>
    <x v="0"/>
    <n v="11"/>
    <n v="576.6299999999992"/>
    <n v="0"/>
    <n v="4.9975906037011034E-2"/>
  </r>
  <r>
    <s v="PO-01774"/>
    <x v="0"/>
    <x v="8"/>
    <x v="415"/>
    <s v="Not Yet Delivered"/>
    <x v="2"/>
    <n v="356"/>
    <x v="1764"/>
    <n v="9173.16"/>
    <n v="2"/>
    <x v="0"/>
    <s v="Not Applicable"/>
    <n v="265.04000000000087"/>
    <n v="5.6179775280898875E-3"/>
    <n v="2.8081625733720503E-2"/>
  </r>
  <r>
    <s v="PO-01775"/>
    <x v="6"/>
    <x v="2"/>
    <x v="192"/>
    <d v="2023-09-14T00:00:00"/>
    <x v="3"/>
    <n v="389"/>
    <x v="1765"/>
    <n v="126.93"/>
    <n v="3"/>
    <x v="0"/>
    <n v="3"/>
    <n v="8.0099999999999909"/>
    <n v="7.7120822622107968E-3"/>
    <n v="5.9359715429079522E-2"/>
  </r>
  <r>
    <s v="PO-01776"/>
    <x v="3"/>
    <x v="3"/>
    <x v="19"/>
    <d v="2023-11-26T00:00:00"/>
    <x v="0"/>
    <n v="354"/>
    <x v="1766"/>
    <n v="11998.02"/>
    <n v="6"/>
    <x v="0"/>
    <n v="26"/>
    <n v="732.89999999999964"/>
    <n v="1.6949152542372881E-2"/>
    <n v="5.7568502511994392E-2"/>
  </r>
  <r>
    <s v="PO-01777"/>
    <x v="2"/>
    <x v="7"/>
    <x v="652"/>
    <s v="Not Yet Delivered"/>
    <x v="2"/>
    <n v="484"/>
    <x v="1767"/>
    <n v="10745.4"/>
    <n v="2"/>
    <x v="0"/>
    <s v="Not Applicable"/>
    <n v="101.93000000000029"/>
    <n v="4.1322314049586778E-3"/>
    <n v="9.3967824340183519E-3"/>
  </r>
  <r>
    <s v="PO-01778"/>
    <x v="4"/>
    <x v="2"/>
    <x v="645"/>
    <d v="2024-01-20T00:00:00"/>
    <x v="0"/>
    <n v="180"/>
    <x v="1768"/>
    <n v="109.77"/>
    <n v="1"/>
    <x v="0"/>
    <n v="25"/>
    <n v="5.9000000000000057"/>
    <n v="5.5555555555555558E-3"/>
    <n v="5.1007175585718038E-2"/>
  </r>
  <r>
    <s v="PO-01779"/>
    <x v="4"/>
    <x v="7"/>
    <x v="45"/>
    <d v="2023-04-12T00:00:00"/>
    <x v="0"/>
    <n v="100"/>
    <x v="1769"/>
    <n v="11067.35"/>
    <n v="1"/>
    <x v="0"/>
    <n v="28"/>
    <n v="350.86999999999898"/>
    <n v="0.01"/>
    <n v="3.0728957753485133E-2"/>
  </r>
  <r>
    <s v="PO-01780"/>
    <x v="0"/>
    <x v="0"/>
    <x v="403"/>
    <d v="2023-06-17T00:00:00"/>
    <x v="0"/>
    <n v="190"/>
    <x v="1770"/>
    <n v="4339.18"/>
    <n v="3"/>
    <x v="0"/>
    <n v="7"/>
    <n v="194.59000000000015"/>
    <n v="1.5789473684210527E-2"/>
    <n v="4.292013048743102E-2"/>
  </r>
  <r>
    <s v="PO-01781"/>
    <x v="5"/>
    <x v="1"/>
    <x v="405"/>
    <d v="2023-12-31T00:00:00"/>
    <x v="0"/>
    <n v="263"/>
    <x v="1771"/>
    <n v="4803.33"/>
    <n v="3"/>
    <x v="0"/>
    <n v="26"/>
    <n v="179.19000000000051"/>
    <n v="1.1406844106463879E-2"/>
    <n v="3.5963729197273767E-2"/>
  </r>
  <r>
    <s v="PO-01782"/>
    <x v="0"/>
    <x v="0"/>
    <x v="113"/>
    <s v="Not Yet Delivered"/>
    <x v="2"/>
    <n v="63"/>
    <x v="1772"/>
    <n v="4219.32"/>
    <n v="2"/>
    <x v="0"/>
    <s v="Not Applicable"/>
    <n v="249.65000000000055"/>
    <n v="3.1746031746031744E-2"/>
    <n v="5.5862984088056206E-2"/>
  </r>
  <r>
    <s v="PO-01783"/>
    <x v="1"/>
    <x v="10"/>
    <x v="669"/>
    <d v="2023-08-27T00:00:00"/>
    <x v="0"/>
    <n v="475"/>
    <x v="1773"/>
    <n v="45971.67"/>
    <n v="3"/>
    <x v="0"/>
    <n v="9"/>
    <n v="368.37000000000262"/>
    <n v="6.3157894736842104E-3"/>
    <n v="7.9492810105473068E-3"/>
  </r>
  <r>
    <s v="PO-01784"/>
    <x v="4"/>
    <x v="9"/>
    <x v="329"/>
    <d v="2023-11-25T00:00:00"/>
    <x v="3"/>
    <n v="178"/>
    <x v="1774"/>
    <n v="5567.2"/>
    <n v="0"/>
    <x v="1"/>
    <n v="21"/>
    <n v="167.11999999999989"/>
    <n v="0"/>
    <n v="2.9143821760906245E-2"/>
  </r>
  <r>
    <s v="PO-01785"/>
    <x v="3"/>
    <x v="3"/>
    <x v="670"/>
    <d v="2023-07-31T00:00:00"/>
    <x v="0"/>
    <n v="159"/>
    <x v="1775"/>
    <n v="12263.67"/>
    <n v="2"/>
    <x v="0"/>
    <n v="18"/>
    <n v="587.6200000000008"/>
    <n v="1.2578616352201259E-2"/>
    <n v="4.572459262844436E-2"/>
  </r>
  <r>
    <s v="PO-01786"/>
    <x v="2"/>
    <x v="1"/>
    <x v="201"/>
    <d v="2024-07-16T00:00:00"/>
    <x v="0"/>
    <n v="8"/>
    <x v="1776"/>
    <n v="5042.51"/>
    <n v="0"/>
    <x v="0"/>
    <n v="9"/>
    <n v="71"/>
    <n v="0"/>
    <n v="1.3884787552972419E-2"/>
  </r>
  <r>
    <s v="PO-01787"/>
    <x v="6"/>
    <x v="0"/>
    <x v="346"/>
    <d v="2023-08-03T00:00:00"/>
    <x v="3"/>
    <n v="469"/>
    <x v="1777"/>
    <n v="4699.42"/>
    <n v="3"/>
    <x v="0"/>
    <n v="22"/>
    <n v="59.710000000000036"/>
    <n v="6.3965884861407248E-3"/>
    <n v="1.2546410793569419E-2"/>
  </r>
  <r>
    <s v="PO-01788"/>
    <x v="1"/>
    <x v="4"/>
    <x v="329"/>
    <d v="2023-11-14T00:00:00"/>
    <x v="0"/>
    <n v="458"/>
    <x v="1778"/>
    <n v="45245.39"/>
    <n v="1"/>
    <x v="0"/>
    <n v="10"/>
    <n v="126.38999999999942"/>
    <n v="2.1834061135371178E-3"/>
    <n v="2.7856522270009996E-3"/>
  </r>
  <r>
    <s v="PO-01789"/>
    <x v="3"/>
    <x v="11"/>
    <x v="345"/>
    <d v="2023-04-25T00:00:00"/>
    <x v="0"/>
    <n v="195"/>
    <x v="1779"/>
    <n v="14563.91"/>
    <n v="1"/>
    <x v="0"/>
    <n v="9"/>
    <n v="853.56999999999971"/>
    <n v="5.1282051282051282E-3"/>
    <n v="5.5363781889128424E-2"/>
  </r>
  <r>
    <s v="PO-01790"/>
    <x v="4"/>
    <x v="2"/>
    <x v="148"/>
    <d v="2023-05-13T00:00:00"/>
    <x v="0"/>
    <n v="369"/>
    <x v="1780"/>
    <n v="110.43"/>
    <n v="11"/>
    <x v="0"/>
    <n v="14"/>
    <n v="4.0699999999999932"/>
    <n v="2.9810298102981029E-2"/>
    <n v="3.5545851528384222E-2"/>
  </r>
  <r>
    <s v="PO-01791"/>
    <x v="1"/>
    <x v="3"/>
    <x v="430"/>
    <d v="2023-03-06T00:00:00"/>
    <x v="0"/>
    <n v="98"/>
    <x v="1781"/>
    <n v="11867.66"/>
    <n v="2"/>
    <x v="0"/>
    <n v="19"/>
    <n v="111.88999999999942"/>
    <n v="2.0408163265306121E-2"/>
    <n v="9.340083726016371E-3"/>
  </r>
  <r>
    <s v="PO-01792"/>
    <x v="2"/>
    <x v="1"/>
    <x v="671"/>
    <d v="2023-03-14T00:00:00"/>
    <x v="0"/>
    <n v="157"/>
    <x v="1782"/>
    <n v="4781.6899999999996"/>
    <n v="0"/>
    <x v="0"/>
    <n v="18"/>
    <n v="293.96000000000004"/>
    <n v="0"/>
    <n v="5.7915734930501526E-2"/>
  </r>
  <r>
    <s v="PO-01793"/>
    <x v="1"/>
    <x v="4"/>
    <x v="351"/>
    <s v="Not Yet Delivered"/>
    <x v="2"/>
    <n v="237"/>
    <x v="1783"/>
    <n v="45948.42"/>
    <n v="2"/>
    <x v="0"/>
    <s v="Not Applicable"/>
    <n v="1823.1399999999994"/>
    <n v="8.4388185654008432E-3"/>
    <n v="3.8163710793618619E-2"/>
  </r>
  <r>
    <s v="PO-01794"/>
    <x v="0"/>
    <x v="6"/>
    <x v="269"/>
    <d v="2023-05-01T00:00:00"/>
    <x v="0"/>
    <n v="67"/>
    <x v="1784"/>
    <n v="560.95000000000005"/>
    <n v="2"/>
    <x v="0"/>
    <n v="7"/>
    <n v="0.51999999999998181"/>
    <n v="2.9850746268656716E-2"/>
    <n v="9.2614031025697147E-4"/>
  </r>
  <r>
    <s v="PO-01795"/>
    <x v="5"/>
    <x v="4"/>
    <x v="428"/>
    <d v="2024-02-04T00:00:00"/>
    <x v="0"/>
    <n v="68"/>
    <x v="1785"/>
    <n v="50394.2"/>
    <n v="0"/>
    <x v="0"/>
    <n v="11"/>
    <n v="24.810000000004948"/>
    <n v="0"/>
    <n v="4.920763021726319E-4"/>
  </r>
  <r>
    <s v="PO-01796"/>
    <x v="2"/>
    <x v="3"/>
    <x v="589"/>
    <d v="2024-11-02T00:00:00"/>
    <x v="0"/>
    <n v="269"/>
    <x v="1786"/>
    <n v="11652.92"/>
    <n v="1"/>
    <x v="0"/>
    <n v="3"/>
    <n v="553.90999999999985"/>
    <n v="3.7174721189591076E-3"/>
    <n v="4.5377055304284555E-2"/>
  </r>
  <r>
    <s v="PO-01797"/>
    <x v="3"/>
    <x v="10"/>
    <x v="626"/>
    <d v="2023-03-11T00:00:00"/>
    <x v="3"/>
    <n v="448"/>
    <x v="1787"/>
    <n v="54711.48"/>
    <n v="5"/>
    <x v="0"/>
    <n v="5"/>
    <n v="268.10999999999331"/>
    <n v="1.1160714285714286E-2"/>
    <n v="4.87653691124276E-3"/>
  </r>
  <r>
    <s v="PO-01798"/>
    <x v="7"/>
    <x v="4"/>
    <x v="557"/>
    <d v="2023-10-01T00:00:00"/>
    <x v="0"/>
    <n v="178"/>
    <x v="1788"/>
    <n v="48740.23"/>
    <n v="0"/>
    <x v="0"/>
    <n v="11"/>
    <n v="1225.1499999999942"/>
    <n v="0"/>
    <n v="2.4519977632512638E-2"/>
  </r>
  <r>
    <s v="PO-01799"/>
    <x v="6"/>
    <x v="0"/>
    <x v="660"/>
    <d v="2024-05-27T00:00:00"/>
    <x v="0"/>
    <n v="41"/>
    <x v="1789"/>
    <n v="4413.38"/>
    <n v="0"/>
    <x v="0"/>
    <n v="25"/>
    <n v="91.989999999999782"/>
    <n v="0"/>
    <n v="2.0417856912972692E-2"/>
  </r>
  <r>
    <s v="PO-01800"/>
    <x v="3"/>
    <x v="7"/>
    <x v="672"/>
    <s v="Not Yet Delivered"/>
    <x v="1"/>
    <n v="165"/>
    <x v="1790"/>
    <n v="11490.55"/>
    <n v="2"/>
    <x v="0"/>
    <s v="Not Applicable"/>
    <n v="318.19000000000051"/>
    <n v="1.2121212121212121E-2"/>
    <n v="2.6945296449917645E-2"/>
  </r>
  <r>
    <s v="PO-01801"/>
    <x v="5"/>
    <x v="4"/>
    <x v="253"/>
    <d v="2023-04-13T00:00:00"/>
    <x v="0"/>
    <n v="149"/>
    <x v="1791"/>
    <n v="44132.61"/>
    <n v="3"/>
    <x v="0"/>
    <n v="3"/>
    <n v="1060.7699999999968"/>
    <n v="2.0134228187919462E-2"/>
    <n v="2.34718005159162E-2"/>
  </r>
  <r>
    <s v="PO-01802"/>
    <x v="0"/>
    <x v="7"/>
    <x v="410"/>
    <s v="Not Yet Delivered"/>
    <x v="1"/>
    <n v="134"/>
    <x v="1792"/>
    <n v="12351.79"/>
    <n v="2"/>
    <x v="0"/>
    <s v="Not Applicable"/>
    <n v="621.52999999999884"/>
    <n v="1.4925373134328358E-2"/>
    <n v="4.790832261903652E-2"/>
  </r>
  <r>
    <s v="PO-01803"/>
    <x v="5"/>
    <x v="4"/>
    <x v="611"/>
    <d v="2024-04-28T00:00:00"/>
    <x v="0"/>
    <n v="444"/>
    <x v="1793"/>
    <n v="44878.07"/>
    <n v="7"/>
    <x v="0"/>
    <n v="28"/>
    <n v="993.7300000000032"/>
    <n v="1.5765765765765764E-2"/>
    <n v="2.1663200484829528E-2"/>
  </r>
  <r>
    <s v="PO-01804"/>
    <x v="7"/>
    <x v="9"/>
    <x v="673"/>
    <d v="2024-08-10T00:00:00"/>
    <x v="0"/>
    <n v="342"/>
    <x v="1794"/>
    <n v="6116.26"/>
    <n v="3"/>
    <x v="0"/>
    <n v="6"/>
    <n v="171.14999999999964"/>
    <n v="8.771929824561403E-3"/>
    <n v="2.7221065589805603E-2"/>
  </r>
  <r>
    <s v="PO-01805"/>
    <x v="3"/>
    <x v="8"/>
    <x v="576"/>
    <d v="2024-05-27T00:00:00"/>
    <x v="0"/>
    <n v="231"/>
    <x v="1795"/>
    <n v="8281.61"/>
    <n v="3"/>
    <x v="0"/>
    <n v="12"/>
    <n v="350.1299999999992"/>
    <n v="1.2987012987012988E-2"/>
    <n v="4.0563084615616224E-2"/>
  </r>
  <r>
    <s v="PO-01806"/>
    <x v="2"/>
    <x v="5"/>
    <x v="20"/>
    <d v="2023-03-24T00:00:00"/>
    <x v="0"/>
    <n v="41"/>
    <x v="1796"/>
    <n v="820.94"/>
    <n v="0"/>
    <x v="0"/>
    <n v="29"/>
    <n v="41.699999999999932"/>
    <n v="0"/>
    <n v="4.8339979597514529E-2"/>
  </r>
  <r>
    <s v="PO-01807"/>
    <x v="5"/>
    <x v="0"/>
    <x v="674"/>
    <d v="2024-06-09T00:00:00"/>
    <x v="0"/>
    <n v="392"/>
    <x v="1797"/>
    <n v="4212.3999999999996"/>
    <n v="5"/>
    <x v="0"/>
    <n v="30"/>
    <n v="187.86000000000058"/>
    <n v="1.2755102040816327E-2"/>
    <n v="4.2692931781303962E-2"/>
  </r>
  <r>
    <s v="PO-01808"/>
    <x v="0"/>
    <x v="6"/>
    <x v="409"/>
    <d v="2023-10-16T00:00:00"/>
    <x v="0"/>
    <n v="359"/>
    <x v="1798"/>
    <n v="537.87"/>
    <n v="4"/>
    <x v="0"/>
    <n v="8"/>
    <n v="7.57000000000005"/>
    <n v="1.1142061281337047E-2"/>
    <n v="1.3878703432091613E-2"/>
  </r>
  <r>
    <s v="PO-01809"/>
    <x v="0"/>
    <x v="5"/>
    <x v="176"/>
    <d v="2023-07-11T00:00:00"/>
    <x v="0"/>
    <n v="197"/>
    <x v="1799"/>
    <n v="873.16"/>
    <n v="3"/>
    <x v="0"/>
    <n v="19"/>
    <n v="27.57000000000005"/>
    <n v="1.5228426395939087E-2"/>
    <n v="3.0608506433670524E-2"/>
  </r>
  <r>
    <s v="PO-01810"/>
    <x v="3"/>
    <x v="10"/>
    <x v="196"/>
    <d v="2023-07-28T00:00:00"/>
    <x v="0"/>
    <n v="63"/>
    <x v="1800"/>
    <n v="53776.55"/>
    <n v="2"/>
    <x v="0"/>
    <n v="10"/>
    <n v="2036.4099999999962"/>
    <n v="3.1746031746031744E-2"/>
    <n v="3.6486328623316092E-2"/>
  </r>
  <r>
    <s v="PO-01811"/>
    <x v="5"/>
    <x v="7"/>
    <x v="21"/>
    <d v="2023-06-19T00:00:00"/>
    <x v="0"/>
    <n v="114"/>
    <x v="1801"/>
    <n v="12083.86"/>
    <n v="0"/>
    <x v="1"/>
    <n v="17"/>
    <n v="513.46999999999935"/>
    <n v="0"/>
    <n v="4.0760224587273602E-2"/>
  </r>
  <r>
    <s v="PO-01812"/>
    <x v="5"/>
    <x v="0"/>
    <x v="321"/>
    <s v="Not Yet Delivered"/>
    <x v="2"/>
    <n v="319"/>
    <x v="1802"/>
    <n v="3857.05"/>
    <n v="2"/>
    <x v="0"/>
    <s v="Not Applicable"/>
    <n v="171.77999999999975"/>
    <n v="6.269592476489028E-3"/>
    <n v="4.2637688857559079E-2"/>
  </r>
  <r>
    <s v="PO-01813"/>
    <x v="3"/>
    <x v="3"/>
    <x v="425"/>
    <d v="2023-04-14T00:00:00"/>
    <x v="0"/>
    <n v="476"/>
    <x v="1803"/>
    <n v="11592.86"/>
    <n v="2"/>
    <x v="0"/>
    <n v="28"/>
    <n v="519.43000000000029"/>
    <n v="4.2016806722689074E-3"/>
    <n v="4.2884541238692293E-2"/>
  </r>
  <r>
    <s v="PO-01814"/>
    <x v="1"/>
    <x v="6"/>
    <x v="553"/>
    <s v="Not Yet Delivered"/>
    <x v="2"/>
    <n v="124"/>
    <x v="1804"/>
    <n v="481.55"/>
    <n v="2"/>
    <x v="0"/>
    <s v="Not Applicable"/>
    <n v="29.810000000000002"/>
    <n v="1.6129032258064516E-2"/>
    <n v="5.8295525657071343E-2"/>
  </r>
  <r>
    <s v="PO-01815"/>
    <x v="1"/>
    <x v="11"/>
    <x v="305"/>
    <d v="2024-01-16T00:00:00"/>
    <x v="0"/>
    <n v="175"/>
    <x v="1805"/>
    <n v="12952.84"/>
    <n v="3"/>
    <x v="0"/>
    <n v="10"/>
    <n v="758.42000000000007"/>
    <n v="1.7142857142857144E-2"/>
    <n v="5.5313661909992227E-2"/>
  </r>
  <r>
    <s v="PO-01816"/>
    <x v="7"/>
    <x v="5"/>
    <x v="541"/>
    <d v="2024-06-24T00:00:00"/>
    <x v="0"/>
    <n v="38"/>
    <x v="1806"/>
    <n v="852.36"/>
    <n v="0"/>
    <x v="0"/>
    <n v="12"/>
    <n v="3.5299999999999727"/>
    <n v="0"/>
    <n v="4.1243617754617686E-3"/>
  </r>
  <r>
    <s v="PO-01817"/>
    <x v="2"/>
    <x v="7"/>
    <x v="636"/>
    <d v="2023-03-27T00:00:00"/>
    <x v="0"/>
    <n v="435"/>
    <x v="1807"/>
    <n v="11570.08"/>
    <n v="9"/>
    <x v="0"/>
    <n v="15"/>
    <n v="303.06999999999971"/>
    <n v="2.0689655172413793E-2"/>
    <n v="2.5525660839793966E-2"/>
  </r>
  <r>
    <s v="PO-01818"/>
    <x v="3"/>
    <x v="7"/>
    <x v="663"/>
    <d v="2024-12-16T00:00:00"/>
    <x v="3"/>
    <n v="118"/>
    <x v="1808"/>
    <n v="11502.32"/>
    <n v="2"/>
    <x v="0"/>
    <n v="19"/>
    <n v="536.63999999999942"/>
    <n v="1.6949152542372881E-2"/>
    <n v="4.4575278927747868E-2"/>
  </r>
  <r>
    <s v="PO-01819"/>
    <x v="6"/>
    <x v="5"/>
    <x v="675"/>
    <d v="2024-09-29T00:00:00"/>
    <x v="3"/>
    <n v="19"/>
    <x v="1809"/>
    <n v="955.86"/>
    <n v="0"/>
    <x v="0"/>
    <n v="22"/>
    <n v="12.830000000000041"/>
    <n v="0"/>
    <n v="1.3244691284105379E-2"/>
  </r>
  <r>
    <s v="PO-01820"/>
    <x v="1"/>
    <x v="5"/>
    <x v="644"/>
    <d v="2024-02-01T00:00:00"/>
    <x v="0"/>
    <n v="71"/>
    <x v="1810"/>
    <n v="847.61"/>
    <n v="0"/>
    <x v="0"/>
    <n v="5"/>
    <n v="45.370000000000005"/>
    <n v="0"/>
    <n v="5.0807408900535291E-2"/>
  </r>
  <r>
    <s v="PO-01821"/>
    <x v="2"/>
    <x v="11"/>
    <x v="441"/>
    <s v="Not Yet Delivered"/>
    <x v="2"/>
    <n v="174"/>
    <x v="1811"/>
    <n v="13219.9"/>
    <n v="2"/>
    <x v="0"/>
    <s v="Not Applicable"/>
    <n v="786.61000000000058"/>
    <n v="1.1494252873563218E-2"/>
    <n v="5.6160314025406798E-2"/>
  </r>
  <r>
    <s v="PO-01822"/>
    <x v="4"/>
    <x v="2"/>
    <x v="467"/>
    <d v="2023-06-09T00:00:00"/>
    <x v="0"/>
    <n v="393"/>
    <x v="1812"/>
    <n v="103.75"/>
    <n v="4"/>
    <x v="1"/>
    <n v="27"/>
    <n v="6.0400000000000063"/>
    <n v="1.0178117048346057E-2"/>
    <n v="5.5014117861371767E-2"/>
  </r>
  <r>
    <s v="PO-01823"/>
    <x v="1"/>
    <x v="9"/>
    <x v="296"/>
    <d v="2024-10-12T00:00:00"/>
    <x v="0"/>
    <n v="360"/>
    <x v="1813"/>
    <n v="5854.16"/>
    <n v="1"/>
    <x v="0"/>
    <n v="17"/>
    <n v="360.5"/>
    <n v="2.7777777777777779E-3"/>
    <n v="5.8008000437674789E-2"/>
  </r>
  <r>
    <s v="PO-01824"/>
    <x v="6"/>
    <x v="7"/>
    <x v="676"/>
    <d v="2024-01-04T00:00:00"/>
    <x v="0"/>
    <n v="160"/>
    <x v="1814"/>
    <n v="12527"/>
    <n v="4"/>
    <x v="0"/>
    <n v="17"/>
    <n v="160.55999999999949"/>
    <n v="2.5000000000000001E-2"/>
    <n v="1.2654915523552164E-2"/>
  </r>
  <r>
    <s v="PO-01825"/>
    <x v="3"/>
    <x v="5"/>
    <x v="370"/>
    <s v="Not Yet Delivered"/>
    <x v="2"/>
    <n v="381"/>
    <x v="1815"/>
    <n v="838.54"/>
    <n v="2"/>
    <x v="0"/>
    <s v="Not Applicable"/>
    <n v="41.700000000000045"/>
    <n v="5.2493438320209973E-3"/>
    <n v="4.7373443606289242E-2"/>
  </r>
  <r>
    <s v="PO-01826"/>
    <x v="7"/>
    <x v="10"/>
    <x v="510"/>
    <d v="2023-06-04T00:00:00"/>
    <x v="0"/>
    <n v="289"/>
    <x v="1816"/>
    <n v="51654.83"/>
    <n v="1"/>
    <x v="0"/>
    <n v="7"/>
    <n v="561.29000000000087"/>
    <n v="3.4602076124567475E-3"/>
    <n v="1.074936245741738E-2"/>
  </r>
  <r>
    <s v="PO-01827"/>
    <x v="4"/>
    <x v="9"/>
    <x v="308"/>
    <d v="2023-04-17T00:00:00"/>
    <x v="0"/>
    <n v="92"/>
    <x v="1817"/>
    <n v="5378.74"/>
    <n v="2"/>
    <x v="0"/>
    <n v="16"/>
    <n v="323.88000000000011"/>
    <n v="2.1739130434782608E-2"/>
    <n v="5.6794946884063835E-2"/>
  </r>
  <r>
    <s v="PO-01828"/>
    <x v="5"/>
    <x v="11"/>
    <x v="24"/>
    <s v="Not Yet Delivered"/>
    <x v="2"/>
    <n v="287"/>
    <x v="1818"/>
    <n v="13439.61"/>
    <n v="2"/>
    <x v="0"/>
    <s v="Not Applicable"/>
    <n v="672.93000000000029"/>
    <n v="6.9686411149825784E-3"/>
    <n v="4.7683124370240949E-2"/>
  </r>
  <r>
    <s v="PO-01829"/>
    <x v="6"/>
    <x v="11"/>
    <x v="370"/>
    <d v="2023-05-11T00:00:00"/>
    <x v="0"/>
    <n v="424"/>
    <x v="1819"/>
    <n v="14877.17"/>
    <n v="3"/>
    <x v="0"/>
    <n v="8"/>
    <n v="402.70999999999913"/>
    <n v="7.0754716981132077E-3"/>
    <n v="2.6355573473090046E-2"/>
  </r>
  <r>
    <s v="PO-01830"/>
    <x v="5"/>
    <x v="6"/>
    <x v="485"/>
    <d v="2024-05-19T00:00:00"/>
    <x v="0"/>
    <n v="41"/>
    <x v="1820"/>
    <n v="563.16"/>
    <n v="2"/>
    <x v="0"/>
    <n v="18"/>
    <n v="12.700000000000045"/>
    <n v="4.878048780487805E-2"/>
    <n v="2.2053971451394514E-2"/>
  </r>
  <r>
    <s v="PO-01831"/>
    <x v="7"/>
    <x v="6"/>
    <x v="35"/>
    <d v="2024-04-19T00:00:00"/>
    <x v="0"/>
    <n v="304"/>
    <x v="1821"/>
    <n v="505.04"/>
    <n v="0"/>
    <x v="0"/>
    <n v="28"/>
    <n v="30.680000000000007"/>
    <n v="0"/>
    <n v="5.726872246696036E-2"/>
  </r>
  <r>
    <s v="PO-01832"/>
    <x v="3"/>
    <x v="10"/>
    <x v="670"/>
    <d v="2023-07-16T00:00:00"/>
    <x v="0"/>
    <n v="107"/>
    <x v="1822"/>
    <n v="49612.85"/>
    <n v="2"/>
    <x v="0"/>
    <n v="3"/>
    <n v="1850.5400000000009"/>
    <n v="1.8691588785046728E-2"/>
    <n v="3.5958377401877351E-2"/>
  </r>
  <r>
    <s v="PO-01833"/>
    <x v="2"/>
    <x v="3"/>
    <x v="490"/>
    <d v="2024-04-19T00:00:00"/>
    <x v="0"/>
    <n v="183"/>
    <x v="1823"/>
    <n v="12385.07"/>
    <n v="3"/>
    <x v="0"/>
    <n v="17"/>
    <n v="313.82999999999993"/>
    <n v="1.6393442622950821E-2"/>
    <n v="2.4713164132326416E-2"/>
  </r>
  <r>
    <s v="PO-01834"/>
    <x v="3"/>
    <x v="6"/>
    <x v="120"/>
    <d v="2023-08-27T00:00:00"/>
    <x v="0"/>
    <n v="266"/>
    <x v="1824"/>
    <n v="583.95000000000005"/>
    <n v="3"/>
    <x v="0"/>
    <n v="15"/>
    <n v="4.4699999999999136"/>
    <n v="1.1278195488721804E-2"/>
    <n v="7.5966146629956729E-3"/>
  </r>
  <r>
    <s v="PO-01835"/>
    <x v="3"/>
    <x v="5"/>
    <x v="303"/>
    <d v="2023-06-05T00:00:00"/>
    <x v="0"/>
    <n v="493"/>
    <x v="1825"/>
    <n v="925.75"/>
    <n v="2"/>
    <x v="0"/>
    <n v="20"/>
    <n v="6.4199999999999591"/>
    <n v="4.0567951318458417E-3"/>
    <n v="6.8871557763068528E-3"/>
  </r>
  <r>
    <s v="PO-01836"/>
    <x v="7"/>
    <x v="10"/>
    <x v="503"/>
    <d v="2024-05-02T00:00:00"/>
    <x v="0"/>
    <n v="223"/>
    <x v="1826"/>
    <n v="46742.73"/>
    <n v="4"/>
    <x v="0"/>
    <n v="6"/>
    <n v="2470.1199999999953"/>
    <n v="1.7937219730941704E-2"/>
    <n v="5.0192581815521664E-2"/>
  </r>
  <r>
    <s v="PO-01837"/>
    <x v="5"/>
    <x v="6"/>
    <x v="17"/>
    <d v="2024-09-11T00:00:00"/>
    <x v="0"/>
    <n v="374"/>
    <x v="1827"/>
    <n v="510.4"/>
    <n v="6"/>
    <x v="0"/>
    <n v="10"/>
    <n v="14.810000000000059"/>
    <n v="1.6042780748663103E-2"/>
    <n v="2.8198244511719234E-2"/>
  </r>
  <r>
    <s v="PO-01838"/>
    <x v="3"/>
    <x v="5"/>
    <x v="169"/>
    <d v="2023-09-18T00:00:00"/>
    <x v="0"/>
    <n v="164"/>
    <x v="1828"/>
    <n v="849.53"/>
    <n v="3"/>
    <x v="0"/>
    <n v="8"/>
    <n v="19.509999999999991"/>
    <n v="1.8292682926829267E-2"/>
    <n v="2.2450059836141019E-2"/>
  </r>
  <r>
    <s v="PO-01839"/>
    <x v="0"/>
    <x v="5"/>
    <x v="179"/>
    <d v="2023-09-04T00:00:00"/>
    <x v="0"/>
    <n v="362"/>
    <x v="1829"/>
    <n v="871.52"/>
    <n v="8"/>
    <x v="0"/>
    <n v="24"/>
    <n v="54.039999999999964"/>
    <n v="2.2099447513812154E-2"/>
    <n v="5.838627425558577E-2"/>
  </r>
  <r>
    <s v="PO-01840"/>
    <x v="0"/>
    <x v="3"/>
    <x v="86"/>
    <d v="2024-08-08T00:00:00"/>
    <x v="0"/>
    <n v="33"/>
    <x v="1830"/>
    <n v="13026.35"/>
    <n v="0"/>
    <x v="0"/>
    <n v="11"/>
    <n v="696.07999999999993"/>
    <n v="0"/>
    <n v="5.0725709659295029E-2"/>
  </r>
  <r>
    <s v="PO-01841"/>
    <x v="3"/>
    <x v="5"/>
    <x v="333"/>
    <d v="2024-08-11T00:00:00"/>
    <x v="0"/>
    <n v="149"/>
    <x v="1831"/>
    <n v="854.93"/>
    <n v="2"/>
    <x v="0"/>
    <n v="10"/>
    <n v="52.75"/>
    <n v="1.3422818791946308E-2"/>
    <n v="5.8115194782302135E-2"/>
  </r>
  <r>
    <s v="PO-01842"/>
    <x v="5"/>
    <x v="3"/>
    <x v="22"/>
    <d v="2023-10-23T00:00:00"/>
    <x v="0"/>
    <n v="337"/>
    <x v="1832"/>
    <n v="11403.98"/>
    <n v="2"/>
    <x v="0"/>
    <n v="19"/>
    <n v="513.61000000000058"/>
    <n v="5.9347181008902079E-3"/>
    <n v="4.3096800611533086E-2"/>
  </r>
  <r>
    <s v="PO-01843"/>
    <x v="6"/>
    <x v="6"/>
    <x v="462"/>
    <d v="2023-12-28T00:00:00"/>
    <x v="0"/>
    <n v="435"/>
    <x v="1833"/>
    <n v="543.79"/>
    <n v="9"/>
    <x v="0"/>
    <n v="29"/>
    <n v="24.509999999999991"/>
    <n v="2.0689655172413793E-2"/>
    <n v="4.3128629245117005E-2"/>
  </r>
  <r>
    <s v="PO-01844"/>
    <x v="0"/>
    <x v="4"/>
    <x v="25"/>
    <d v="2023-08-19T00:00:00"/>
    <x v="0"/>
    <n v="477"/>
    <x v="1834"/>
    <n v="50100.52"/>
    <n v="2"/>
    <x v="0"/>
    <n v="11"/>
    <n v="635.19000000000233"/>
    <n v="4.1928721174004195E-3"/>
    <n v="1.2519584332218911E-2"/>
  </r>
  <r>
    <s v="PO-01845"/>
    <x v="0"/>
    <x v="10"/>
    <x v="129"/>
    <d v="2023-08-09T00:00:00"/>
    <x v="0"/>
    <n v="102"/>
    <x v="1835"/>
    <n v="53123.75"/>
    <n v="3"/>
    <x v="0"/>
    <n v="7"/>
    <n v="2028.0500000000029"/>
    <n v="2.9411764705882353E-2"/>
    <n v="3.6772145242766383E-2"/>
  </r>
  <r>
    <s v="PO-01846"/>
    <x v="4"/>
    <x v="5"/>
    <x v="558"/>
    <s v="Not Yet Delivered"/>
    <x v="2"/>
    <n v="36"/>
    <x v="1836"/>
    <n v="829.21"/>
    <n v="2"/>
    <x v="0"/>
    <s v="Not Applicable"/>
    <n v="33.490000000000009"/>
    <n v="5.5555555555555552E-2"/>
    <n v="3.8819983771878994E-2"/>
  </r>
  <r>
    <s v="PO-01847"/>
    <x v="6"/>
    <x v="11"/>
    <x v="519"/>
    <d v="2023-01-24T00:00:00"/>
    <x v="0"/>
    <n v="410"/>
    <x v="1837"/>
    <n v="15604.47"/>
    <n v="7"/>
    <x v="0"/>
    <n v="17"/>
    <n v="460.96000000000095"/>
    <n v="1.7073170731707318E-2"/>
    <n v="2.8692664933338288E-2"/>
  </r>
  <r>
    <s v="PO-01848"/>
    <x v="3"/>
    <x v="8"/>
    <x v="165"/>
    <s v="Not Yet Delivered"/>
    <x v="1"/>
    <n v="133"/>
    <x v="1838"/>
    <n v="8759.89"/>
    <n v="2"/>
    <x v="1"/>
    <s v="Not Applicable"/>
    <n v="136.06999999999971"/>
    <n v="1.5037593984962405E-2"/>
    <n v="1.5295707264870765E-2"/>
  </r>
  <r>
    <s v="PO-01849"/>
    <x v="6"/>
    <x v="5"/>
    <x v="243"/>
    <d v="2023-03-10T00:00:00"/>
    <x v="0"/>
    <n v="210"/>
    <x v="1839"/>
    <n v="929.59"/>
    <n v="2"/>
    <x v="0"/>
    <n v="3"/>
    <n v="45.969999999999914"/>
    <n v="9.5238095238095247E-3"/>
    <n v="4.7121653204313337E-2"/>
  </r>
  <r>
    <s v="PO-01850"/>
    <x v="4"/>
    <x v="3"/>
    <x v="212"/>
    <d v="2023-04-01T00:00:00"/>
    <x v="0"/>
    <n v="190"/>
    <x v="1840"/>
    <n v="10847.4"/>
    <n v="5"/>
    <x v="1"/>
    <n v="2"/>
    <n v="365.11000000000058"/>
    <n v="2.6315789473684209E-2"/>
    <n v="3.2562735730001631E-2"/>
  </r>
  <r>
    <s v="PO-01851"/>
    <x v="6"/>
    <x v="11"/>
    <x v="138"/>
    <d v="2024-08-07T00:00:00"/>
    <x v="3"/>
    <n v="36"/>
    <x v="1841"/>
    <n v="15080.84"/>
    <n v="1"/>
    <x v="0"/>
    <n v="7"/>
    <n v="398.19000000000051"/>
    <n v="2.7777777777777776E-2"/>
    <n v="2.5724480151534074E-2"/>
  </r>
  <r>
    <s v="PO-01852"/>
    <x v="5"/>
    <x v="3"/>
    <x v="428"/>
    <d v="2024-02-01T00:00:00"/>
    <x v="0"/>
    <n v="412"/>
    <x v="1842"/>
    <n v="11850.22"/>
    <n v="9"/>
    <x v="0"/>
    <n v="8"/>
    <n v="589.51000000000022"/>
    <n v="2.1844660194174758E-2"/>
    <n v="4.7389292211326151E-2"/>
  </r>
  <r>
    <s v="PO-01853"/>
    <x v="6"/>
    <x v="5"/>
    <x v="673"/>
    <d v="2024-08-14T00:00:00"/>
    <x v="0"/>
    <n v="374"/>
    <x v="1843"/>
    <n v="907.99"/>
    <n v="2"/>
    <x v="0"/>
    <n v="10"/>
    <n v="51.25"/>
    <n v="5.3475935828877002E-3"/>
    <n v="5.3427713606605226E-2"/>
  </r>
  <r>
    <s v="PO-01854"/>
    <x v="1"/>
    <x v="7"/>
    <x v="309"/>
    <d v="2024-12-14T00:00:00"/>
    <x v="3"/>
    <n v="15"/>
    <x v="1844"/>
    <n v="11209.91"/>
    <n v="1"/>
    <x v="0"/>
    <n v="15"/>
    <n v="160.71000000000095"/>
    <n v="6.6666666666666666E-2"/>
    <n v="1.4133793935599021E-2"/>
  </r>
  <r>
    <s v="PO-01855"/>
    <x v="1"/>
    <x v="10"/>
    <x v="502"/>
    <d v="2024-01-29T00:00:00"/>
    <x v="3"/>
    <n v="320"/>
    <x v="1845"/>
    <n v="50036.25"/>
    <n v="4"/>
    <x v="1"/>
    <n v="13"/>
    <n v="1757.3499999999985"/>
    <n v="1.2500000000000001E-2"/>
    <n v="3.3929867782892066E-2"/>
  </r>
  <r>
    <s v="PO-01856"/>
    <x v="7"/>
    <x v="4"/>
    <x v="252"/>
    <d v="2024-07-30T00:00:00"/>
    <x v="0"/>
    <n v="445"/>
    <x v="1846"/>
    <n v="48064.88"/>
    <n v="2"/>
    <x v="0"/>
    <n v="24"/>
    <n v="188.67000000000553"/>
    <n v="4.4943820224719105E-3"/>
    <n v="3.9099713907060829E-3"/>
  </r>
  <r>
    <s v="PO-01857"/>
    <x v="1"/>
    <x v="4"/>
    <x v="369"/>
    <d v="2023-06-28T00:00:00"/>
    <x v="0"/>
    <n v="105"/>
    <x v="1847"/>
    <n v="41453.410000000003"/>
    <n v="1"/>
    <x v="0"/>
    <n v="7"/>
    <n v="1912.6899999999951"/>
    <n v="9.5238095238095247E-3"/>
    <n v="4.4105649343611601E-2"/>
  </r>
  <r>
    <s v="PO-01858"/>
    <x v="4"/>
    <x v="7"/>
    <x v="440"/>
    <d v="2024-10-12T00:00:00"/>
    <x v="0"/>
    <n v="37"/>
    <x v="1848"/>
    <n v="11187.92"/>
    <n v="1"/>
    <x v="1"/>
    <n v="6"/>
    <n v="498.59000000000015"/>
    <n v="2.7027027027027029E-2"/>
    <n v="4.2663720819988184E-2"/>
  </r>
  <r>
    <s v="PO-01859"/>
    <x v="6"/>
    <x v="8"/>
    <x v="81"/>
    <d v="2023-07-07T00:00:00"/>
    <x v="0"/>
    <n v="450"/>
    <x v="1849"/>
    <n v="9047.4500000000007"/>
    <n v="3"/>
    <x v="0"/>
    <n v="29"/>
    <n v="342"/>
    <n v="6.6666666666666671E-3"/>
    <n v="3.6423858692468669E-2"/>
  </r>
  <r>
    <s v="PO-01860"/>
    <x v="5"/>
    <x v="3"/>
    <x v="465"/>
    <d v="2023-05-07T00:00:00"/>
    <x v="0"/>
    <n v="304"/>
    <x v="1850"/>
    <n v="11935.12"/>
    <n v="4"/>
    <x v="0"/>
    <n v="24"/>
    <n v="668.05999999999949"/>
    <n v="1.3157894736842105E-2"/>
    <n v="5.3007256898655694E-2"/>
  </r>
  <r>
    <s v="PO-01861"/>
    <x v="1"/>
    <x v="8"/>
    <x v="647"/>
    <d v="2024-07-20T00:00:00"/>
    <x v="0"/>
    <n v="396"/>
    <x v="1851"/>
    <n v="7966.69"/>
    <n v="10"/>
    <x v="0"/>
    <n v="4"/>
    <n v="215.78000000000065"/>
    <n v="2.5252525252525252E-2"/>
    <n v="2.6371010220630282E-2"/>
  </r>
  <r>
    <s v="PO-01862"/>
    <x v="7"/>
    <x v="5"/>
    <x v="582"/>
    <d v="2024-05-05T00:00:00"/>
    <x v="0"/>
    <n v="91"/>
    <x v="1852"/>
    <n v="869.46"/>
    <n v="0"/>
    <x v="0"/>
    <n v="26"/>
    <n v="1.92999999999995"/>
    <n v="0"/>
    <n v="2.2148521327992631E-3"/>
  </r>
  <r>
    <s v="PO-01863"/>
    <x v="5"/>
    <x v="5"/>
    <x v="580"/>
    <d v="2023-10-06T00:00:00"/>
    <x v="0"/>
    <n v="237"/>
    <x v="1853"/>
    <n v="882.23"/>
    <n v="2"/>
    <x v="1"/>
    <n v="3"/>
    <n v="4.8700000000000045"/>
    <n v="8.4388185654008432E-3"/>
    <n v="5.4897982189155729E-3"/>
  </r>
  <r>
    <s v="PO-01864"/>
    <x v="4"/>
    <x v="8"/>
    <x v="180"/>
    <d v="2024-01-11T00:00:00"/>
    <x v="0"/>
    <n v="303"/>
    <x v="1854"/>
    <n v="7588.66"/>
    <n v="5"/>
    <x v="0"/>
    <n v="25"/>
    <n v="167.11000000000058"/>
    <n v="1.65016501650165E-2"/>
    <n v="2.154653889942592E-2"/>
  </r>
  <r>
    <s v="PO-01865"/>
    <x v="3"/>
    <x v="3"/>
    <x v="644"/>
    <d v="2024-02-06T00:00:00"/>
    <x v="0"/>
    <n v="356"/>
    <x v="1855"/>
    <n v="11987.7"/>
    <n v="8"/>
    <x v="0"/>
    <n v="10"/>
    <n v="156.43999999999869"/>
    <n v="2.247191011235955E-2"/>
    <n v="1.2881933179294598E-2"/>
  </r>
  <r>
    <s v="PO-01866"/>
    <x v="3"/>
    <x v="11"/>
    <x v="219"/>
    <d v="2024-07-30T00:00:00"/>
    <x v="0"/>
    <n v="86"/>
    <x v="1856"/>
    <n v="14383.93"/>
    <n v="0"/>
    <x v="0"/>
    <n v="28"/>
    <n v="771.11999999999898"/>
    <n v="0"/>
    <n v="5.0882049217917398E-2"/>
  </r>
  <r>
    <s v="PO-01867"/>
    <x v="0"/>
    <x v="5"/>
    <x v="341"/>
    <d v="2024-07-21T00:00:00"/>
    <x v="0"/>
    <n v="147"/>
    <x v="1857"/>
    <n v="880.25"/>
    <n v="2"/>
    <x v="0"/>
    <n v="12"/>
    <n v="9.5399999999999636"/>
    <n v="1.3605442176870748E-2"/>
    <n v="1.0721630946627815E-2"/>
  </r>
  <r>
    <s v="PO-01868"/>
    <x v="7"/>
    <x v="6"/>
    <x v="323"/>
    <d v="2023-04-11T00:00:00"/>
    <x v="0"/>
    <n v="133"/>
    <x v="1858"/>
    <n v="520.49"/>
    <n v="1"/>
    <x v="0"/>
    <n v="29"/>
    <n v="5.5599999999999454"/>
    <n v="7.5187969924812026E-3"/>
    <n v="1.0569337515445197E-2"/>
  </r>
  <r>
    <s v="PO-01869"/>
    <x v="0"/>
    <x v="9"/>
    <x v="463"/>
    <d v="2024-09-02T00:00:00"/>
    <x v="0"/>
    <n v="184"/>
    <x v="1859"/>
    <n v="6363.69"/>
    <n v="2"/>
    <x v="0"/>
    <n v="13"/>
    <n v="80.530000000000655"/>
    <n v="1.0869565217391304E-2"/>
    <n v="1.2496469704634642E-2"/>
  </r>
  <r>
    <s v="PO-01870"/>
    <x v="5"/>
    <x v="9"/>
    <x v="201"/>
    <d v="2024-08-04T00:00:00"/>
    <x v="0"/>
    <n v="47"/>
    <x v="1860"/>
    <n v="5869.51"/>
    <n v="1"/>
    <x v="0"/>
    <n v="28"/>
    <n v="267.21000000000004"/>
    <n v="2.1276595744680851E-2"/>
    <n v="4.3542804625272137E-2"/>
  </r>
  <r>
    <s v="PO-01871"/>
    <x v="1"/>
    <x v="2"/>
    <x v="606"/>
    <d v="2024-08-07T00:00:00"/>
    <x v="0"/>
    <n v="434"/>
    <x v="1861"/>
    <n v="114.83"/>
    <n v="1"/>
    <x v="0"/>
    <n v="8"/>
    <n v="1.5499999999999972"/>
    <n v="2.304147465437788E-3"/>
    <n v="1.3318439594432008E-2"/>
  </r>
  <r>
    <s v="PO-01872"/>
    <x v="7"/>
    <x v="1"/>
    <x v="482"/>
    <s v="Not Yet Delivered"/>
    <x v="1"/>
    <n v="439"/>
    <x v="1862"/>
    <n v="4802.21"/>
    <n v="2"/>
    <x v="0"/>
    <s v="Not Applicable"/>
    <n v="179.59000000000015"/>
    <n v="4.5558086560364463E-3"/>
    <n v="3.604921915773418E-2"/>
  </r>
  <r>
    <s v="PO-01873"/>
    <x v="1"/>
    <x v="1"/>
    <x v="109"/>
    <d v="2024-09-04T00:00:00"/>
    <x v="0"/>
    <n v="396"/>
    <x v="1863"/>
    <n v="4684.16"/>
    <n v="8"/>
    <x v="0"/>
    <n v="5"/>
    <n v="101.78999999999996"/>
    <n v="2.0202020202020204E-2"/>
    <n v="2.1268504685590106E-2"/>
  </r>
  <r>
    <s v="PO-01874"/>
    <x v="4"/>
    <x v="1"/>
    <x v="187"/>
    <s v="Not Yet Delivered"/>
    <x v="1"/>
    <n v="221"/>
    <x v="1864"/>
    <n v="4519.3100000000004"/>
    <n v="2"/>
    <x v="0"/>
    <s v="Not Applicable"/>
    <n v="274.47999999999956"/>
    <n v="9.0497737556561094E-3"/>
    <n v="5.7257410107660028E-2"/>
  </r>
  <r>
    <s v="PO-01875"/>
    <x v="0"/>
    <x v="8"/>
    <x v="424"/>
    <d v="2023-01-08T00:00:00"/>
    <x v="0"/>
    <n v="6"/>
    <x v="1865"/>
    <n v="9215.0499999999993"/>
    <n v="0"/>
    <x v="0"/>
    <n v="5"/>
    <n v="19.659999999999854"/>
    <n v="0"/>
    <n v="2.1289244599992699E-3"/>
  </r>
  <r>
    <s v="PO-01876"/>
    <x v="0"/>
    <x v="8"/>
    <x v="265"/>
    <d v="2023-06-19T00:00:00"/>
    <x v="0"/>
    <n v="416"/>
    <x v="1866"/>
    <n v="8901.3700000000008"/>
    <n v="7"/>
    <x v="1"/>
    <n v="16"/>
    <n v="274.71999999999935"/>
    <n v="1.6826923076923076E-2"/>
    <n v="2.99386775848972E-2"/>
  </r>
  <r>
    <s v="PO-01877"/>
    <x v="0"/>
    <x v="11"/>
    <x v="568"/>
    <d v="2023-02-11T00:00:00"/>
    <x v="0"/>
    <n v="277"/>
    <x v="1867"/>
    <n v="15219.91"/>
    <n v="1"/>
    <x v="0"/>
    <n v="27"/>
    <n v="649.89999999999964"/>
    <n v="3.6101083032490976E-3"/>
    <n v="4.0951971069596908E-2"/>
  </r>
  <r>
    <s v="PO-01878"/>
    <x v="0"/>
    <x v="10"/>
    <x v="28"/>
    <d v="2023-09-15T00:00:00"/>
    <x v="3"/>
    <n v="395"/>
    <x v="1868"/>
    <n v="53075.54"/>
    <n v="3"/>
    <x v="0"/>
    <n v="12"/>
    <n v="3074.3799999999974"/>
    <n v="7.5949367088607592E-3"/>
    <n v="5.4753061090737042E-2"/>
  </r>
  <r>
    <s v="PO-01879"/>
    <x v="5"/>
    <x v="10"/>
    <x v="504"/>
    <d v="2024-09-28T00:00:00"/>
    <x v="0"/>
    <n v="318"/>
    <x v="1869"/>
    <n v="53618.35"/>
    <n v="8"/>
    <x v="0"/>
    <n v="22"/>
    <n v="142.54000000000087"/>
    <n v="2.5157232704402517E-2"/>
    <n v="2.6513697968913994E-3"/>
  </r>
  <r>
    <s v="PO-01880"/>
    <x v="1"/>
    <x v="9"/>
    <x v="321"/>
    <d v="2024-07-03T00:00:00"/>
    <x v="0"/>
    <n v="323"/>
    <x v="1870"/>
    <n v="6008.28"/>
    <n v="6"/>
    <x v="0"/>
    <n v="25"/>
    <n v="314.24000000000069"/>
    <n v="1.8575851393188854E-2"/>
    <n v="4.9701701220399568E-2"/>
  </r>
  <r>
    <s v="PO-01881"/>
    <x v="1"/>
    <x v="2"/>
    <x v="88"/>
    <s v="Not Yet Delivered"/>
    <x v="1"/>
    <n v="73"/>
    <x v="1413"/>
    <n v="111.46"/>
    <n v="2"/>
    <x v="0"/>
    <s v="Not Applicable"/>
    <n v="2.5100000000000051"/>
    <n v="2.7397260273972601E-2"/>
    <n v="2.2023339475300562E-2"/>
  </r>
  <r>
    <s v="PO-01882"/>
    <x v="1"/>
    <x v="5"/>
    <x v="8"/>
    <d v="2023-07-26T00:00:00"/>
    <x v="3"/>
    <n v="458"/>
    <x v="1871"/>
    <n v="787.82"/>
    <n v="5"/>
    <x v="0"/>
    <n v="6"/>
    <n v="39.939999999999941"/>
    <n v="1.0917030567685589E-2"/>
    <n v="4.8250700686189162E-2"/>
  </r>
  <r>
    <s v="PO-01883"/>
    <x v="1"/>
    <x v="10"/>
    <x v="354"/>
    <d v="2023-05-06T00:00:00"/>
    <x v="0"/>
    <n v="269"/>
    <x v="1872"/>
    <n v="48049.45"/>
    <n v="0"/>
    <x v="0"/>
    <n v="19"/>
    <n v="1746.3899999999994"/>
    <n v="0"/>
    <n v="3.5071001915019398E-2"/>
  </r>
  <r>
    <s v="PO-01884"/>
    <x v="4"/>
    <x v="0"/>
    <x v="677"/>
    <d v="2023-12-06T00:00:00"/>
    <x v="0"/>
    <n v="308"/>
    <x v="1873"/>
    <n v="3815.98"/>
    <n v="2"/>
    <x v="0"/>
    <n v="26"/>
    <n v="132.5"/>
    <n v="6.4935064935064939E-3"/>
    <n v="3.3557216954372318E-2"/>
  </r>
  <r>
    <s v="PO-01885"/>
    <x v="5"/>
    <x v="6"/>
    <x v="215"/>
    <s v="Not Yet Delivered"/>
    <x v="2"/>
    <n v="439"/>
    <x v="1874"/>
    <n v="517.15"/>
    <n v="2"/>
    <x v="0"/>
    <s v="Not Applicable"/>
    <n v="32.560000000000059"/>
    <n v="4.5558086560364463E-3"/>
    <n v="5.92312310127159E-2"/>
  </r>
  <r>
    <s v="PO-01886"/>
    <x v="0"/>
    <x v="5"/>
    <x v="678"/>
    <d v="2023-12-19T00:00:00"/>
    <x v="0"/>
    <n v="140"/>
    <x v="1875"/>
    <n v="945.52"/>
    <n v="3"/>
    <x v="0"/>
    <n v="24"/>
    <n v="45.519999999999982"/>
    <n v="2.1428571428571429E-2"/>
    <n v="4.5931546658056169E-2"/>
  </r>
  <r>
    <s v="PO-01887"/>
    <x v="2"/>
    <x v="7"/>
    <x v="679"/>
    <d v="2024-03-08T00:00:00"/>
    <x v="0"/>
    <n v="133"/>
    <x v="1876"/>
    <n v="11456.72"/>
    <n v="3"/>
    <x v="0"/>
    <n v="23"/>
    <n v="652.42000000000007"/>
    <n v="2.2556390977443608E-2"/>
    <n v="5.3878310102947038E-2"/>
  </r>
  <r>
    <s v="PO-01888"/>
    <x v="4"/>
    <x v="1"/>
    <x v="245"/>
    <d v="2023-12-06T00:00:00"/>
    <x v="0"/>
    <n v="211"/>
    <x v="1877"/>
    <n v="4853.6899999999996"/>
    <n v="0"/>
    <x v="0"/>
    <n v="19"/>
    <n v="74.820000000000618"/>
    <n v="0"/>
    <n v="1.5181058778413884E-2"/>
  </r>
  <r>
    <s v="PO-01889"/>
    <x v="3"/>
    <x v="10"/>
    <x v="624"/>
    <d v="2024-12-02T00:00:00"/>
    <x v="0"/>
    <n v="282"/>
    <x v="1878"/>
    <n v="52733.14"/>
    <n v="2"/>
    <x v="0"/>
    <n v="13"/>
    <n v="348.86000000000058"/>
    <n v="7.0921985815602835E-3"/>
    <n v="6.5720960024113744E-3"/>
  </r>
  <r>
    <s v="PO-01890"/>
    <x v="6"/>
    <x v="4"/>
    <x v="242"/>
    <d v="2024-01-11T00:00:00"/>
    <x v="0"/>
    <n v="459"/>
    <x v="1879"/>
    <n v="50738.2"/>
    <n v="0"/>
    <x v="0"/>
    <n v="18"/>
    <n v="3124.1300000000047"/>
    <n v="0"/>
    <n v="5.8002132473660248E-2"/>
  </r>
  <r>
    <s v="PO-01891"/>
    <x v="5"/>
    <x v="4"/>
    <x v="375"/>
    <d v="2023-11-15T00:00:00"/>
    <x v="0"/>
    <n v="39"/>
    <x v="1880"/>
    <n v="44323.49"/>
    <n v="0"/>
    <x v="0"/>
    <n v="9"/>
    <n v="1123.1900000000023"/>
    <n v="0"/>
    <n v="2.471445658956831E-2"/>
  </r>
  <r>
    <s v="PO-01892"/>
    <x v="1"/>
    <x v="10"/>
    <x v="252"/>
    <d v="2024-08-02T00:00:00"/>
    <x v="0"/>
    <n v="137"/>
    <x v="1881"/>
    <n v="45720.2"/>
    <n v="1"/>
    <x v="0"/>
    <n v="27"/>
    <n v="1621.9600000000064"/>
    <n v="7.2992700729927005E-3"/>
    <n v="3.4260371727863836E-2"/>
  </r>
  <r>
    <s v="PO-01893"/>
    <x v="0"/>
    <x v="4"/>
    <x v="102"/>
    <d v="2024-07-05T00:00:00"/>
    <x v="0"/>
    <n v="463"/>
    <x v="1882"/>
    <n v="49420.72"/>
    <n v="3"/>
    <x v="0"/>
    <n v="28"/>
    <n v="2021.1800000000003"/>
    <n v="6.4794816414686825E-3"/>
    <n v="3.9290539424088153E-2"/>
  </r>
  <r>
    <s v="PO-01894"/>
    <x v="0"/>
    <x v="6"/>
    <x v="649"/>
    <d v="2024-11-29T00:00:00"/>
    <x v="0"/>
    <n v="188"/>
    <x v="1883"/>
    <n v="573.78"/>
    <n v="2"/>
    <x v="0"/>
    <n v="5"/>
    <n v="0.89999999999997726"/>
    <n v="1.0638297872340425E-2"/>
    <n v="1.5660889538525395E-3"/>
  </r>
  <r>
    <s v="PO-01895"/>
    <x v="0"/>
    <x v="5"/>
    <x v="680"/>
    <d v="2023-04-28T00:00:00"/>
    <x v="0"/>
    <n v="143"/>
    <x v="1884"/>
    <n v="958.86"/>
    <n v="3"/>
    <x v="0"/>
    <n v="14"/>
    <n v="27.879999999999995"/>
    <n v="2.097902097902098E-2"/>
    <n v="2.8254656748484906E-2"/>
  </r>
  <r>
    <s v="PO-01896"/>
    <x v="3"/>
    <x v="8"/>
    <x v="523"/>
    <s v="Not Yet Delivered"/>
    <x v="1"/>
    <n v="273"/>
    <x v="1885"/>
    <n v="8423.2800000000007"/>
    <n v="2"/>
    <x v="0"/>
    <s v="Not Applicable"/>
    <n v="313.22999999999956"/>
    <n v="7.326007326007326E-3"/>
    <n v="3.5852989351583132E-2"/>
  </r>
  <r>
    <s v="PO-01897"/>
    <x v="6"/>
    <x v="9"/>
    <x v="71"/>
    <d v="2024-07-15T00:00:00"/>
    <x v="0"/>
    <n v="131"/>
    <x v="1886"/>
    <n v="6507.25"/>
    <n v="1"/>
    <x v="0"/>
    <n v="19"/>
    <n v="308.72000000000025"/>
    <n v="7.6335877862595417E-3"/>
    <n v="4.5293626585797803E-2"/>
  </r>
  <r>
    <s v="PO-01898"/>
    <x v="2"/>
    <x v="7"/>
    <x v="559"/>
    <d v="2023-03-12T00:00:00"/>
    <x v="0"/>
    <n v="13"/>
    <x v="1887"/>
    <n v="11794.39"/>
    <n v="0"/>
    <x v="0"/>
    <n v="14"/>
    <n v="116.92000000000007"/>
    <n v="0"/>
    <n v="9.8158808728846855E-3"/>
  </r>
  <r>
    <s v="PO-01899"/>
    <x v="0"/>
    <x v="0"/>
    <x v="524"/>
    <d v="2023-04-17T00:00:00"/>
    <x v="0"/>
    <n v="259"/>
    <x v="1888"/>
    <n v="4195.21"/>
    <n v="3"/>
    <x v="0"/>
    <n v="21"/>
    <n v="158.0600000000004"/>
    <n v="1.1583011583011582E-2"/>
    <n v="3.6308338329577625E-2"/>
  </r>
  <r>
    <s v="PO-01900"/>
    <x v="0"/>
    <x v="2"/>
    <x v="436"/>
    <d v="2023-02-23T00:00:00"/>
    <x v="0"/>
    <n v="144"/>
    <x v="1889"/>
    <n v="122.33"/>
    <n v="0"/>
    <x v="0"/>
    <n v="2"/>
    <n v="1.3400000000000034"/>
    <n v="0"/>
    <n v="1.0835287458559096E-2"/>
  </r>
  <r>
    <s v="PO-01901"/>
    <x v="2"/>
    <x v="8"/>
    <x v="537"/>
    <d v="2023-12-24T00:00:00"/>
    <x v="0"/>
    <n v="120"/>
    <x v="1890"/>
    <n v="8027.69"/>
    <n v="2"/>
    <x v="0"/>
    <n v="4"/>
    <n v="380.49000000000069"/>
    <n v="1.6666666666666666E-2"/>
    <n v="4.5252361390931292E-2"/>
  </r>
  <r>
    <s v="PO-01902"/>
    <x v="4"/>
    <x v="2"/>
    <x v="681"/>
    <d v="2023-09-04T00:00:00"/>
    <x v="3"/>
    <n v="399"/>
    <x v="1891"/>
    <n v="112.46"/>
    <n v="1"/>
    <x v="0"/>
    <n v="16"/>
    <n v="2.9000000000000057"/>
    <n v="2.5062656641604009E-3"/>
    <n v="2.5138696255201157E-2"/>
  </r>
  <r>
    <s v="PO-01903"/>
    <x v="5"/>
    <x v="4"/>
    <x v="367"/>
    <d v="2024-02-12T00:00:00"/>
    <x v="0"/>
    <n v="190"/>
    <x v="1892"/>
    <n v="44789.23"/>
    <n v="2"/>
    <x v="0"/>
    <n v="18"/>
    <n v="425.09999999999854"/>
    <n v="1.0526315789473684E-2"/>
    <n v="9.4018865257983145E-3"/>
  </r>
  <r>
    <s v="PO-01904"/>
    <x v="4"/>
    <x v="3"/>
    <x v="682"/>
    <d v="2024-01-03T00:00:00"/>
    <x v="0"/>
    <n v="280"/>
    <x v="450"/>
    <n v="11097.78"/>
    <n v="2"/>
    <x v="0"/>
    <n v="19"/>
    <n v="239.72999999999956"/>
    <n v="7.1428571428571426E-3"/>
    <n v="2.1144854558011378E-2"/>
  </r>
  <r>
    <s v="PO-01905"/>
    <x v="6"/>
    <x v="1"/>
    <x v="296"/>
    <d v="2024-10-06T00:00:00"/>
    <x v="0"/>
    <n v="397"/>
    <x v="1893"/>
    <n v="5350.33"/>
    <n v="1"/>
    <x v="0"/>
    <n v="11"/>
    <n v="138.10000000000036"/>
    <n v="2.5188916876574307E-3"/>
    <n v="2.5162022654930529E-2"/>
  </r>
  <r>
    <s v="PO-01906"/>
    <x v="5"/>
    <x v="0"/>
    <x v="179"/>
    <d v="2023-09-02T00:00:00"/>
    <x v="0"/>
    <n v="79"/>
    <x v="1894"/>
    <n v="4210.8100000000004"/>
    <n v="1"/>
    <x v="0"/>
    <n v="22"/>
    <n v="140.80999999999949"/>
    <n v="1.2658227848101266E-2"/>
    <n v="3.2358064353045418E-2"/>
  </r>
  <r>
    <s v="PO-01907"/>
    <x v="3"/>
    <x v="2"/>
    <x v="627"/>
    <d v="2023-07-05T00:00:00"/>
    <x v="0"/>
    <n v="304"/>
    <x v="1895"/>
    <n v="123.68"/>
    <n v="3"/>
    <x v="0"/>
    <n v="19"/>
    <n v="4.2999999999999972"/>
    <n v="9.8684210526315784E-3"/>
    <n v="3.3598999843725559E-2"/>
  </r>
  <r>
    <s v="PO-01908"/>
    <x v="5"/>
    <x v="11"/>
    <x v="680"/>
    <d v="2023-05-09T00:00:00"/>
    <x v="3"/>
    <n v="474"/>
    <x v="1896"/>
    <n v="13648.47"/>
    <n v="8"/>
    <x v="0"/>
    <n v="25"/>
    <n v="758.34000000000015"/>
    <n v="1.6877637130801686E-2"/>
    <n v="5.2637606798451579E-2"/>
  </r>
  <r>
    <s v="PO-01909"/>
    <x v="0"/>
    <x v="11"/>
    <x v="546"/>
    <d v="2023-10-26T00:00:00"/>
    <x v="3"/>
    <n v="394"/>
    <x v="1897"/>
    <n v="15955.96"/>
    <n v="4"/>
    <x v="0"/>
    <n v="27"/>
    <n v="75.850000000000364"/>
    <n v="1.015228426395939E-2"/>
    <n v="4.7312187457311658E-3"/>
  </r>
  <r>
    <s v="PO-01910"/>
    <x v="1"/>
    <x v="10"/>
    <x v="607"/>
    <d v="2024-11-16T00:00:00"/>
    <x v="3"/>
    <n v="304"/>
    <x v="1898"/>
    <n v="50022.67"/>
    <n v="0"/>
    <x v="0"/>
    <n v="16"/>
    <n v="1635.9400000000023"/>
    <n v="0"/>
    <n v="3.1668293049309737E-2"/>
  </r>
  <r>
    <s v="PO-01911"/>
    <x v="0"/>
    <x v="11"/>
    <x v="683"/>
    <d v="2024-07-09T00:00:00"/>
    <x v="0"/>
    <n v="386"/>
    <x v="1899"/>
    <n v="15134.8"/>
    <n v="0"/>
    <x v="0"/>
    <n v="24"/>
    <n v="139.03000000000065"/>
    <n v="0"/>
    <n v="9.1024975399098106E-3"/>
  </r>
  <r>
    <s v="PO-01912"/>
    <x v="3"/>
    <x v="9"/>
    <x v="467"/>
    <d v="2023-05-23T00:00:00"/>
    <x v="0"/>
    <n v="211"/>
    <x v="1900"/>
    <n v="6359.12"/>
    <n v="1"/>
    <x v="0"/>
    <n v="10"/>
    <n v="140.48999999999978"/>
    <n v="4.7393364928909956E-3"/>
    <n v="2.1615143062429867E-2"/>
  </r>
  <r>
    <s v="PO-01913"/>
    <x v="5"/>
    <x v="2"/>
    <x v="345"/>
    <s v="Not Yet Delivered"/>
    <x v="2"/>
    <n v="147"/>
    <x v="719"/>
    <n v="125.11"/>
    <n v="2"/>
    <x v="0"/>
    <s v="Not Applicable"/>
    <n v="0.68999999999999773"/>
    <n v="1.3605442176870748E-2"/>
    <n v="5.4848966613672313E-3"/>
  </r>
  <r>
    <s v="PO-01914"/>
    <x v="7"/>
    <x v="4"/>
    <x v="419"/>
    <d v="2024-02-27T00:00:00"/>
    <x v="0"/>
    <n v="500"/>
    <x v="1901"/>
    <n v="45425.45"/>
    <n v="1"/>
    <x v="0"/>
    <n v="7"/>
    <n v="285.60000000000582"/>
    <n v="2E-3"/>
    <n v="6.2479422371616014E-3"/>
  </r>
  <r>
    <s v="PO-01915"/>
    <x v="2"/>
    <x v="0"/>
    <x v="115"/>
    <d v="2024-10-07T00:00:00"/>
    <x v="0"/>
    <n v="244"/>
    <x v="1902"/>
    <n v="4014.88"/>
    <n v="1"/>
    <x v="0"/>
    <n v="11"/>
    <n v="113.21000000000004"/>
    <n v="4.0983606557377051E-3"/>
    <n v="2.7424305187144667E-2"/>
  </r>
  <r>
    <s v="PO-01916"/>
    <x v="2"/>
    <x v="7"/>
    <x v="42"/>
    <d v="2024-12-24T00:00:00"/>
    <x v="3"/>
    <n v="202"/>
    <x v="1903"/>
    <n v="11440.56"/>
    <n v="2"/>
    <x v="0"/>
    <n v="29"/>
    <n v="252.79000000000087"/>
    <n v="9.9009900990099011E-3"/>
    <n v="2.1618270213411971E-2"/>
  </r>
  <r>
    <s v="PO-01917"/>
    <x v="5"/>
    <x v="5"/>
    <x v="225"/>
    <d v="2024-09-29T00:00:00"/>
    <x v="0"/>
    <n v="241"/>
    <x v="1904"/>
    <n v="894.05"/>
    <n v="0"/>
    <x v="0"/>
    <n v="27"/>
    <n v="19.660000000000082"/>
    <n v="0"/>
    <n v="2.1516673780521262E-2"/>
  </r>
  <r>
    <s v="PO-01918"/>
    <x v="5"/>
    <x v="3"/>
    <x v="304"/>
    <d v="2024-06-02T00:00:00"/>
    <x v="0"/>
    <n v="319"/>
    <x v="1905"/>
    <n v="12095.52"/>
    <n v="3"/>
    <x v="0"/>
    <n v="29"/>
    <n v="600.85000000000036"/>
    <n v="9.4043887147335428E-3"/>
    <n v="4.7324550245463885E-2"/>
  </r>
  <r>
    <s v="PO-01919"/>
    <x v="0"/>
    <x v="9"/>
    <x v="407"/>
    <d v="2024-01-19T00:00:00"/>
    <x v="0"/>
    <n v="74"/>
    <x v="1906"/>
    <n v="6388.69"/>
    <n v="1"/>
    <x v="0"/>
    <n v="29"/>
    <n v="316.27000000000044"/>
    <n v="1.3513513513513514E-2"/>
    <n v="4.7169558058511973E-2"/>
  </r>
  <r>
    <s v="PO-01920"/>
    <x v="1"/>
    <x v="0"/>
    <x v="301"/>
    <d v="2023-11-29T00:00:00"/>
    <x v="0"/>
    <n v="336"/>
    <x v="1907"/>
    <n v="3783.28"/>
    <n v="5"/>
    <x v="0"/>
    <n v="10"/>
    <n v="93.569999999999709"/>
    <n v="1.488095238095238E-2"/>
    <n v="2.4135573984033355E-2"/>
  </r>
  <r>
    <s v="PO-01921"/>
    <x v="3"/>
    <x v="9"/>
    <x v="520"/>
    <d v="2024-07-16T00:00:00"/>
    <x v="0"/>
    <n v="499"/>
    <x v="1908"/>
    <n v="6232.34"/>
    <n v="4"/>
    <x v="0"/>
    <n v="21"/>
    <n v="17.340000000000146"/>
    <n v="8.0160320641282558E-3"/>
    <n v="2.7745420565533185E-3"/>
  </r>
  <r>
    <s v="PO-01922"/>
    <x v="2"/>
    <x v="7"/>
    <x v="240"/>
    <d v="2023-12-12T00:00:00"/>
    <x v="0"/>
    <n v="379"/>
    <x v="1909"/>
    <n v="10712.53"/>
    <n v="12"/>
    <x v="0"/>
    <n v="26"/>
    <n v="347.39999999999964"/>
    <n v="3.1662269129287601E-2"/>
    <n v="3.1410687047748007E-2"/>
  </r>
  <r>
    <s v="PO-01923"/>
    <x v="7"/>
    <x v="6"/>
    <x v="546"/>
    <d v="2023-10-13T00:00:00"/>
    <x v="0"/>
    <n v="469"/>
    <x v="1910"/>
    <n v="483.63"/>
    <n v="6"/>
    <x v="0"/>
    <n v="14"/>
    <n v="30.190000000000055"/>
    <n v="1.279317697228145E-2"/>
    <n v="5.8755984586041907E-2"/>
  </r>
  <r>
    <s v="PO-01924"/>
    <x v="0"/>
    <x v="9"/>
    <x v="276"/>
    <d v="2023-02-16T00:00:00"/>
    <x v="0"/>
    <n v="365"/>
    <x v="1911"/>
    <n v="6441.33"/>
    <n v="7"/>
    <x v="0"/>
    <n v="4"/>
    <n v="397.90999999999985"/>
    <n v="1.9178082191780823E-2"/>
    <n v="5.8180441101642853E-2"/>
  </r>
  <r>
    <s v="PO-01925"/>
    <x v="1"/>
    <x v="4"/>
    <x v="144"/>
    <d v="2024-10-16T00:00:00"/>
    <x v="0"/>
    <n v="134"/>
    <x v="1912"/>
    <n v="45210.400000000001"/>
    <n v="5"/>
    <x v="0"/>
    <n v="13"/>
    <n v="1489.9199999999983"/>
    <n v="3.7313432835820892E-2"/>
    <n v="3.1903849909379597E-2"/>
  </r>
  <r>
    <s v="PO-01926"/>
    <x v="5"/>
    <x v="7"/>
    <x v="182"/>
    <d v="2024-06-30T00:00:00"/>
    <x v="0"/>
    <n v="27"/>
    <x v="1913"/>
    <n v="11689.38"/>
    <n v="0"/>
    <x v="1"/>
    <n v="3"/>
    <n v="480.76000000000022"/>
    <n v="0"/>
    <n v="3.9503243183726749E-2"/>
  </r>
  <r>
    <s v="PO-01927"/>
    <x v="3"/>
    <x v="0"/>
    <x v="93"/>
    <d v="2024-04-08T00:00:00"/>
    <x v="0"/>
    <n v="373"/>
    <x v="1914"/>
    <n v="4107.4799999999996"/>
    <n v="4"/>
    <x v="0"/>
    <n v="12"/>
    <n v="122.52000000000044"/>
    <n v="1.0723860589812333E-2"/>
    <n v="2.8964539007092303E-2"/>
  </r>
  <r>
    <s v="PO-01928"/>
    <x v="3"/>
    <x v="2"/>
    <x v="609"/>
    <d v="2024-04-02T00:00:00"/>
    <x v="0"/>
    <n v="167"/>
    <x v="1915"/>
    <n v="124"/>
    <n v="2"/>
    <x v="0"/>
    <n v="26"/>
    <n v="2.5499999999999972"/>
    <n v="1.1976047904191617E-2"/>
    <n v="2.0150138285262721E-2"/>
  </r>
  <r>
    <s v="PO-01929"/>
    <x v="0"/>
    <x v="9"/>
    <x v="253"/>
    <d v="2023-04-30T00:00:00"/>
    <x v="0"/>
    <n v="109"/>
    <x v="1916"/>
    <n v="6511.9"/>
    <n v="5"/>
    <x v="0"/>
    <n v="20"/>
    <n v="324.76000000000022"/>
    <n v="4.5871559633027525E-2"/>
    <n v="4.7502727940251559E-2"/>
  </r>
  <r>
    <s v="PO-01930"/>
    <x v="4"/>
    <x v="1"/>
    <x v="568"/>
    <s v="Not Yet Delivered"/>
    <x v="2"/>
    <n v="52"/>
    <x v="1917"/>
    <n v="4852.6000000000004"/>
    <n v="2"/>
    <x v="0"/>
    <s v="Not Applicable"/>
    <n v="104.46000000000004"/>
    <n v="3.8461538461538464E-2"/>
    <n v="2.107297470678185E-2"/>
  </r>
  <r>
    <s v="PO-01931"/>
    <x v="4"/>
    <x v="5"/>
    <x v="97"/>
    <d v="2023-04-30T00:00:00"/>
    <x v="0"/>
    <n v="421"/>
    <x v="1918"/>
    <n v="839.25"/>
    <n v="7"/>
    <x v="0"/>
    <n v="5"/>
    <n v="7.8300000000000409"/>
    <n v="1.66270783847981E-2"/>
    <n v="9.243518912027248E-3"/>
  </r>
  <r>
    <s v="PO-01932"/>
    <x v="4"/>
    <x v="6"/>
    <x v="491"/>
    <d v="2023-07-08T00:00:00"/>
    <x v="0"/>
    <n v="450"/>
    <x v="1919"/>
    <n v="472.49"/>
    <n v="10"/>
    <x v="0"/>
    <n v="23"/>
    <n v="6.0500000000000114"/>
    <n v="2.2222222222222223E-2"/>
    <n v="1.2642621306473881E-2"/>
  </r>
  <r>
    <s v="PO-01933"/>
    <x v="6"/>
    <x v="11"/>
    <x v="467"/>
    <d v="2023-05-29T00:00:00"/>
    <x v="3"/>
    <n v="56"/>
    <x v="1920"/>
    <n v="15233.7"/>
    <n v="3"/>
    <x v="0"/>
    <n v="16"/>
    <n v="427.09000000000015"/>
    <n v="5.3571428571428568E-2"/>
    <n v="2.7271293466038439E-2"/>
  </r>
  <r>
    <s v="PO-01934"/>
    <x v="6"/>
    <x v="5"/>
    <x v="28"/>
    <s v="Not Yet Delivered"/>
    <x v="2"/>
    <n v="93"/>
    <x v="1921"/>
    <n v="965.63"/>
    <n v="2"/>
    <x v="0"/>
    <s v="Not Applicable"/>
    <n v="9.2100000000000364"/>
    <n v="2.1505376344086023E-2"/>
    <n v="9.4477042386443277E-3"/>
  </r>
  <r>
    <s v="PO-01935"/>
    <x v="4"/>
    <x v="11"/>
    <x v="453"/>
    <d v="2023-09-24T00:00:00"/>
    <x v="0"/>
    <n v="47"/>
    <x v="1922"/>
    <n v="13043.56"/>
    <n v="0"/>
    <x v="0"/>
    <n v="24"/>
    <n v="253.79000000000087"/>
    <n v="0"/>
    <n v="1.908575768856207E-2"/>
  </r>
  <r>
    <s v="PO-01936"/>
    <x v="5"/>
    <x v="11"/>
    <x v="54"/>
    <d v="2024-12-28T00:00:00"/>
    <x v="0"/>
    <n v="277"/>
    <x v="1923"/>
    <n v="14035.84"/>
    <n v="2"/>
    <x v="0"/>
    <n v="19"/>
    <n v="209.95999999999913"/>
    <n v="7.2202166064981952E-3"/>
    <n v="1.4738379031012589E-2"/>
  </r>
  <r>
    <s v="PO-01937"/>
    <x v="1"/>
    <x v="4"/>
    <x v="664"/>
    <s v="Not Yet Delivered"/>
    <x v="1"/>
    <n v="111"/>
    <x v="1924"/>
    <n v="45168.61"/>
    <n v="2"/>
    <x v="0"/>
    <s v="Not Applicable"/>
    <n v="756.69000000000233"/>
    <n v="1.8018018018018018E-2"/>
    <n v="1.6476539075411641E-2"/>
  </r>
  <r>
    <s v="PO-01938"/>
    <x v="3"/>
    <x v="3"/>
    <x v="656"/>
    <d v="2024-03-19T00:00:00"/>
    <x v="0"/>
    <n v="184"/>
    <x v="1925"/>
    <n v="12975.15"/>
    <n v="0"/>
    <x v="0"/>
    <n v="4"/>
    <n v="484.29000000000087"/>
    <n v="0"/>
    <n v="3.5981437563524253E-2"/>
  </r>
  <r>
    <s v="PO-01939"/>
    <x v="6"/>
    <x v="11"/>
    <x v="267"/>
    <d v="2023-04-16T00:00:00"/>
    <x v="0"/>
    <n v="141"/>
    <x v="1926"/>
    <n v="15616.89"/>
    <n v="1"/>
    <x v="0"/>
    <n v="13"/>
    <n v="134.63000000000102"/>
    <n v="7.0921985815602835E-3"/>
    <n v="8.5471116438287243E-3"/>
  </r>
  <r>
    <s v="PO-01940"/>
    <x v="3"/>
    <x v="0"/>
    <x v="684"/>
    <d v="2023-10-06T00:00:00"/>
    <x v="0"/>
    <n v="43"/>
    <x v="1927"/>
    <n v="3898.13"/>
    <n v="1"/>
    <x v="0"/>
    <n v="23"/>
    <n v="168.28999999999996"/>
    <n v="2.3255813953488372E-2"/>
    <n v="4.1385297140974116E-2"/>
  </r>
  <r>
    <s v="PO-01941"/>
    <x v="2"/>
    <x v="2"/>
    <x v="31"/>
    <d v="2024-03-28T00:00:00"/>
    <x v="0"/>
    <n v="160"/>
    <x v="1681"/>
    <n v="107.42"/>
    <n v="3"/>
    <x v="0"/>
    <n v="9"/>
    <n v="5.5999999999999943"/>
    <n v="1.8749999999999999E-2"/>
    <n v="4.9548752433197618E-2"/>
  </r>
  <r>
    <s v="PO-01942"/>
    <x v="0"/>
    <x v="6"/>
    <x v="202"/>
    <d v="2024-10-27T00:00:00"/>
    <x v="0"/>
    <n v="109"/>
    <x v="1928"/>
    <n v="521.9"/>
    <n v="1"/>
    <x v="0"/>
    <n v="17"/>
    <n v="21.790000000000077"/>
    <n v="9.1743119266055051E-3"/>
    <n v="4.0077985616803834E-2"/>
  </r>
  <r>
    <s v="PO-01943"/>
    <x v="0"/>
    <x v="2"/>
    <x v="254"/>
    <d v="2025-01-14T00:00:00"/>
    <x v="0"/>
    <n v="130"/>
    <x v="1929"/>
    <n v="128.26"/>
    <n v="0"/>
    <x v="0"/>
    <n v="17"/>
    <n v="4.5500000000000114"/>
    <n v="0"/>
    <n v="3.4259468413523161E-2"/>
  </r>
  <r>
    <s v="PO-01944"/>
    <x v="5"/>
    <x v="5"/>
    <x v="174"/>
    <d v="2024-08-06T00:00:00"/>
    <x v="0"/>
    <n v="367"/>
    <x v="1930"/>
    <n v="920.96"/>
    <n v="0"/>
    <x v="0"/>
    <n v="10"/>
    <n v="15.599999999999909"/>
    <n v="0"/>
    <n v="1.6656701118988544E-2"/>
  </r>
  <r>
    <s v="PO-01945"/>
    <x v="3"/>
    <x v="3"/>
    <x v="153"/>
    <d v="2024-10-06T00:00:00"/>
    <x v="0"/>
    <n v="368"/>
    <x v="1931"/>
    <n v="12621.55"/>
    <n v="7"/>
    <x v="0"/>
    <n v="16"/>
    <n v="745.22000000000116"/>
    <n v="1.9021739130434784E-2"/>
    <n v="5.5751688702655997E-2"/>
  </r>
  <r>
    <s v="PO-01946"/>
    <x v="4"/>
    <x v="10"/>
    <x v="646"/>
    <s v="Not Yet Delivered"/>
    <x v="1"/>
    <n v="231"/>
    <x v="1932"/>
    <n v="45109.57"/>
    <n v="2"/>
    <x v="0"/>
    <s v="Not Applicable"/>
    <n v="1526.9300000000003"/>
    <n v="8.658008658008658E-3"/>
    <n v="3.2741093349629588E-2"/>
  </r>
  <r>
    <s v="PO-01947"/>
    <x v="2"/>
    <x v="0"/>
    <x v="453"/>
    <d v="2023-09-07T00:00:00"/>
    <x v="0"/>
    <n v="485"/>
    <x v="1933"/>
    <n v="3971.34"/>
    <n v="2"/>
    <x v="0"/>
    <n v="7"/>
    <n v="161.63000000000011"/>
    <n v="4.1237113402061857E-3"/>
    <n v="3.910746993082459E-2"/>
  </r>
  <r>
    <s v="PO-01948"/>
    <x v="6"/>
    <x v="1"/>
    <x v="2"/>
    <d v="2024-07-22T00:00:00"/>
    <x v="0"/>
    <n v="60"/>
    <x v="1934"/>
    <n v="5581.29"/>
    <n v="0"/>
    <x v="0"/>
    <n v="8"/>
    <n v="245.75"/>
    <n v="0"/>
    <n v="4.2174071226557565E-2"/>
  </r>
  <r>
    <s v="PO-01949"/>
    <x v="3"/>
    <x v="7"/>
    <x v="177"/>
    <d v="2024-05-24T00:00:00"/>
    <x v="0"/>
    <n v="439"/>
    <x v="1935"/>
    <n v="11741.16"/>
    <n v="10"/>
    <x v="1"/>
    <n v="27"/>
    <n v="677.01000000000022"/>
    <n v="2.2779043280182234E-2"/>
    <n v="5.4517694636166215E-2"/>
  </r>
  <r>
    <s v="PO-01950"/>
    <x v="0"/>
    <x v="7"/>
    <x v="371"/>
    <d v="2024-05-08T00:00:00"/>
    <x v="0"/>
    <n v="53"/>
    <x v="1936"/>
    <n v="12224.6"/>
    <n v="3"/>
    <x v="0"/>
    <n v="3"/>
    <n v="435"/>
    <n v="5.6603773584905662E-2"/>
    <n v="3.4361275237764229E-2"/>
  </r>
  <r>
    <s v="PO-01951"/>
    <x v="5"/>
    <x v="2"/>
    <x v="366"/>
    <d v="2023-02-09T00:00:00"/>
    <x v="0"/>
    <n v="26"/>
    <x v="1937"/>
    <n v="115.12"/>
    <n v="1"/>
    <x v="0"/>
    <n v="9"/>
    <n v="2.6899999999999977"/>
    <n v="3.8461538461538464E-2"/>
    <n v="2.2833375774552224E-2"/>
  </r>
  <r>
    <s v="PO-01952"/>
    <x v="1"/>
    <x v="1"/>
    <x v="251"/>
    <d v="2024-03-29T00:00:00"/>
    <x v="0"/>
    <n v="177"/>
    <x v="1938"/>
    <n v="4711.8599999999997"/>
    <n v="1"/>
    <x v="0"/>
    <n v="23"/>
    <n v="91.579999999999927"/>
    <n v="5.6497175141242938E-3"/>
    <n v="1.9065503056143084E-2"/>
  </r>
  <r>
    <s v="PO-01953"/>
    <x v="0"/>
    <x v="2"/>
    <x v="459"/>
    <d v="2023-06-28T00:00:00"/>
    <x v="0"/>
    <n v="164"/>
    <x v="1939"/>
    <n v="126.31"/>
    <n v="1"/>
    <x v="1"/>
    <n v="27"/>
    <n v="6.3700000000000045"/>
    <n v="6.0975609756097563E-3"/>
    <n v="4.8010250226107963E-2"/>
  </r>
  <r>
    <s v="PO-01954"/>
    <x v="1"/>
    <x v="11"/>
    <x v="363"/>
    <s v="Not Yet Delivered"/>
    <x v="2"/>
    <n v="207"/>
    <x v="1940"/>
    <n v="12870.09"/>
    <n v="2"/>
    <x v="0"/>
    <s v="Not Applicable"/>
    <n v="208.47999999999956"/>
    <n v="9.6618357487922701E-3"/>
    <n v="1.5940580659812163E-2"/>
  </r>
  <r>
    <s v="PO-01955"/>
    <x v="1"/>
    <x v="1"/>
    <x v="424"/>
    <d v="2023-01-06T00:00:00"/>
    <x v="0"/>
    <n v="63"/>
    <x v="1941"/>
    <n v="4574.95"/>
    <n v="1"/>
    <x v="0"/>
    <n v="3"/>
    <n v="56.850000000000364"/>
    <n v="1.5873015873015872E-2"/>
    <n v="1.2273846020985441E-2"/>
  </r>
  <r>
    <s v="PO-01956"/>
    <x v="0"/>
    <x v="1"/>
    <x v="149"/>
    <d v="2024-08-10T00:00:00"/>
    <x v="0"/>
    <n v="370"/>
    <x v="1942"/>
    <n v="5085.47"/>
    <n v="2"/>
    <x v="0"/>
    <n v="3"/>
    <n v="174.38999999999942"/>
    <n v="5.4054054054054057E-3"/>
    <n v="3.3154874844577506E-2"/>
  </r>
  <r>
    <s v="PO-01957"/>
    <x v="3"/>
    <x v="2"/>
    <x v="249"/>
    <d v="2024-10-07T00:00:00"/>
    <x v="0"/>
    <n v="211"/>
    <x v="1943"/>
    <n v="121.73"/>
    <n v="5"/>
    <x v="0"/>
    <n v="22"/>
    <n v="7.1199999999999903"/>
    <n v="2.3696682464454975E-2"/>
    <n v="5.5258051998447737E-2"/>
  </r>
  <r>
    <s v="PO-01958"/>
    <x v="6"/>
    <x v="2"/>
    <x v="488"/>
    <d v="2023-09-21T00:00:00"/>
    <x v="0"/>
    <n v="295"/>
    <x v="1944"/>
    <n v="124.14"/>
    <n v="4"/>
    <x v="0"/>
    <n v="28"/>
    <n v="0.82999999999999829"/>
    <n v="1.3559322033898305E-2"/>
    <n v="6.6415939825558001E-3"/>
  </r>
  <r>
    <s v="PO-01959"/>
    <x v="6"/>
    <x v="8"/>
    <x v="654"/>
    <s v="Not Yet Delivered"/>
    <x v="1"/>
    <n v="28"/>
    <x v="1945"/>
    <n v="8674.7099999999991"/>
    <n v="2"/>
    <x v="0"/>
    <s v="Not Applicable"/>
    <n v="201.46000000000095"/>
    <n v="7.1428571428571425E-2"/>
    <n v="2.2696726178070153E-2"/>
  </r>
  <r>
    <s v="PO-01960"/>
    <x v="5"/>
    <x v="11"/>
    <x v="570"/>
    <d v="2023-04-12T00:00:00"/>
    <x v="0"/>
    <n v="369"/>
    <x v="1946"/>
    <n v="13624.92"/>
    <n v="2"/>
    <x v="0"/>
    <n v="14"/>
    <n v="292.95000000000073"/>
    <n v="5.4200542005420054E-3"/>
    <n v="2.1048479400942868E-2"/>
  </r>
  <r>
    <s v="PO-01961"/>
    <x v="5"/>
    <x v="5"/>
    <x v="637"/>
    <d v="2024-10-19T00:00:00"/>
    <x v="0"/>
    <n v="190"/>
    <x v="1947"/>
    <n v="849.47"/>
    <n v="0"/>
    <x v="0"/>
    <n v="22"/>
    <n v="19.549999999999955"/>
    <n v="0"/>
    <n v="2.2496605371567922E-2"/>
  </r>
  <r>
    <s v="PO-01962"/>
    <x v="7"/>
    <x v="10"/>
    <x v="628"/>
    <d v="2025-01-02T00:00:00"/>
    <x v="0"/>
    <n v="485"/>
    <x v="1948"/>
    <n v="49912.36"/>
    <n v="9"/>
    <x v="1"/>
    <n v="22"/>
    <n v="1390.3099999999977"/>
    <n v="1.8556701030927835E-2"/>
    <n v="2.7100148978600875E-2"/>
  </r>
  <r>
    <s v="PO-01963"/>
    <x v="3"/>
    <x v="5"/>
    <x v="551"/>
    <d v="2023-05-25T00:00:00"/>
    <x v="0"/>
    <n v="315"/>
    <x v="1949"/>
    <n v="899.54"/>
    <n v="8"/>
    <x v="0"/>
    <n v="2"/>
    <n v="22.629999999999995"/>
    <n v="2.5396825396825397E-2"/>
    <n v="2.4539943828144482E-2"/>
  </r>
  <r>
    <s v="PO-01964"/>
    <x v="3"/>
    <x v="6"/>
    <x v="365"/>
    <d v="2023-06-22T00:00:00"/>
    <x v="0"/>
    <n v="270"/>
    <x v="1950"/>
    <n v="573"/>
    <n v="5"/>
    <x v="0"/>
    <n v="4"/>
    <n v="2.4800000000000182"/>
    <n v="1.8518518518518517E-2"/>
    <n v="4.3094460276638944E-3"/>
  </r>
  <r>
    <s v="PO-01965"/>
    <x v="0"/>
    <x v="11"/>
    <x v="271"/>
    <d v="2023-01-27T00:00:00"/>
    <x v="0"/>
    <n v="380"/>
    <x v="1951"/>
    <n v="15316.8"/>
    <n v="0"/>
    <x v="0"/>
    <n v="23"/>
    <n v="584.68000000000029"/>
    <n v="0"/>
    <n v="3.6768904529641287E-2"/>
  </r>
  <r>
    <s v="PO-01966"/>
    <x v="3"/>
    <x v="1"/>
    <x v="470"/>
    <d v="2023-07-09T00:00:00"/>
    <x v="0"/>
    <n v="488"/>
    <x v="1952"/>
    <n v="5110.05"/>
    <n v="4"/>
    <x v="0"/>
    <n v="9"/>
    <n v="264.5"/>
    <n v="8.1967213114754103E-3"/>
    <n v="4.9213422519094621E-2"/>
  </r>
  <r>
    <s v="PO-01967"/>
    <x v="4"/>
    <x v="10"/>
    <x v="375"/>
    <d v="2023-12-06T00:00:00"/>
    <x v="0"/>
    <n v="278"/>
    <x v="1953"/>
    <n v="47271.79"/>
    <n v="3"/>
    <x v="0"/>
    <n v="30"/>
    <n v="814.72999999999593"/>
    <n v="1.0791366906474821E-2"/>
    <n v="1.6943001905731503E-2"/>
  </r>
  <r>
    <s v="PO-01968"/>
    <x v="4"/>
    <x v="6"/>
    <x v="387"/>
    <d v="2024-12-31T00:00:00"/>
    <x v="0"/>
    <n v="36"/>
    <x v="1954"/>
    <n v="497.3"/>
    <n v="0"/>
    <x v="0"/>
    <n v="23"/>
    <n v="13.149999999999977"/>
    <n v="0"/>
    <n v="2.5761582917033947E-2"/>
  </r>
  <r>
    <s v="PO-01969"/>
    <x v="2"/>
    <x v="2"/>
    <x v="676"/>
    <s v="Not Yet Delivered"/>
    <x v="1"/>
    <n v="477"/>
    <x v="1955"/>
    <n v="105.98"/>
    <n v="2"/>
    <x v="0"/>
    <s v="Not Applicable"/>
    <n v="3.4799999999999898"/>
    <n v="4.1928721174004195E-3"/>
    <n v="3.1792435592910562E-2"/>
  </r>
  <r>
    <s v="PO-01970"/>
    <x v="0"/>
    <x v="1"/>
    <x v="456"/>
    <d v="2023-08-04T00:00:00"/>
    <x v="0"/>
    <n v="125"/>
    <x v="1956"/>
    <n v="5124.8100000000004"/>
    <n v="4"/>
    <x v="0"/>
    <n v="26"/>
    <n v="23.339999999999236"/>
    <n v="3.2000000000000001E-2"/>
    <n v="4.5336674339324298E-3"/>
  </r>
  <r>
    <s v="PO-01971"/>
    <x v="7"/>
    <x v="5"/>
    <x v="98"/>
    <d v="2023-02-07T00:00:00"/>
    <x v="0"/>
    <n v="344"/>
    <x v="1957"/>
    <n v="833.38"/>
    <n v="0"/>
    <x v="0"/>
    <n v="4"/>
    <n v="8.9600000000000364"/>
    <n v="0"/>
    <n v="1.0637034926514277E-2"/>
  </r>
  <r>
    <s v="PO-01972"/>
    <x v="7"/>
    <x v="5"/>
    <x v="31"/>
    <d v="2024-04-18T00:00:00"/>
    <x v="0"/>
    <n v="197"/>
    <x v="1958"/>
    <n v="867.48"/>
    <n v="4"/>
    <x v="0"/>
    <n v="30"/>
    <n v="19"/>
    <n v="2.030456852791878E-2"/>
    <n v="2.1433083656709682E-2"/>
  </r>
  <r>
    <s v="PO-01973"/>
    <x v="4"/>
    <x v="5"/>
    <x v="178"/>
    <d v="2024-07-10T00:00:00"/>
    <x v="0"/>
    <n v="489"/>
    <x v="1959"/>
    <n v="826.02"/>
    <n v="3"/>
    <x v="0"/>
    <n v="17"/>
    <n v="47.730000000000018"/>
    <n v="6.1349693251533744E-3"/>
    <n v="5.4626609442060103E-2"/>
  </r>
  <r>
    <s v="PO-01974"/>
    <x v="3"/>
    <x v="1"/>
    <x v="678"/>
    <d v="2023-12-24T00:00:00"/>
    <x v="3"/>
    <n v="289"/>
    <x v="1960"/>
    <n v="5186.6099999999997"/>
    <n v="6"/>
    <x v="0"/>
    <n v="29"/>
    <n v="117.34000000000015"/>
    <n v="2.0761245674740483E-2"/>
    <n v="2.2123134644934463E-2"/>
  </r>
  <r>
    <s v="PO-01975"/>
    <x v="6"/>
    <x v="5"/>
    <x v="654"/>
    <d v="2024-08-11T00:00:00"/>
    <x v="0"/>
    <n v="354"/>
    <x v="1961"/>
    <n v="993.18"/>
    <n v="0"/>
    <x v="0"/>
    <n v="17"/>
    <n v="5.2400000000000091"/>
    <n v="0"/>
    <n v="5.2482923018369113E-3"/>
  </r>
  <r>
    <s v="PO-01976"/>
    <x v="5"/>
    <x v="4"/>
    <x v="685"/>
    <d v="2024-12-10T00:00:00"/>
    <x v="0"/>
    <n v="77"/>
    <x v="1962"/>
    <n v="47057.59"/>
    <n v="0"/>
    <x v="0"/>
    <n v="27"/>
    <n v="2214.3600000000006"/>
    <n v="0"/>
    <n v="4.4941594558364356E-2"/>
  </r>
  <r>
    <s v="PO-01977"/>
    <x v="0"/>
    <x v="11"/>
    <x v="398"/>
    <d v="2023-06-07T00:00:00"/>
    <x v="0"/>
    <n v="440"/>
    <x v="1963"/>
    <n v="14807.89"/>
    <n v="3"/>
    <x v="0"/>
    <n v="29"/>
    <n v="388.55000000000109"/>
    <n v="6.8181818181818179E-3"/>
    <n v="2.5568488409127472E-2"/>
  </r>
  <r>
    <s v="PO-01978"/>
    <x v="5"/>
    <x v="6"/>
    <x v="337"/>
    <s v="Not Yet Delivered"/>
    <x v="1"/>
    <n v="418"/>
    <x v="1964"/>
    <n v="515.95000000000005"/>
    <n v="2"/>
    <x v="0"/>
    <s v="Not Applicable"/>
    <n v="25.759999999999991"/>
    <n v="4.7846889952153108E-3"/>
    <n v="4.7553118827416863E-2"/>
  </r>
  <r>
    <s v="PO-01979"/>
    <x v="3"/>
    <x v="9"/>
    <x v="203"/>
    <d v="2024-12-05T00:00:00"/>
    <x v="0"/>
    <n v="25"/>
    <x v="1965"/>
    <n v="6683.26"/>
    <n v="1"/>
    <x v="0"/>
    <n v="4"/>
    <n v="122.56999999999971"/>
    <n v="0.04"/>
    <n v="1.8009559451235148E-2"/>
  </r>
  <r>
    <s v="PO-01980"/>
    <x v="7"/>
    <x v="7"/>
    <x v="15"/>
    <d v="2024-02-14T00:00:00"/>
    <x v="0"/>
    <n v="181"/>
    <x v="1966"/>
    <n v="10561.84"/>
    <n v="1"/>
    <x v="0"/>
    <n v="23"/>
    <n v="648.20999999999913"/>
    <n v="5.5248618784530384E-3"/>
    <n v="5.7824006137349893E-2"/>
  </r>
  <r>
    <s v="PO-01981"/>
    <x v="5"/>
    <x v="7"/>
    <x v="238"/>
    <d v="2024-01-15T00:00:00"/>
    <x v="0"/>
    <n v="442"/>
    <x v="1967"/>
    <n v="11240.81"/>
    <n v="6"/>
    <x v="0"/>
    <n v="15"/>
    <n v="185.84000000000015"/>
    <n v="1.3574660633484163E-2"/>
    <n v="1.6263734340335984E-2"/>
  </r>
  <r>
    <s v="PO-01982"/>
    <x v="5"/>
    <x v="9"/>
    <x v="686"/>
    <d v="2023-12-16T00:00:00"/>
    <x v="3"/>
    <n v="387"/>
    <x v="1968"/>
    <n v="6619.42"/>
    <n v="4"/>
    <x v="1"/>
    <n v="20"/>
    <n v="11.170000000000073"/>
    <n v="1.0335917312661499E-2"/>
    <n v="1.6846163011134865E-3"/>
  </r>
  <r>
    <s v="PO-01983"/>
    <x v="4"/>
    <x v="0"/>
    <x v="330"/>
    <d v="2023-01-26T00:00:00"/>
    <x v="0"/>
    <n v="337"/>
    <x v="1969"/>
    <n v="3895.82"/>
    <n v="7"/>
    <x v="1"/>
    <n v="20"/>
    <n v="45.049999999999727"/>
    <n v="2.0771513353115726E-2"/>
    <n v="1.1431485940921606E-2"/>
  </r>
  <r>
    <s v="PO-01984"/>
    <x v="4"/>
    <x v="8"/>
    <x v="375"/>
    <d v="2023-11-15T00:00:00"/>
    <x v="0"/>
    <n v="403"/>
    <x v="1970"/>
    <n v="7202.43"/>
    <n v="2"/>
    <x v="0"/>
    <n v="9"/>
    <n v="356.98999999999978"/>
    <n v="4.9627791563275434E-3"/>
    <n v="4.7224522516277671E-2"/>
  </r>
  <r>
    <s v="PO-01985"/>
    <x v="2"/>
    <x v="6"/>
    <x v="370"/>
    <d v="2023-06-02T00:00:00"/>
    <x v="0"/>
    <n v="296"/>
    <x v="1971"/>
    <n v="498.46"/>
    <n v="0"/>
    <x v="0"/>
    <n v="30"/>
    <n v="26.829999999999984"/>
    <n v="0"/>
    <n v="5.1076548192427011E-2"/>
  </r>
  <r>
    <s v="PO-01986"/>
    <x v="3"/>
    <x v="4"/>
    <x v="500"/>
    <s v="Not Yet Delivered"/>
    <x v="1"/>
    <n v="150"/>
    <x v="1972"/>
    <n v="46682.1"/>
    <n v="2"/>
    <x v="0"/>
    <s v="Not Applicable"/>
    <n v="1799.1699999999983"/>
    <n v="1.3333333333333334E-2"/>
    <n v="3.711062024571548E-2"/>
  </r>
  <r>
    <s v="PO-01987"/>
    <x v="7"/>
    <x v="6"/>
    <x v="499"/>
    <d v="2023-09-29T00:00:00"/>
    <x v="0"/>
    <n v="136"/>
    <x v="1973"/>
    <n v="512.73"/>
    <n v="0"/>
    <x v="0"/>
    <n v="15"/>
    <n v="28.5"/>
    <n v="0"/>
    <n v="5.2657834931544814E-2"/>
  </r>
  <r>
    <s v="PO-01988"/>
    <x v="3"/>
    <x v="3"/>
    <x v="71"/>
    <d v="2024-07-20T00:00:00"/>
    <x v="0"/>
    <n v="360"/>
    <x v="1974"/>
    <n v="12085.66"/>
    <n v="7"/>
    <x v="0"/>
    <n v="24"/>
    <n v="578.34000000000015"/>
    <n v="1.9444444444444445E-2"/>
    <n v="4.5668035375868617E-2"/>
  </r>
  <r>
    <s v="PO-01989"/>
    <x v="1"/>
    <x v="6"/>
    <x v="194"/>
    <d v="2024-09-12T00:00:00"/>
    <x v="0"/>
    <n v="363"/>
    <x v="1975"/>
    <n v="531.91999999999996"/>
    <n v="5"/>
    <x v="0"/>
    <n v="3"/>
    <n v="12.970000000000027"/>
    <n v="1.3774104683195593E-2"/>
    <n v="2.3802969406669285E-2"/>
  </r>
  <r>
    <s v="PO-01990"/>
    <x v="1"/>
    <x v="10"/>
    <x v="536"/>
    <d v="2024-05-25T00:00:00"/>
    <x v="0"/>
    <n v="17"/>
    <x v="1976"/>
    <n v="45525.39"/>
    <n v="0"/>
    <x v="0"/>
    <n v="12"/>
    <n v="1687.6699999999983"/>
    <n v="0"/>
    <n v="3.5745829649677409E-2"/>
  </r>
  <r>
    <s v="PO-01991"/>
    <x v="3"/>
    <x v="0"/>
    <x v="225"/>
    <d v="2024-10-01T00:00:00"/>
    <x v="3"/>
    <n v="454"/>
    <x v="1977"/>
    <n v="4082.61"/>
    <n v="6"/>
    <x v="0"/>
    <n v="29"/>
    <n v="75.190000000000055"/>
    <n v="1.3215859030837005E-2"/>
    <n v="1.8084082928471801E-2"/>
  </r>
  <r>
    <s v="PO-01992"/>
    <x v="4"/>
    <x v="0"/>
    <x v="144"/>
    <d v="2024-10-12T00:00:00"/>
    <x v="0"/>
    <n v="228"/>
    <x v="1978"/>
    <n v="3760.77"/>
    <n v="2"/>
    <x v="0"/>
    <n v="9"/>
    <n v="234.17000000000007"/>
    <n v="8.771929824561403E-3"/>
    <n v="5.8616650062328864E-2"/>
  </r>
  <r>
    <s v="PO-01993"/>
    <x v="0"/>
    <x v="5"/>
    <x v="92"/>
    <d v="2023-07-05T00:00:00"/>
    <x v="0"/>
    <n v="155"/>
    <x v="1979"/>
    <n v="958.16"/>
    <n v="1"/>
    <x v="0"/>
    <n v="8"/>
    <n v="21.269999999999982"/>
    <n v="6.4516129032258064E-3"/>
    <n v="2.1716712781924163E-2"/>
  </r>
  <r>
    <s v="PO-01994"/>
    <x v="0"/>
    <x v="3"/>
    <x v="661"/>
    <d v="2024-01-17T00:00:00"/>
    <x v="0"/>
    <n v="421"/>
    <x v="1980"/>
    <n v="12325.74"/>
    <n v="5"/>
    <x v="0"/>
    <n v="15"/>
    <n v="582.63000000000102"/>
    <n v="1.1876484560570071E-2"/>
    <n v="4.513583047278634E-2"/>
  </r>
  <r>
    <s v="PO-01995"/>
    <x v="2"/>
    <x v="9"/>
    <x v="12"/>
    <d v="2024-10-28T00:00:00"/>
    <x v="0"/>
    <n v="445"/>
    <x v="1981"/>
    <n v="6082.64"/>
    <n v="4"/>
    <x v="0"/>
    <n v="21"/>
    <n v="76.299999999999272"/>
    <n v="8.988764044943821E-3"/>
    <n v="1.2388495422913566E-2"/>
  </r>
  <r>
    <s v="PO-01996"/>
    <x v="3"/>
    <x v="1"/>
    <x v="687"/>
    <d v="2024-02-04T00:00:00"/>
    <x v="0"/>
    <n v="310"/>
    <x v="1982"/>
    <n v="5104.71"/>
    <n v="0"/>
    <x v="0"/>
    <n v="6"/>
    <n v="36.029999999999745"/>
    <n v="0"/>
    <n v="7.0087185891524852E-3"/>
  </r>
  <r>
    <s v="PO-01997"/>
    <x v="3"/>
    <x v="10"/>
    <x v="395"/>
    <d v="2025-01-01T00:00:00"/>
    <x v="0"/>
    <n v="128"/>
    <x v="1983"/>
    <n v="47508.44"/>
    <n v="0"/>
    <x v="0"/>
    <n v="11"/>
    <n v="2744.2200000000012"/>
    <n v="0"/>
    <n v="5.4608452567485997E-2"/>
  </r>
  <r>
    <s v="PO-01998"/>
    <x v="2"/>
    <x v="11"/>
    <x v="688"/>
    <d v="2023-07-30T00:00:00"/>
    <x v="0"/>
    <n v="196"/>
    <x v="1984"/>
    <n v="14231.79"/>
    <n v="3"/>
    <x v="0"/>
    <n v="13"/>
    <n v="51.789999999999054"/>
    <n v="1.5306122448979591E-2"/>
    <n v="3.625841700750026E-3"/>
  </r>
  <r>
    <s v="PO-01999"/>
    <x v="6"/>
    <x v="2"/>
    <x v="305"/>
    <d v="2024-02-03T00:00:00"/>
    <x v="0"/>
    <n v="314"/>
    <x v="1985"/>
    <n v="123.35"/>
    <n v="2"/>
    <x v="0"/>
    <n v="28"/>
    <n v="4.7199999999999989"/>
    <n v="6.369426751592357E-3"/>
    <n v="3.6854845006636987E-2"/>
  </r>
  <r>
    <s v="PO-02000"/>
    <x v="4"/>
    <x v="0"/>
    <x v="157"/>
    <d v="2024-02-14T00:00:00"/>
    <x v="3"/>
    <n v="60"/>
    <x v="1986"/>
    <n v="3705.82"/>
    <n v="0"/>
    <x v="0"/>
    <n v="25"/>
    <n v="149.83999999999969"/>
    <n v="0"/>
    <n v="3.8862347821125229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161D79-61DF-4E39-AB8D-D69AB90AB03C}"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17">
    <pivotField showAll="0"/>
    <pivotField axis="axisRow"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dataField="1" showAll="0"/>
    <pivotField showAll="0"/>
    <pivotField showAll="0"/>
    <pivotField showAll="0"/>
    <pivotField showAll="0">
      <items count="3">
        <item x="0"/>
        <item x="1"/>
        <item t="default"/>
      </items>
    </pivotField>
    <pivotField showAll="0"/>
    <pivotField showAll="0"/>
    <pivotField numFmtId="10" showAll="0"/>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Items count="1">
    <i/>
  </colItems>
  <dataFields count="1">
    <dataField name="Sum of Quantity" fld="6" baseField="1" baseItem="0"/>
  </dataFields>
  <chartFormats count="3">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3D573-3D3D-4E35-9DF0-4D9E835CB2DC}"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30" firstHeaderRow="1" firstDataRow="1" firstDataCol="1"/>
  <pivotFields count="17">
    <pivotField showAll="0"/>
    <pivotField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showAll="0"/>
    <pivotField dataField="1" showAll="0"/>
    <pivotField showAll="0"/>
    <pivotField showAll="0"/>
    <pivotField showAll="0">
      <items count="3">
        <item x="0"/>
        <item x="1"/>
        <item t="default"/>
      </items>
    </pivotField>
    <pivotField showAll="0"/>
    <pivotField showAll="0"/>
    <pivotField numFmtId="10" showAll="0"/>
    <pivotField numFmtId="10"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6"/>
    <field x="15"/>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Average of Unit_Cost" fld="7" subtotal="average" baseField="1" baseItem="0"/>
  </dataFields>
  <chartFormats count="4">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EEFBB5-C3F7-4D57-9E79-0EADD0F059DB}"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2" firstHeaderRow="0" firstDataRow="1" firstDataCol="1"/>
  <pivotFields count="17">
    <pivotField showAll="0"/>
    <pivotField axis="axisRow"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showAll="0"/>
    <pivotField dataField="1" showAll="0" avgSubtotal="1">
      <items count="1988">
        <item x="1683"/>
        <item x="190"/>
        <item x="1596"/>
        <item x="740"/>
        <item x="1001"/>
        <item x="551"/>
        <item x="872"/>
        <item x="275"/>
        <item x="300"/>
        <item x="724"/>
        <item x="411"/>
        <item x="1010"/>
        <item x="1955"/>
        <item x="692"/>
        <item x="1812"/>
        <item x="1029"/>
        <item x="1486"/>
        <item x="1143"/>
        <item x="560"/>
        <item x="1256"/>
        <item x="1102"/>
        <item x="903"/>
        <item x="279"/>
        <item x="978"/>
        <item x="1484"/>
        <item x="1183"/>
        <item x="791"/>
        <item x="1403"/>
        <item x="601"/>
        <item x="1681"/>
        <item x="1636"/>
        <item x="488"/>
        <item x="817"/>
        <item x="1186"/>
        <item x="1289"/>
        <item x="91"/>
        <item x="499"/>
        <item x="1666"/>
        <item x="1665"/>
        <item x="1260"/>
        <item x="1413"/>
        <item x="1610"/>
        <item x="986"/>
        <item x="284"/>
        <item x="56"/>
        <item x="1307"/>
        <item x="1780"/>
        <item x="157"/>
        <item x="1642"/>
        <item x="841"/>
        <item x="1095"/>
        <item x="971"/>
        <item x="143"/>
        <item x="1711"/>
        <item x="816"/>
        <item x="1891"/>
        <item x="437"/>
        <item x="1587"/>
        <item x="53"/>
        <item x="1768"/>
        <item x="550"/>
        <item x="225"/>
        <item x="580"/>
        <item x="1459"/>
        <item x="1861"/>
        <item x="1376"/>
        <item x="619"/>
        <item x="2"/>
        <item x="49"/>
        <item x="1937"/>
        <item x="734"/>
        <item x="1399"/>
        <item x="188"/>
        <item x="874"/>
        <item x="45"/>
        <item x="1466"/>
        <item x="209"/>
        <item x="915"/>
        <item x="1381"/>
        <item x="283"/>
        <item x="982"/>
        <item x="716"/>
        <item x="1586"/>
        <item x="626"/>
        <item x="406"/>
        <item x="1382"/>
        <item x="185"/>
        <item x="797"/>
        <item x="1281"/>
        <item x="355"/>
        <item x="850"/>
        <item x="1673"/>
        <item x="463"/>
        <item x="558"/>
        <item x="590"/>
        <item x="673"/>
        <item x="680"/>
        <item x="729"/>
        <item x="1359"/>
        <item x="938"/>
        <item x="682"/>
        <item x="1606"/>
        <item x="100"/>
        <item x="116"/>
        <item x="898"/>
        <item x="1534"/>
        <item x="273"/>
        <item x="1006"/>
        <item x="657"/>
        <item x="710"/>
        <item x="1889"/>
        <item x="38"/>
        <item x="196"/>
        <item x="738"/>
        <item x="8"/>
        <item x="1194"/>
        <item x="1944"/>
        <item x="504"/>
        <item x="621"/>
        <item x="1344"/>
        <item x="307"/>
        <item x="719"/>
        <item x="260"/>
        <item x="1123"/>
        <item x="141"/>
        <item x="341"/>
        <item x="1915"/>
        <item x="294"/>
        <item x="593"/>
        <item x="604"/>
        <item x="1659"/>
        <item x="508"/>
        <item x="1144"/>
        <item x="1425"/>
        <item x="1707"/>
        <item x="1895"/>
        <item x="1985"/>
        <item x="902"/>
        <item x="1052"/>
        <item x="357"/>
        <item x="9"/>
        <item x="451"/>
        <item x="1943"/>
        <item x="977"/>
        <item x="82"/>
        <item x="1702"/>
        <item x="1325"/>
        <item x="1229"/>
        <item x="1051"/>
        <item x="1067"/>
        <item x="1680"/>
        <item x="1749"/>
        <item x="912"/>
        <item x="1097"/>
        <item x="1939"/>
        <item x="1929"/>
        <item x="602"/>
        <item x="1317"/>
        <item x="413"/>
        <item x="900"/>
        <item x="298"/>
        <item x="1765"/>
        <item x="254"/>
        <item x="1258"/>
        <item x="1919"/>
        <item x="1694"/>
        <item x="1377"/>
        <item x="1108"/>
        <item x="818"/>
        <item x="517"/>
        <item x="1246"/>
        <item x="281"/>
        <item x="1076"/>
        <item x="1497"/>
        <item x="606"/>
        <item x="613"/>
        <item x="1717"/>
        <item x="1333"/>
        <item x="1332"/>
        <item x="1387"/>
        <item x="142"/>
        <item x="36"/>
        <item x="1298"/>
        <item x="725"/>
        <item x="1954"/>
        <item x="824"/>
        <item x="250"/>
        <item x="1804"/>
        <item x="1910"/>
        <item x="646"/>
        <item x="588"/>
        <item x="221"/>
        <item x="1737"/>
        <item x="866"/>
        <item x="1122"/>
        <item x="1498"/>
        <item x="641"/>
        <item x="686"/>
        <item x="1092"/>
        <item x="61"/>
        <item x="1304"/>
        <item x="994"/>
        <item x="318"/>
        <item x="1827"/>
        <item x="1971"/>
        <item x="539"/>
        <item x="1600"/>
        <item x="1858"/>
        <item x="681"/>
        <item x="963"/>
        <item x="311"/>
        <item x="759"/>
        <item x="960"/>
        <item x="1469"/>
        <item x="1757"/>
        <item x="1426"/>
        <item x="1280"/>
        <item x="266"/>
        <item x="47"/>
        <item x="326"/>
        <item x="1210"/>
        <item x="430"/>
        <item x="1475"/>
        <item x="581"/>
        <item x="1290"/>
        <item x="1821"/>
        <item x="515"/>
        <item x="947"/>
        <item x="1264"/>
        <item x="1308"/>
        <item x="459"/>
        <item x="1670"/>
        <item x="246"/>
        <item x="447"/>
        <item x="375"/>
        <item x="1121"/>
        <item x="1352"/>
        <item x="1973"/>
        <item x="1231"/>
        <item x="1964"/>
        <item x="228"/>
        <item x="489"/>
        <item x="1928"/>
        <item x="1419"/>
        <item x="1975"/>
        <item x="1188"/>
        <item x="338"/>
        <item x="1798"/>
        <item x="591"/>
        <item x="642"/>
        <item x="1430"/>
        <item x="1556"/>
        <item x="1196"/>
        <item x="1177"/>
        <item x="1874"/>
        <item x="897"/>
        <item x="420"/>
        <item x="405"/>
        <item x="644"/>
        <item x="160"/>
        <item x="474"/>
        <item x="384"/>
        <item x="308"/>
        <item x="1608"/>
        <item x="937"/>
        <item x="1238"/>
        <item x="1468"/>
        <item x="7"/>
        <item x="592"/>
        <item x="305"/>
        <item x="1021"/>
        <item x="1152"/>
        <item x="1530"/>
        <item x="187"/>
        <item x="1784"/>
        <item x="1291"/>
        <item x="94"/>
        <item x="1249"/>
        <item x="1274"/>
        <item x="416"/>
        <item x="1515"/>
        <item x="1295"/>
        <item x="603"/>
        <item x="714"/>
        <item x="1630"/>
        <item x="1719"/>
        <item x="1833"/>
        <item x="1024"/>
        <item x="211"/>
        <item x="589"/>
        <item x="707"/>
        <item x="1224"/>
        <item x="1316"/>
        <item x="625"/>
        <item x="1883"/>
        <item x="1950"/>
        <item x="1820"/>
        <item x="1421"/>
        <item x="203"/>
        <item x="1347"/>
        <item x="739"/>
        <item x="1235"/>
        <item x="472"/>
        <item x="1417"/>
        <item x="1583"/>
        <item x="1404"/>
        <item x="1601"/>
        <item x="830"/>
        <item x="200"/>
        <item x="1824"/>
        <item x="1110"/>
        <item x="224"/>
        <item x="623"/>
        <item x="202"/>
        <item x="1394"/>
        <item x="856"/>
        <item x="1565"/>
        <item x="1303"/>
        <item x="1714"/>
        <item x="1126"/>
        <item x="1429"/>
        <item x="811"/>
        <item x="1718"/>
        <item x="39"/>
        <item x="295"/>
        <item x="131"/>
        <item x="656"/>
        <item x="819"/>
        <item x="1623"/>
        <item x="397"/>
        <item x="248"/>
        <item x="1348"/>
        <item x="162"/>
        <item x="1247"/>
        <item x="1362"/>
        <item x="1363"/>
        <item x="1334"/>
        <item x="704"/>
        <item x="484"/>
        <item x="854"/>
        <item x="639"/>
        <item x="1452"/>
        <item x="426"/>
        <item x="292"/>
        <item x="1696"/>
        <item x="175"/>
        <item x="1162"/>
        <item x="1064"/>
        <item x="1402"/>
        <item x="99"/>
        <item x="1323"/>
        <item x="1374"/>
        <item x="810"/>
        <item x="1656"/>
        <item x="468"/>
        <item x="614"/>
        <item x="529"/>
        <item x="151"/>
        <item x="366"/>
        <item x="1089"/>
        <item x="1871"/>
        <item x="1703"/>
        <item x="1590"/>
        <item x="432"/>
        <item x="796"/>
        <item x="6"/>
        <item x="320"/>
        <item x="765"/>
        <item x="637"/>
        <item x="1957"/>
        <item x="1335"/>
        <item x="1918"/>
        <item x="1132"/>
        <item x="1527"/>
        <item x="1360"/>
        <item x="784"/>
        <item x="62"/>
        <item x="108"/>
        <item x="460"/>
        <item x="1214"/>
        <item x="1806"/>
        <item x="481"/>
        <item x="1733"/>
        <item x="1056"/>
        <item x="1201"/>
        <item x="1695"/>
        <item x="889"/>
        <item x="572"/>
        <item x="1796"/>
        <item x="987"/>
        <item x="1836"/>
        <item x="1020"/>
        <item x="655"/>
        <item x="630"/>
        <item x="277"/>
        <item x="1038"/>
        <item x="1195"/>
        <item x="1947"/>
        <item x="1828"/>
        <item x="485"/>
        <item x="1129"/>
        <item x="1852"/>
        <item x="1433"/>
        <item x="1039"/>
        <item x="1146"/>
        <item x="956"/>
        <item x="1543"/>
        <item x="1959"/>
        <item x="1245"/>
        <item x="392"/>
        <item x="685"/>
        <item x="1134"/>
        <item x="1091"/>
        <item x="80"/>
        <item x="635"/>
        <item x="1815"/>
        <item x="1327"/>
        <item x="137"/>
        <item x="252"/>
        <item x="1368"/>
        <item x="448"/>
        <item x="1647"/>
        <item x="1607"/>
        <item x="1278"/>
        <item x="1509"/>
        <item x="1958"/>
        <item x="1853"/>
        <item x="873"/>
        <item x="1439"/>
        <item x="534"/>
        <item x="1496"/>
        <item x="1857"/>
        <item x="616"/>
        <item x="1240"/>
        <item x="1061"/>
        <item x="1128"/>
        <item x="1810"/>
        <item x="317"/>
        <item x="1180"/>
        <item x="1444"/>
        <item x="297"/>
        <item x="51"/>
        <item x="1799"/>
        <item x="809"/>
        <item x="417"/>
        <item x="1510"/>
        <item x="192"/>
        <item x="1455"/>
        <item x="1831"/>
        <item x="153"/>
        <item x="1169"/>
        <item x="924"/>
        <item x="5"/>
        <item x="1500"/>
        <item x="1476"/>
        <item x="935"/>
        <item x="660"/>
        <item x="1904"/>
        <item x="1182"/>
        <item x="145"/>
        <item x="325"/>
        <item x="74"/>
        <item x="1074"/>
        <item x="473"/>
        <item x="1949"/>
        <item x="1482"/>
        <item x="431"/>
        <item x="1829"/>
        <item x="388"/>
        <item x="268"/>
        <item x="452"/>
        <item x="1825"/>
        <item x="779"/>
        <item x="930"/>
        <item x="343"/>
        <item x="1725"/>
        <item x="1930"/>
        <item x="287"/>
        <item x="979"/>
        <item x="546"/>
        <item x="22"/>
        <item x="1142"/>
        <item x="456"/>
        <item x="1411"/>
        <item x="19"/>
        <item x="1216"/>
        <item x="40"/>
        <item x="1081"/>
        <item x="521"/>
        <item x="166"/>
        <item x="1164"/>
        <item x="755"/>
        <item x="547"/>
        <item x="1517"/>
        <item x="1234"/>
        <item x="1549"/>
        <item x="1748"/>
        <item x="1843"/>
        <item x="458"/>
        <item x="245"/>
        <item x="1013"/>
        <item x="1709"/>
        <item x="401"/>
        <item x="697"/>
        <item x="1437"/>
        <item x="1809"/>
        <item x="708"/>
        <item x="1171"/>
        <item x="1921"/>
        <item x="1839"/>
        <item x="330"/>
        <item x="1979"/>
        <item x="1435"/>
        <item x="1884"/>
        <item x="1320"/>
        <item x="1875"/>
        <item x="688"/>
        <item x="522"/>
        <item x="1176"/>
        <item x="1068"/>
        <item x="774"/>
        <item x="705"/>
        <item x="1961"/>
        <item x="1223"/>
        <item x="1202"/>
        <item x="72"/>
        <item x="1008"/>
        <item x="1030"/>
        <item x="507"/>
        <item x="1728"/>
        <item x="249"/>
        <item x="483"/>
        <item x="890"/>
        <item x="208"/>
        <item x="1644"/>
        <item x="1693"/>
        <item x="789"/>
        <item x="103"/>
        <item x="1708"/>
        <item x="760"/>
        <item x="568"/>
        <item x="542"/>
        <item x="1552"/>
        <item x="1986"/>
        <item x="1173"/>
        <item x="1907"/>
        <item x="1679"/>
        <item x="864"/>
        <item x="438"/>
        <item x="742"/>
        <item x="1150"/>
        <item x="750"/>
        <item x="1658"/>
        <item x="265"/>
        <item x="1969"/>
        <item x="1746"/>
        <item x="1873"/>
        <item x="861"/>
        <item x="1730"/>
        <item x="1594"/>
        <item x="1692"/>
        <item x="993"/>
        <item x="983"/>
        <item x="1354"/>
        <item x="117"/>
        <item x="1080"/>
        <item x="1729"/>
        <item x="1978"/>
        <item x="390"/>
        <item x="1576"/>
        <item x="868"/>
        <item x="914"/>
        <item x="647"/>
        <item x="1100"/>
        <item x="441"/>
        <item x="1283"/>
        <item x="1802"/>
        <item x="1526"/>
        <item x="1099"/>
        <item x="896"/>
        <item x="1667"/>
        <item x="253"/>
        <item x="1248"/>
        <item x="1379"/>
        <item x="475"/>
        <item x="418"/>
        <item x="1927"/>
        <item x="174"/>
        <item x="1193"/>
        <item x="1492"/>
        <item x="1299"/>
        <item x="500"/>
        <item x="16"/>
        <item x="1518"/>
        <item x="913"/>
        <item x="583"/>
        <item x="1902"/>
        <item x="1933"/>
        <item x="1205"/>
        <item x="365"/>
        <item x="97"/>
        <item x="1713"/>
        <item x="302"/>
        <item x="1977"/>
        <item x="1427"/>
        <item x="1078"/>
        <item x="654"/>
        <item x="1451"/>
        <item x="1127"/>
        <item x="543"/>
        <item x="648"/>
        <item x="1349"/>
        <item x="442"/>
        <item x="919"/>
        <item x="370"/>
        <item x="511"/>
        <item x="1914"/>
        <item x="434"/>
        <item x="1738"/>
        <item x="1506"/>
        <item x="1546"/>
        <item x="201"/>
        <item x="513"/>
        <item x="1580"/>
        <item x="1151"/>
        <item x="1682"/>
        <item x="37"/>
        <item x="1159"/>
        <item x="536"/>
        <item x="1285"/>
        <item x="1309"/>
        <item x="1689"/>
        <item x="1705"/>
        <item x="1268"/>
        <item x="1635"/>
        <item x="803"/>
        <item x="525"/>
        <item x="1537"/>
        <item x="555"/>
        <item x="271"/>
        <item x="925"/>
        <item x="1735"/>
        <item x="193"/>
        <item x="465"/>
        <item x="135"/>
        <item x="548"/>
        <item x="32"/>
        <item x="1065"/>
        <item x="1894"/>
        <item x="1888"/>
        <item x="735"/>
        <item x="1528"/>
        <item x="446"/>
        <item x="345"/>
        <item x="636"/>
        <item x="304"/>
        <item x="741"/>
        <item x="1701"/>
        <item x="48"/>
        <item x="808"/>
        <item x="814"/>
        <item x="435"/>
        <item x="1797"/>
        <item x="649"/>
        <item x="552"/>
        <item x="962"/>
        <item x="659"/>
        <item x="1650"/>
        <item x="1772"/>
        <item x="1704"/>
        <item x="1441"/>
        <item x="512"/>
        <item x="1789"/>
        <item x="957"/>
        <item x="296"/>
        <item x="1331"/>
        <item x="731"/>
        <item x="1700"/>
        <item x="487"/>
        <item x="1480"/>
        <item x="222"/>
        <item x="1114"/>
        <item x="1086"/>
        <item x="1770"/>
        <item x="540"/>
        <item x="561"/>
        <item x="0"/>
        <item x="1296"/>
        <item x="953"/>
        <item x="984"/>
        <item x="1145"/>
        <item x="1490"/>
        <item x="1293"/>
        <item x="1732"/>
        <item x="123"/>
        <item x="1941"/>
        <item x="1547"/>
        <item x="1471"/>
        <item x="1553"/>
        <item x="147"/>
        <item x="785"/>
        <item x="737"/>
        <item x="1688"/>
        <item x="410"/>
        <item x="439"/>
        <item x="212"/>
        <item x="177"/>
        <item x="229"/>
        <item x="1315"/>
        <item x="1070"/>
        <item x="1154"/>
        <item x="514"/>
        <item x="130"/>
        <item x="1137"/>
        <item x="886"/>
        <item x="1777"/>
        <item x="263"/>
        <item x="1167"/>
        <item x="1572"/>
        <item x="1272"/>
        <item x="972"/>
        <item x="1637"/>
        <item x="1863"/>
        <item x="1864"/>
        <item x="768"/>
        <item x="1938"/>
        <item x="1602"/>
        <item x="1669"/>
        <item x="831"/>
        <item x="567"/>
        <item x="214"/>
        <item x="129"/>
        <item x="1230"/>
        <item x="758"/>
        <item x="1629"/>
        <item x="671"/>
        <item x="1398"/>
        <item x="761"/>
        <item x="491"/>
        <item x="1273"/>
        <item x="1341"/>
        <item x="766"/>
        <item x="1877"/>
        <item x="71"/>
        <item x="1190"/>
        <item x="1917"/>
        <item x="184"/>
        <item x="1616"/>
        <item x="1544"/>
        <item x="790"/>
        <item x="1561"/>
        <item x="1206"/>
        <item x="1529"/>
        <item x="115"/>
        <item x="1862"/>
        <item x="1771"/>
        <item x="1760"/>
        <item x="849"/>
        <item x="180"/>
        <item x="1646"/>
        <item x="804"/>
        <item x="1584"/>
        <item x="949"/>
        <item x="98"/>
        <item x="83"/>
        <item x="480"/>
        <item x="702"/>
        <item x="1782"/>
        <item x="1166"/>
        <item x="1117"/>
        <item x="869"/>
        <item x="1776"/>
        <item x="1375"/>
        <item x="509"/>
        <item x="1211"/>
        <item x="1982"/>
        <item x="1956"/>
        <item x="230"/>
        <item x="1328"/>
        <item x="1"/>
        <item x="624"/>
        <item x="125"/>
        <item x="1250"/>
        <item x="1057"/>
        <item x="412"/>
        <item x="600"/>
        <item x="276"/>
        <item x="1033"/>
        <item x="715"/>
        <item x="1276"/>
        <item x="367"/>
        <item x="1428"/>
        <item x="168"/>
        <item x="1942"/>
        <item x="763"/>
        <item x="840"/>
        <item x="651"/>
        <item x="1574"/>
        <item x="408"/>
        <item x="344"/>
        <item x="1420"/>
        <item x="991"/>
        <item x="934"/>
        <item x="1960"/>
        <item x="440"/>
        <item x="1072"/>
        <item x="564"/>
        <item x="349"/>
        <item x="332"/>
        <item x="233"/>
        <item x="578"/>
        <item x="403"/>
        <item x="1130"/>
        <item x="159"/>
        <item x="407"/>
        <item x="1592"/>
        <item x="882"/>
        <item x="1397"/>
        <item x="807"/>
        <item x="1406"/>
        <item x="323"/>
        <item x="478"/>
        <item x="1952"/>
        <item x="155"/>
        <item x="596"/>
        <item x="1570"/>
        <item x="291"/>
        <item x="777"/>
        <item x="1181"/>
        <item x="805"/>
        <item x="1263"/>
        <item x="132"/>
        <item x="242"/>
        <item x="1049"/>
        <item x="324"/>
        <item x="428"/>
        <item x="775"/>
        <item x="1016"/>
        <item x="703"/>
        <item x="436"/>
        <item x="1893"/>
        <item x="314"/>
        <item x="1409"/>
        <item x="944"/>
        <item x="1138"/>
        <item x="398"/>
        <item x="1663"/>
        <item x="837"/>
        <item x="1058"/>
        <item x="319"/>
        <item x="736"/>
        <item x="696"/>
        <item x="533"/>
        <item x="893"/>
        <item x="885"/>
        <item x="286"/>
        <item x="1047"/>
        <item x="122"/>
        <item x="985"/>
        <item x="1339"/>
        <item x="1022"/>
        <item x="457"/>
        <item x="92"/>
        <item x="1817"/>
        <item x="1557"/>
        <item x="1640"/>
        <item x="1774"/>
        <item x="1750"/>
        <item x="523"/>
        <item x="1524"/>
        <item x="1241"/>
        <item x="1631"/>
        <item x="922"/>
        <item x="1079"/>
        <item x="1934"/>
        <item x="1448"/>
        <item x="195"/>
        <item x="1643"/>
        <item x="732"/>
        <item x="538"/>
        <item x="333"/>
        <item x="907"/>
        <item x="1131"/>
        <item x="23"/>
        <item x="377"/>
        <item x="182"/>
        <item x="422"/>
        <item x="1488"/>
        <item x="871"/>
        <item x="870"/>
        <item x="1639"/>
        <item x="259"/>
        <item x="189"/>
        <item x="1551"/>
        <item x="433"/>
        <item x="1690"/>
        <item x="1577"/>
        <item x="331"/>
        <item x="878"/>
        <item x="183"/>
        <item x="845"/>
        <item x="127"/>
        <item x="1860"/>
        <item x="1135"/>
        <item x="1356"/>
        <item x="1393"/>
        <item x="1619"/>
        <item x="1981"/>
        <item x="379"/>
        <item x="1125"/>
        <item x="1225"/>
        <item x="771"/>
        <item x="191"/>
        <item x="340"/>
        <item x="1813"/>
        <item x="210"/>
        <item x="1625"/>
        <item x="1908"/>
        <item x="829"/>
        <item x="1554"/>
        <item x="267"/>
        <item x="1191"/>
        <item x="1722"/>
        <item x="335"/>
        <item x="1794"/>
        <item x="1346"/>
        <item x="1522"/>
        <item x="1412"/>
        <item x="198"/>
        <item x="1870"/>
        <item x="629"/>
        <item x="1007"/>
        <item x="364"/>
        <item x="506"/>
        <item x="968"/>
        <item x="1358"/>
        <item x="940"/>
        <item x="881"/>
        <item x="313"/>
        <item x="926"/>
        <item x="1567"/>
        <item x="280"/>
        <item x="1605"/>
        <item x="1859"/>
        <item x="315"/>
        <item x="666"/>
        <item x="258"/>
        <item x="1011"/>
        <item x="194"/>
        <item x="1900"/>
        <item x="1715"/>
        <item x="806"/>
        <item x="502"/>
        <item x="894"/>
        <item x="526"/>
        <item x="1237"/>
        <item x="828"/>
        <item x="1747"/>
        <item x="684"/>
        <item x="748"/>
        <item x="133"/>
        <item x="264"/>
        <item x="1365"/>
        <item x="1548"/>
        <item x="429"/>
        <item x="975"/>
        <item x="1254"/>
        <item x="516"/>
        <item x="1968"/>
        <item x="720"/>
        <item x="1342"/>
        <item x="610"/>
        <item x="1071"/>
        <item x="13"/>
        <item x="520"/>
        <item x="862"/>
        <item x="820"/>
        <item x="269"/>
        <item x="1906"/>
        <item x="859"/>
        <item x="67"/>
        <item x="929"/>
        <item x="1589"/>
        <item x="650"/>
        <item x="658"/>
        <item x="1319"/>
        <item x="1697"/>
        <item x="1965"/>
        <item x="1886"/>
        <item x="1916"/>
        <item x="1911"/>
        <item x="574"/>
        <item x="1503"/>
        <item x="723"/>
        <item x="382"/>
        <item x="362"/>
        <item x="31"/>
        <item x="524"/>
        <item x="152"/>
        <item x="394"/>
        <item x="1618"/>
        <item x="462"/>
        <item x="1611"/>
        <item x="597"/>
        <item x="1655"/>
        <item x="927"/>
        <item x="140"/>
        <item x="101"/>
        <item x="453"/>
        <item x="690"/>
        <item x="1734"/>
        <item x="916"/>
        <item x="1519"/>
        <item x="1970"/>
        <item x="1539"/>
        <item x="954"/>
        <item x="1261"/>
        <item x="1638"/>
        <item x="556"/>
        <item x="29"/>
        <item x="126"/>
        <item x="1208"/>
        <item x="1854"/>
        <item x="798"/>
        <item x="329"/>
        <item x="1674"/>
        <item x="1502"/>
        <item x="1084"/>
        <item x="1405"/>
        <item x="1545"/>
        <item x="1244"/>
        <item x="1336"/>
        <item x="911"/>
        <item x="678"/>
        <item x="1628"/>
        <item x="1069"/>
        <item x="936"/>
        <item x="1392"/>
        <item x="79"/>
        <item x="1041"/>
        <item x="1467"/>
        <item x="444"/>
        <item x="179"/>
        <item x="1632"/>
        <item x="835"/>
        <item x="822"/>
        <item x="84"/>
        <item x="1197"/>
        <item x="661"/>
        <item x="1275"/>
        <item x="1568"/>
        <item x="1851"/>
        <item x="11"/>
        <item x="1686"/>
        <item x="744"/>
        <item x="1573"/>
        <item x="1597"/>
        <item x="709"/>
        <item x="662"/>
        <item x="718"/>
        <item x="235"/>
        <item x="234"/>
        <item x="909"/>
        <item x="1533"/>
        <item x="1312"/>
        <item x="747"/>
        <item x="1442"/>
        <item x="1652"/>
        <item x="1485"/>
        <item x="1233"/>
        <item x="569"/>
        <item x="278"/>
        <item x="1204"/>
        <item x="582"/>
        <item x="443"/>
        <item x="827"/>
        <item x="946"/>
        <item x="770"/>
        <item x="161"/>
        <item x="1424"/>
        <item x="409"/>
        <item x="1395"/>
        <item x="652"/>
        <item x="939"/>
        <item x="1149"/>
        <item x="1015"/>
        <item x="1890"/>
        <item x="1396"/>
        <item x="1014"/>
        <item x="351"/>
        <item x="470"/>
        <item x="1684"/>
        <item x="1044"/>
        <item x="350"/>
        <item x="815"/>
        <item x="1465"/>
        <item x="1633"/>
        <item x="1677"/>
        <item x="1300"/>
        <item x="605"/>
        <item x="1366"/>
        <item x="1434"/>
        <item x="494"/>
        <item x="1271"/>
        <item x="218"/>
        <item x="75"/>
        <item x="1520"/>
        <item x="541"/>
        <item x="96"/>
        <item x="663"/>
        <item x="354"/>
        <item x="1351"/>
        <item x="563"/>
        <item x="867"/>
        <item x="1043"/>
        <item x="1795"/>
        <item x="381"/>
        <item x="683"/>
        <item x="356"/>
        <item x="553"/>
        <item x="1504"/>
        <item x="585"/>
        <item x="640"/>
        <item x="1340"/>
        <item x="1710"/>
        <item x="1322"/>
        <item x="73"/>
        <item x="1885"/>
        <item x="217"/>
        <item x="1082"/>
        <item x="1077"/>
        <item x="1147"/>
        <item x="884"/>
        <item x="1743"/>
        <item x="1536"/>
        <item x="565"/>
        <item x="892"/>
        <item x="1168"/>
        <item x="43"/>
        <item x="1286"/>
        <item x="107"/>
        <item x="988"/>
        <item x="1945"/>
        <item x="1566"/>
        <item x="299"/>
        <item x="86"/>
        <item x="1838"/>
        <item x="570"/>
        <item x="1262"/>
        <item x="1105"/>
        <item x="1457"/>
        <item x="799"/>
        <item x="1184"/>
        <item x="1389"/>
        <item x="1139"/>
        <item x="1028"/>
        <item x="612"/>
        <item x="1483"/>
        <item x="1720"/>
        <item x="1384"/>
        <item x="1555"/>
        <item x="445"/>
        <item x="545"/>
        <item x="917"/>
        <item x="1373"/>
        <item x="1227"/>
        <item x="1687"/>
        <item x="931"/>
        <item x="788"/>
        <item x="961"/>
        <item x="628"/>
        <item x="1613"/>
        <item x="1054"/>
        <item x="1582"/>
        <item x="1866"/>
        <item x="1226"/>
        <item x="969"/>
        <item x="1865"/>
        <item x="1364"/>
        <item x="1157"/>
        <item x="995"/>
        <item x="1849"/>
        <item x="1764"/>
        <item x="1113"/>
        <item x="992"/>
        <item x="932"/>
        <item x="1491"/>
        <item x="476"/>
        <item x="1209"/>
        <item x="1287"/>
        <item x="1023"/>
        <item x="1305"/>
        <item x="57"/>
        <item x="1093"/>
        <item x="1767"/>
        <item x="404"/>
        <item x="510"/>
        <item x="1073"/>
        <item x="905"/>
        <item x="677"/>
        <item x="1472"/>
        <item x="1148"/>
        <item x="369"/>
        <item x="1751"/>
        <item x="728"/>
        <item x="1337"/>
        <item x="1909"/>
        <item x="395"/>
        <item x="527"/>
        <item x="1724"/>
        <item x="425"/>
        <item x="847"/>
        <item x="1118"/>
        <item x="385"/>
        <item x="1386"/>
        <item x="1758"/>
        <item x="285"/>
        <item x="1473"/>
        <item x="1535"/>
        <item x="883"/>
        <item x="227"/>
        <item x="1966"/>
        <item x="1840"/>
        <item x="1477"/>
        <item x="1588"/>
        <item x="1752"/>
        <item x="608"/>
        <item x="501"/>
        <item x="1627"/>
        <item x="1338"/>
        <item x="12"/>
        <item x="1265"/>
        <item x="1615"/>
        <item x="1267"/>
        <item x="706"/>
        <item x="482"/>
        <item x="1756"/>
        <item x="450"/>
        <item x="1645"/>
        <item x="505"/>
        <item x="1844"/>
        <item x="795"/>
        <item x="1769"/>
        <item x="1967"/>
        <item x="1292"/>
        <item x="492"/>
        <item x="1474"/>
        <item x="1255"/>
        <item x="44"/>
        <item x="921"/>
        <item x="102"/>
        <item x="1458"/>
        <item x="576"/>
        <item x="154"/>
        <item x="1763"/>
        <item x="643"/>
        <item x="461"/>
        <item x="1418"/>
        <item x="10"/>
        <item x="41"/>
        <item x="378"/>
        <item x="712"/>
        <item x="380"/>
        <item x="733"/>
        <item x="139"/>
        <item x="1699"/>
        <item x="371"/>
        <item x="1848"/>
        <item x="1903"/>
        <item x="1388"/>
        <item x="1753"/>
        <item x="464"/>
        <item x="1215"/>
        <item x="1036"/>
        <item x="1112"/>
        <item x="1242"/>
        <item x="1563"/>
        <item x="241"/>
        <item x="358"/>
        <item x="1676"/>
        <item x="207"/>
        <item x="1790"/>
        <item x="1579"/>
        <item x="1158"/>
        <item x="1706"/>
        <item x="941"/>
        <item x="754"/>
        <item x="853"/>
        <item x="1053"/>
        <item x="1807"/>
        <item x="665"/>
        <item x="966"/>
        <item x="337"/>
        <item x="1595"/>
        <item x="1727"/>
        <item x="35"/>
        <item x="1106"/>
        <item x="1887"/>
        <item x="1609"/>
        <item x="1832"/>
        <item x="1423"/>
        <item x="1538"/>
        <item x="1170"/>
        <item x="1591"/>
        <item x="1781"/>
        <item x="176"/>
        <item x="745"/>
        <item x="1005"/>
        <item x="68"/>
        <item x="77"/>
        <item x="1042"/>
        <item x="1808"/>
        <item x="1357"/>
        <item x="999"/>
        <item x="908"/>
        <item x="1372"/>
        <item x="1450"/>
        <item x="1507"/>
        <item x="1385"/>
        <item x="42"/>
        <item x="257"/>
        <item x="1876"/>
        <item x="698"/>
        <item x="95"/>
        <item x="1803"/>
        <item x="415"/>
        <item x="391"/>
        <item x="1115"/>
        <item x="1855"/>
        <item x="764"/>
        <item x="1034"/>
        <item x="1604"/>
        <item x="839"/>
        <item x="466"/>
        <item x="1222"/>
        <item x="801"/>
        <item x="1913"/>
        <item x="1326"/>
        <item x="427"/>
        <item x="220"/>
        <item x="1786"/>
        <item x="1175"/>
        <item x="346"/>
        <item x="112"/>
        <item x="717"/>
        <item x="730"/>
        <item x="1297"/>
        <item x="573"/>
        <item x="846"/>
        <item x="622"/>
        <item x="802"/>
        <item x="1353"/>
        <item x="197"/>
        <item x="383"/>
        <item x="920"/>
        <item x="240"/>
        <item x="951"/>
        <item x="1653"/>
        <item x="887"/>
        <item x="877"/>
        <item x="104"/>
        <item x="1454"/>
        <item x="1935"/>
        <item x="402"/>
        <item x="594"/>
        <item x="694"/>
        <item x="361"/>
        <item x="1842"/>
        <item x="1243"/>
        <item x="312"/>
        <item x="1111"/>
        <item x="353"/>
        <item x="1581"/>
        <item x="87"/>
        <item x="762"/>
        <item x="958"/>
        <item x="1431"/>
        <item x="1721"/>
        <item x="689"/>
        <item x="261"/>
        <item x="1550"/>
        <item x="559"/>
        <item x="1462"/>
        <item x="1525"/>
        <item x="1685"/>
        <item x="1160"/>
        <item x="1641"/>
        <item x="1063"/>
        <item x="653"/>
        <item x="1493"/>
        <item x="1801"/>
        <item x="1850"/>
        <item x="1664"/>
        <item x="477"/>
        <item x="1599"/>
        <item x="857"/>
        <item x="1109"/>
        <item x="1026"/>
        <item x="363"/>
        <item x="1172"/>
        <item x="783"/>
        <item x="1936"/>
        <item x="46"/>
        <item x="1200"/>
        <item x="1974"/>
        <item x="1252"/>
        <item x="181"/>
        <item x="1814"/>
        <item x="1905"/>
        <item x="1823"/>
        <item x="1691"/>
        <item x="493"/>
        <item x="1766"/>
        <item x="773"/>
        <item x="389"/>
        <item x="1407"/>
        <item x="1449"/>
        <item x="743"/>
        <item x="1003"/>
        <item x="1410"/>
        <item x="851"/>
        <item x="1361"/>
        <item x="611"/>
        <item x="1436"/>
        <item x="1270"/>
        <item x="28"/>
        <item x="722"/>
        <item x="1207"/>
        <item x="1187"/>
        <item x="1236"/>
        <item x="1562"/>
        <item x="321"/>
        <item x="942"/>
        <item x="1775"/>
        <item x="244"/>
        <item x="1612"/>
        <item x="455"/>
        <item x="1716"/>
        <item x="348"/>
        <item x="134"/>
        <item x="1279"/>
        <item x="1980"/>
        <item x="111"/>
        <item x="1324"/>
        <item x="471"/>
        <item x="1754"/>
        <item x="1742"/>
        <item x="1739"/>
        <item x="959"/>
        <item x="1792"/>
        <item x="414"/>
        <item x="144"/>
        <item x="1532"/>
        <item x="964"/>
        <item x="1266"/>
        <item x="1066"/>
        <item x="1219"/>
        <item x="376"/>
        <item x="1508"/>
        <item x="557"/>
        <item x="1505"/>
        <item x="1104"/>
        <item x="826"/>
        <item x="1940"/>
        <item x="848"/>
        <item x="577"/>
        <item x="309"/>
        <item x="58"/>
        <item x="1512"/>
        <item x="243"/>
        <item x="1000"/>
        <item x="1288"/>
        <item x="469"/>
        <item x="617"/>
        <item x="1284"/>
        <item x="1624"/>
        <item x="832"/>
        <item x="843"/>
        <item x="170"/>
        <item x="1660"/>
        <item x="1661"/>
        <item x="399"/>
        <item x="290"/>
        <item x="1050"/>
        <item x="3"/>
        <item x="687"/>
        <item x="1736"/>
        <item x="449"/>
        <item x="980"/>
        <item x="1922"/>
        <item x="213"/>
        <item x="1558"/>
        <item x="996"/>
        <item x="973"/>
        <item x="251"/>
        <item x="1931"/>
        <item x="821"/>
        <item x="1390"/>
        <item x="1662"/>
        <item x="1371"/>
        <item x="15"/>
        <item x="1925"/>
        <item x="1055"/>
        <item x="923"/>
        <item x="749"/>
        <item x="1107"/>
        <item x="1009"/>
        <item x="486"/>
        <item x="105"/>
        <item x="530"/>
        <item x="1391"/>
        <item x="752"/>
        <item x="1120"/>
        <item x="54"/>
        <item x="288"/>
        <item x="1203"/>
        <item x="33"/>
        <item x="270"/>
        <item x="1620"/>
        <item x="792"/>
        <item x="1446"/>
        <item x="1318"/>
        <item x="136"/>
        <item x="880"/>
        <item x="1805"/>
        <item x="1830"/>
        <item x="1523"/>
        <item x="1560"/>
        <item x="1133"/>
        <item x="1141"/>
        <item x="1040"/>
        <item x="109"/>
        <item x="1513"/>
        <item x="575"/>
        <item x="1445"/>
        <item x="1277"/>
        <item x="293"/>
        <item x="1314"/>
        <item x="1481"/>
        <item x="1516"/>
        <item x="1571"/>
        <item x="1232"/>
        <item x="587"/>
        <item x="334"/>
        <item x="454"/>
        <item x="76"/>
        <item x="1946"/>
        <item x="1487"/>
        <item x="571"/>
        <item x="634"/>
        <item x="645"/>
        <item x="981"/>
        <item x="1811"/>
        <item x="1088"/>
        <item x="424"/>
        <item x="1012"/>
        <item x="1626"/>
        <item x="150"/>
        <item x="1818"/>
        <item x="1649"/>
        <item x="90"/>
        <item x="668"/>
        <item x="1501"/>
        <item x="1559"/>
        <item x="618"/>
        <item x="1923"/>
        <item x="1984"/>
        <item x="1075"/>
        <item x="1213"/>
        <item x="18"/>
        <item x="586"/>
        <item x="1542"/>
        <item x="1896"/>
        <item x="128"/>
        <item x="532"/>
        <item x="1136"/>
        <item x="114"/>
        <item x="584"/>
        <item x="1018"/>
        <item x="948"/>
        <item x="579"/>
        <item x="1675"/>
        <item x="793"/>
        <item x="1761"/>
        <item x="945"/>
        <item x="1447"/>
        <item x="396"/>
        <item x="219"/>
        <item x="34"/>
        <item x="1617"/>
        <item x="1378"/>
        <item x="1494"/>
        <item x="1185"/>
        <item x="239"/>
        <item x="178"/>
        <item x="967"/>
        <item x="1329"/>
        <item x="497"/>
        <item x="1179"/>
        <item x="88"/>
        <item x="1438"/>
        <item x="1218"/>
        <item x="70"/>
        <item x="1401"/>
        <item x="498"/>
        <item x="289"/>
        <item x="1415"/>
        <item x="186"/>
        <item x="751"/>
        <item x="1045"/>
        <item x="1672"/>
        <item x="757"/>
        <item x="1228"/>
        <item x="372"/>
        <item x="531"/>
        <item x="1355"/>
        <item x="1856"/>
        <item x="595"/>
        <item x="976"/>
        <item x="1963"/>
        <item x="1094"/>
        <item x="400"/>
        <item x="753"/>
        <item x="726"/>
        <item x="1899"/>
        <item x="1819"/>
        <item x="93"/>
        <item x="701"/>
        <item x="171"/>
        <item x="1779"/>
        <item x="772"/>
        <item x="1745"/>
        <item x="1723"/>
        <item x="226"/>
        <item x="620"/>
        <item x="1841"/>
        <item x="479"/>
        <item x="169"/>
        <item x="204"/>
        <item x="632"/>
        <item x="1046"/>
        <item x="1220"/>
        <item x="352"/>
        <item x="713"/>
        <item x="1461"/>
        <item x="1920"/>
        <item x="1239"/>
        <item x="336"/>
        <item x="1416"/>
        <item x="1926"/>
        <item x="1489"/>
        <item x="25"/>
        <item x="1867"/>
        <item x="1951"/>
        <item x="1463"/>
        <item x="769"/>
        <item x="149"/>
        <item x="1897"/>
        <item x="1578"/>
        <item x="1837"/>
        <item x="1313"/>
        <item x="231"/>
        <item x="1460"/>
        <item x="1032"/>
        <item x="1762"/>
        <item x="554"/>
        <item x="1031"/>
        <item x="1221"/>
        <item x="855"/>
        <item x="467"/>
        <item x="64"/>
        <item x="173"/>
        <item x="1847"/>
        <item x="1678"/>
        <item x="1198"/>
        <item x="393"/>
        <item x="670"/>
        <item x="1259"/>
        <item x="163"/>
        <item x="1383"/>
        <item x="1369"/>
        <item x="627"/>
        <item x="1367"/>
        <item x="1253"/>
        <item x="1027"/>
        <item x="119"/>
        <item x="955"/>
        <item x="842"/>
        <item x="1654"/>
        <item x="215"/>
        <item x="1791"/>
        <item x="256"/>
        <item x="1892"/>
        <item x="419"/>
        <item x="834"/>
        <item x="1302"/>
        <item x="1103"/>
        <item x="1101"/>
        <item x="965"/>
        <item x="1778"/>
        <item x="1880"/>
        <item x="121"/>
        <item x="794"/>
        <item x="997"/>
        <item x="1901"/>
        <item x="1470"/>
        <item x="1310"/>
        <item x="1793"/>
        <item x="1924"/>
        <item x="1514"/>
        <item x="490"/>
        <item x="50"/>
        <item x="787"/>
        <item x="387"/>
        <item x="528"/>
        <item x="638"/>
        <item x="633"/>
        <item x="89"/>
        <item x="360"/>
        <item x="674"/>
        <item x="943"/>
        <item x="1212"/>
        <item x="1773"/>
        <item x="1189"/>
        <item x="1440"/>
        <item x="282"/>
        <item x="1257"/>
        <item x="1294"/>
        <item x="989"/>
        <item x="1603"/>
        <item x="858"/>
        <item x="928"/>
        <item x="1408"/>
        <item x="1932"/>
        <item x="138"/>
        <item x="1178"/>
        <item x="342"/>
        <item x="1479"/>
        <item x="1912"/>
        <item x="1062"/>
        <item x="120"/>
        <item x="974"/>
        <item x="1755"/>
        <item x="631"/>
        <item x="223"/>
        <item x="306"/>
        <item x="14"/>
        <item x="1511"/>
        <item x="1306"/>
        <item x="1531"/>
        <item x="1698"/>
        <item x="1976"/>
        <item x="1521"/>
        <item x="59"/>
        <item x="778"/>
        <item x="1881"/>
        <item x="1155"/>
        <item x="599"/>
        <item x="4"/>
        <item x="906"/>
        <item x="359"/>
        <item x="879"/>
        <item x="891"/>
        <item x="1059"/>
        <item x="1311"/>
        <item x="667"/>
        <item x="1456"/>
        <item x="679"/>
        <item x="812"/>
        <item x="1217"/>
        <item x="1783"/>
        <item x="339"/>
        <item x="17"/>
        <item x="800"/>
        <item x="895"/>
        <item x="1726"/>
        <item x="110"/>
        <item x="1163"/>
        <item x="1037"/>
        <item x="721"/>
        <item x="1953"/>
        <item x="780"/>
        <item x="1443"/>
        <item x="165"/>
        <item x="1119"/>
        <item x="124"/>
        <item x="1846"/>
        <item x="236"/>
        <item x="1370"/>
        <item x="1414"/>
        <item x="1972"/>
        <item x="26"/>
        <item x="496"/>
        <item x="327"/>
        <item x="374"/>
        <item x="852"/>
        <item x="78"/>
        <item x="901"/>
        <item x="274"/>
        <item x="373"/>
        <item x="918"/>
        <item x="1712"/>
        <item x="844"/>
        <item x="272"/>
        <item x="232"/>
        <item x="158"/>
        <item x="1622"/>
        <item x="998"/>
        <item x="1759"/>
        <item x="1826"/>
        <item x="24"/>
        <item x="1962"/>
        <item x="1651"/>
        <item x="172"/>
        <item x="237"/>
        <item x="711"/>
        <item x="823"/>
        <item x="615"/>
        <item x="1740"/>
        <item x="262"/>
        <item x="1671"/>
        <item x="216"/>
        <item x="562"/>
        <item x="69"/>
        <item x="1098"/>
        <item x="1060"/>
        <item x="1400"/>
        <item x="1156"/>
        <item x="1872"/>
        <item x="1540"/>
        <item x="598"/>
        <item x="1614"/>
        <item x="1788"/>
        <item x="950"/>
        <item x="1282"/>
        <item x="1096"/>
        <item x="386"/>
        <item x="65"/>
        <item x="833"/>
        <item x="838"/>
        <item x="85"/>
        <item x="860"/>
        <item x="30"/>
        <item x="1345"/>
        <item x="1983"/>
        <item x="865"/>
        <item x="199"/>
        <item x="156"/>
        <item x="776"/>
        <item x="1499"/>
        <item x="1017"/>
        <item x="1153"/>
        <item x="672"/>
        <item x="767"/>
        <item x="1785"/>
        <item x="609"/>
        <item x="301"/>
        <item x="1569"/>
        <item x="1350"/>
        <item x="699"/>
        <item x="1301"/>
        <item x="1019"/>
        <item x="537"/>
        <item x="549"/>
        <item x="1140"/>
        <item x="60"/>
        <item x="1834"/>
        <item x="55"/>
        <item x="63"/>
        <item x="781"/>
        <item x="1744"/>
        <item x="904"/>
        <item x="347"/>
        <item x="1668"/>
        <item x="952"/>
        <item x="328"/>
        <item x="519"/>
        <item x="164"/>
        <item x="113"/>
        <item x="1025"/>
        <item x="607"/>
        <item x="910"/>
        <item x="875"/>
        <item x="1002"/>
        <item x="1948"/>
        <item x="146"/>
        <item x="20"/>
        <item x="1087"/>
        <item x="1882"/>
        <item x="1822"/>
        <item x="205"/>
        <item x="1083"/>
        <item x="899"/>
        <item x="118"/>
        <item x="106"/>
        <item x="1898"/>
        <item x="825"/>
        <item x="1845"/>
        <item x="368"/>
        <item x="1035"/>
        <item x="52"/>
        <item x="664"/>
        <item x="421"/>
        <item x="888"/>
        <item x="970"/>
        <item x="206"/>
        <item x="535"/>
        <item x="1124"/>
        <item x="990"/>
        <item x="1731"/>
        <item x="1816"/>
        <item x="1495"/>
        <item x="695"/>
        <item x="1321"/>
        <item x="675"/>
        <item x="1585"/>
        <item x="691"/>
        <item x="782"/>
        <item x="1648"/>
        <item x="1380"/>
        <item x="255"/>
        <item x="863"/>
        <item x="66"/>
        <item x="1634"/>
        <item x="1621"/>
        <item x="1575"/>
        <item x="1878"/>
        <item x="933"/>
        <item x="1432"/>
        <item x="148"/>
        <item x="1657"/>
        <item x="303"/>
        <item x="1165"/>
        <item x="1161"/>
        <item x="544"/>
        <item x="756"/>
        <item x="786"/>
        <item x="1869"/>
        <item x="1598"/>
        <item x="566"/>
        <item x="1879"/>
        <item x="247"/>
        <item x="746"/>
        <item x="322"/>
        <item x="727"/>
        <item x="423"/>
        <item x="310"/>
        <item x="1541"/>
        <item x="238"/>
        <item x="1174"/>
        <item x="676"/>
        <item x="1330"/>
        <item x="1593"/>
        <item x="316"/>
        <item x="1422"/>
        <item x="1251"/>
        <item x="693"/>
        <item x="1787"/>
        <item x="1464"/>
        <item x="1269"/>
        <item x="1343"/>
        <item x="1835"/>
        <item x="518"/>
        <item x="503"/>
        <item x="167"/>
        <item x="1004"/>
        <item x="669"/>
        <item x="1048"/>
        <item x="1085"/>
        <item x="21"/>
        <item x="813"/>
        <item x="1800"/>
        <item x="495"/>
        <item x="1868"/>
        <item x="1564"/>
        <item x="1116"/>
        <item x="1199"/>
        <item x="1453"/>
        <item x="1090"/>
        <item x="876"/>
        <item x="1741"/>
        <item x="27"/>
        <item x="836"/>
        <item x="81"/>
        <item x="1192"/>
        <item x="700"/>
        <item x="1478"/>
        <item t="avg"/>
      </items>
    </pivotField>
    <pivotField showAll="0"/>
    <pivotField showAll="0"/>
    <pivotField showAll="0">
      <items count="3">
        <item x="0"/>
        <item x="1"/>
        <item t="default"/>
      </items>
    </pivotField>
    <pivotField dataField="1" showAll="0"/>
    <pivotField showAll="0"/>
    <pivotField numFmtId="10" showAll="0"/>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Average of Delivery_Days" fld="11" subtotal="average" baseField="7" baseItem="2"/>
    <dataField name="Average of Unit_Cost" fld="7" subtotal="average" baseField="1" baseItem="0"/>
  </dataFields>
  <chartFormats count="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DBE622-3343-4A24-9B4B-A64F0E4B7C1A}"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C12" firstHeaderRow="0" firstDataRow="1" firstDataCol="1"/>
  <pivotFields count="17">
    <pivotField showAll="0"/>
    <pivotField axis="axisRow"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showAll="0"/>
    <pivotField showAll="0"/>
    <pivotField showAll="0"/>
    <pivotField showAll="0"/>
    <pivotField showAll="0">
      <items count="3">
        <item x="0"/>
        <item x="1"/>
        <item t="default"/>
      </items>
    </pivotField>
    <pivotField showAll="0"/>
    <pivotField showAll="0"/>
    <pivotField dataField="1" numFmtId="10" showAll="0"/>
    <pivotField dataField="1"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Fields count="1">
    <field x="-2"/>
  </colFields>
  <colItems count="2">
    <i>
      <x/>
    </i>
    <i i="1">
      <x v="1"/>
    </i>
  </colItems>
  <dataFields count="2">
    <dataField name="Average of Price_Saving %" fld="14" subtotal="average" baseField="1" baseItem="0" numFmtId="10"/>
    <dataField name="Average of Defect Rate" fld="13" subtotal="average" baseField="1" baseItem="0" numFmtId="10"/>
  </dataFields>
  <chartFormats count="6">
    <chartFormat chart="14"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E347F1-7936-4546-84A2-0E404A1F8702}"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7">
    <pivotField showAll="0"/>
    <pivotField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dataField="1" showAll="0"/>
    <pivotField dataField="1" showAll="0"/>
    <pivotField showAll="0"/>
    <pivotField showAll="0"/>
    <pivotField showAll="0">
      <items count="3">
        <item x="0"/>
        <item x="1"/>
        <item t="default"/>
      </items>
    </pivotField>
    <pivotField dataField="1" showAll="0"/>
    <pivotField dataField="1" showAll="0"/>
    <pivotField dataField="1" numFmtId="10" showAll="0"/>
    <pivotField dataField="1"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Fields count="1">
    <field x="-2"/>
  </colFields>
  <colItems count="6">
    <i>
      <x/>
    </i>
    <i i="1">
      <x v="1"/>
    </i>
    <i i="2">
      <x v="2"/>
    </i>
    <i i="3">
      <x v="3"/>
    </i>
    <i i="4">
      <x v="4"/>
    </i>
    <i i="5">
      <x v="5"/>
    </i>
  </colItems>
  <dataFields count="6">
    <dataField name="Average of Delivery_Days" fld="11" subtotal="average" baseField="0" baseItem="1" numFmtId="164"/>
    <dataField name="Average of Price_Saving %" fld="14" subtotal="average" baseField="0" baseItem="2" numFmtId="10"/>
    <dataField name="Average of Defect Rate" fld="13" subtotal="average" baseField="0" baseItem="2" numFmtId="10"/>
    <dataField name="Sum of Total Spend" fld="12" baseField="0" baseItem="0"/>
    <dataField name="Average of Unit_Cost" fld="7" subtotal="average" baseField="0" baseItem="4" numFmtId="2"/>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9A5673-D556-44FB-A724-646395C5EA68}"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2" firstHeaderRow="1" firstDataRow="1" firstDataCol="1"/>
  <pivotFields count="17">
    <pivotField showAll="0"/>
    <pivotField axis="axisRow"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showAll="0"/>
    <pivotField dataField="1" showAll="0"/>
    <pivotField showAll="0"/>
    <pivotField showAll="0"/>
    <pivotField showAll="0">
      <items count="3">
        <item x="0"/>
        <item x="1"/>
        <item t="default"/>
      </items>
    </pivotField>
    <pivotField showAll="0"/>
    <pivotField showAll="0"/>
    <pivotField numFmtId="10" showAll="0"/>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Items count="1">
    <i/>
  </colItems>
  <dataFields count="1">
    <dataField name="Average of Unit_Cost" fld="7" subtotal="average" baseField="1" baseItem="3"/>
  </dataFields>
  <chartFormats count="5">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BD93FE-68D5-4FD6-B866-1F5DB1B3F27F}"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7">
    <pivotField showAll="0"/>
    <pivotField axis="axisRow" showAll="0">
      <items count="9">
        <item x="2"/>
        <item x="3"/>
        <item x="1"/>
        <item x="0"/>
        <item x="7"/>
        <item x="4"/>
        <item x="6"/>
        <item x="5"/>
        <item t="default"/>
      </items>
    </pivotField>
    <pivotField showAll="0">
      <items count="13">
        <item x="7"/>
        <item x="4"/>
        <item x="1"/>
        <item x="5"/>
        <item x="10"/>
        <item x="3"/>
        <item x="6"/>
        <item x="8"/>
        <item x="2"/>
        <item x="11"/>
        <item x="0"/>
        <item x="9"/>
        <item t="default"/>
      </items>
    </pivotField>
    <pivotField numFmtId="14" showAll="0">
      <items count="690">
        <item x="85"/>
        <item x="424"/>
        <item x="271"/>
        <item x="549"/>
        <item x="330"/>
        <item x="519"/>
        <item x="52"/>
        <item x="351"/>
        <item x="158"/>
        <item x="601"/>
        <item x="168"/>
        <item x="445"/>
        <item x="134"/>
        <item x="568"/>
        <item x="108"/>
        <item x="501"/>
        <item x="90"/>
        <item x="540"/>
        <item x="114"/>
        <item x="175"/>
        <item x="23"/>
        <item x="83"/>
        <item x="382"/>
        <item x="170"/>
        <item x="215"/>
        <item x="574"/>
        <item x="593"/>
        <item x="46"/>
        <item x="337"/>
        <item x="366"/>
        <item x="199"/>
        <item x="258"/>
        <item x="98"/>
        <item x="39"/>
        <item x="11"/>
        <item x="554"/>
        <item x="643"/>
        <item x="318"/>
        <item x="118"/>
        <item x="226"/>
        <item x="482"/>
        <item x="276"/>
        <item x="200"/>
        <item x="391"/>
        <item x="430"/>
        <item x="36"/>
        <item x="629"/>
        <item x="193"/>
        <item x="569"/>
        <item x="30"/>
        <item x="436"/>
        <item x="495"/>
        <item x="20"/>
        <item x="671"/>
        <item x="65"/>
        <item x="559"/>
        <item x="34"/>
        <item x="579"/>
        <item x="655"/>
        <item x="389"/>
        <item x="112"/>
        <item x="552"/>
        <item x="626"/>
        <item x="243"/>
        <item x="69"/>
        <item x="418"/>
        <item x="291"/>
        <item x="47"/>
        <item x="636"/>
        <item x="323"/>
        <item x="132"/>
        <item x="45"/>
        <item x="425"/>
        <item x="159"/>
        <item x="191"/>
        <item x="393"/>
        <item x="414"/>
        <item x="486"/>
        <item x="210"/>
        <item x="141"/>
        <item x="524"/>
        <item x="458"/>
        <item x="570"/>
        <item x="212"/>
        <item x="131"/>
        <item x="308"/>
        <item x="412"/>
        <item x="267"/>
        <item x="82"/>
        <item x="248"/>
        <item x="385"/>
        <item x="615"/>
        <item x="41"/>
        <item x="253"/>
        <item x="451"/>
        <item x="152"/>
        <item x="465"/>
        <item x="680"/>
        <item x="56"/>
        <item x="345"/>
        <item x="354"/>
        <item x="156"/>
        <item x="658"/>
        <item x="483"/>
        <item x="133"/>
        <item x="363"/>
        <item x="590"/>
        <item x="269"/>
        <item x="97"/>
        <item x="26"/>
        <item x="380"/>
        <item x="148"/>
        <item x="33"/>
        <item x="290"/>
        <item x="231"/>
        <item x="370"/>
        <item x="181"/>
        <item x="390"/>
        <item x="378"/>
        <item x="597"/>
        <item x="473"/>
        <item x="398"/>
        <item x="489"/>
        <item x="442"/>
        <item x="539"/>
        <item x="467"/>
        <item x="450"/>
        <item x="650"/>
        <item x="303"/>
        <item x="293"/>
        <item x="471"/>
        <item x="543"/>
        <item x="404"/>
        <item x="89"/>
        <item x="550"/>
        <item x="551"/>
        <item x="525"/>
        <item x="53"/>
        <item x="517"/>
        <item x="297"/>
        <item x="510"/>
        <item x="166"/>
        <item x="94"/>
        <item x="459"/>
        <item x="21"/>
        <item x="265"/>
        <item x="230"/>
        <item x="155"/>
        <item x="376"/>
        <item x="81"/>
        <item x="259"/>
        <item x="403"/>
        <item x="534"/>
        <item x="422"/>
        <item x="350"/>
        <item x="572"/>
        <item x="491"/>
        <item x="627"/>
        <item x="99"/>
        <item x="365"/>
        <item x="478"/>
        <item x="107"/>
        <item x="369"/>
        <item x="176"/>
        <item x="221"/>
        <item x="250"/>
        <item x="487"/>
        <item x="92"/>
        <item x="87"/>
        <item x="167"/>
        <item x="470"/>
        <item x="257"/>
        <item x="62"/>
        <item x="320"/>
        <item x="592"/>
        <item x="368"/>
        <item x="241"/>
        <item x="353"/>
        <item x="456"/>
        <item x="641"/>
        <item x="346"/>
        <item x="670"/>
        <item x="349"/>
        <item x="664"/>
        <item x="515"/>
        <item x="688"/>
        <item x="196"/>
        <item x="364"/>
        <item x="8"/>
        <item x="449"/>
        <item x="50"/>
        <item x="143"/>
        <item x="640"/>
        <item x="381"/>
        <item x="208"/>
        <item x="548"/>
        <item x="187"/>
        <item x="322"/>
        <item x="631"/>
        <item x="184"/>
        <item x="129"/>
        <item x="315"/>
        <item x="512"/>
        <item x="6"/>
        <item x="331"/>
        <item x="392"/>
        <item x="25"/>
        <item x="189"/>
        <item x="179"/>
        <item x="120"/>
        <item x="377"/>
        <item x="113"/>
        <item x="100"/>
        <item x="602"/>
        <item x="76"/>
        <item x="669"/>
        <item x="681"/>
        <item x="584"/>
        <item x="64"/>
        <item x="581"/>
        <item x="530"/>
        <item x="488"/>
        <item x="139"/>
        <item x="319"/>
        <item x="55"/>
        <item x="278"/>
        <item x="583"/>
        <item x="130"/>
        <item x="453"/>
        <item x="101"/>
        <item x="496"/>
        <item x="28"/>
        <item x="638"/>
        <item x="426"/>
        <item x="60"/>
        <item x="556"/>
        <item x="264"/>
        <item x="169"/>
        <item x="192"/>
        <item x="437"/>
        <item x="684"/>
        <item x="499"/>
        <item x="406"/>
        <item x="74"/>
        <item x="116"/>
        <item x="286"/>
        <item x="557"/>
        <item x="91"/>
        <item x="384"/>
        <item x="284"/>
        <item x="523"/>
        <item x="220"/>
        <item x="481"/>
        <item x="0"/>
        <item x="546"/>
        <item x="68"/>
        <item x="128"/>
        <item x="438"/>
        <item x="580"/>
        <item x="22"/>
        <item x="270"/>
        <item x="567"/>
        <item x="588"/>
        <item x="409"/>
        <item x="633"/>
        <item x="13"/>
        <item x="652"/>
        <item x="591"/>
        <item x="657"/>
        <item x="80"/>
        <item x="247"/>
        <item x="360"/>
        <item x="300"/>
        <item x="140"/>
        <item x="262"/>
        <item x="244"/>
        <item x="313"/>
        <item x="632"/>
        <item x="635"/>
        <item x="585"/>
        <item x="285"/>
        <item x="186"/>
        <item x="190"/>
        <item x="19"/>
        <item x="197"/>
        <item x="146"/>
        <item x="528"/>
        <item x="329"/>
        <item x="651"/>
        <item x="375"/>
        <item x="292"/>
        <item x="595"/>
        <item x="207"/>
        <item x="677"/>
        <item x="277"/>
        <item x="575"/>
        <item x="273"/>
        <item x="662"/>
        <item x="240"/>
        <item x="245"/>
        <item x="268"/>
        <item x="301"/>
        <item x="110"/>
        <item x="447"/>
        <item x="454"/>
        <item x="198"/>
        <item x="327"/>
        <item x="678"/>
        <item x="686"/>
        <item x="355"/>
        <item x="446"/>
        <item x="462"/>
        <item x="75"/>
        <item x="105"/>
        <item x="38"/>
        <item x="646"/>
        <item x="608"/>
        <item x="405"/>
        <item x="306"/>
        <item x="604"/>
        <item x="274"/>
        <item x="111"/>
        <item x="283"/>
        <item x="4"/>
        <item x="460"/>
        <item x="682"/>
        <item x="32"/>
        <item x="180"/>
        <item x="676"/>
        <item x="161"/>
        <item x="537"/>
        <item x="407"/>
        <item x="310"/>
        <item x="224"/>
        <item x="242"/>
        <item x="172"/>
        <item x="645"/>
        <item x="142"/>
        <item x="67"/>
        <item x="526"/>
        <item x="238"/>
        <item x="287"/>
        <item x="661"/>
        <item x="397"/>
        <item x="232"/>
        <item x="305"/>
        <item x="106"/>
        <item x="545"/>
        <item x="421"/>
        <item x="147"/>
        <item x="279"/>
        <item x="444"/>
        <item x="493"/>
        <item x="469"/>
        <item x="500"/>
        <item x="502"/>
        <item x="563"/>
        <item x="234"/>
        <item x="511"/>
        <item x="157"/>
        <item x="95"/>
        <item x="15"/>
        <item x="5"/>
        <item x="428"/>
        <item x="367"/>
        <item x="668"/>
        <item x="644"/>
        <item x="616"/>
        <item x="687"/>
        <item x="666"/>
        <item x="420"/>
        <item x="618"/>
        <item x="342"/>
        <item x="237"/>
        <item x="667"/>
        <item x="639"/>
        <item x="77"/>
        <item x="16"/>
        <item x="218"/>
        <item x="443"/>
        <item x="216"/>
        <item x="594"/>
        <item x="246"/>
        <item x="49"/>
        <item x="679"/>
        <item x="388"/>
        <item x="282"/>
        <item x="439"/>
        <item x="121"/>
        <item x="544"/>
        <item x="419"/>
        <item x="508"/>
        <item x="553"/>
        <item x="492"/>
        <item x="411"/>
        <item x="612"/>
        <item x="408"/>
        <item x="344"/>
        <item x="217"/>
        <item x="312"/>
        <item x="429"/>
        <item x="228"/>
        <item x="162"/>
        <item x="373"/>
        <item x="596"/>
        <item x="251"/>
        <item x="609"/>
        <item x="435"/>
        <item x="260"/>
        <item x="59"/>
        <item x="598"/>
        <item x="57"/>
        <item x="255"/>
        <item x="314"/>
        <item x="656"/>
        <item x="195"/>
        <item x="586"/>
        <item x="239"/>
        <item x="31"/>
        <item x="441"/>
        <item x="35"/>
        <item x="477"/>
        <item x="58"/>
        <item x="223"/>
        <item x="93"/>
        <item x="571"/>
        <item x="672"/>
        <item x="538"/>
        <item x="611"/>
        <item x="204"/>
        <item x="490"/>
        <item x="160"/>
        <item x="84"/>
        <item x="10"/>
        <item x="617"/>
        <item x="529"/>
        <item x="582"/>
        <item x="620"/>
        <item x="171"/>
        <item x="356"/>
        <item x="88"/>
        <item x="533"/>
        <item x="334"/>
        <item x="7"/>
        <item x="18"/>
        <item x="448"/>
        <item x="455"/>
        <item x="648"/>
        <item x="164"/>
        <item x="531"/>
        <item x="605"/>
        <item x="452"/>
        <item x="298"/>
        <item x="503"/>
        <item x="177"/>
        <item x="431"/>
        <item x="222"/>
        <item x="229"/>
        <item x="485"/>
        <item x="660"/>
        <item x="304"/>
        <item x="371"/>
        <item x="547"/>
        <item x="263"/>
        <item x="214"/>
        <item x="434"/>
        <item x="674"/>
        <item x="413"/>
        <item x="154"/>
        <item x="536"/>
        <item x="79"/>
        <item x="576"/>
        <item x="560"/>
        <item x="78"/>
        <item x="72"/>
        <item x="427"/>
        <item x="96"/>
        <item x="125"/>
        <item x="61"/>
        <item x="272"/>
        <item x="532"/>
        <item x="417"/>
        <item x="396"/>
        <item x="410"/>
        <item x="399"/>
        <item x="165"/>
        <item x="137"/>
        <item x="307"/>
        <item x="558"/>
        <item x="619"/>
        <item x="266"/>
        <item x="127"/>
        <item x="37"/>
        <item x="317"/>
        <item x="102"/>
        <item x="321"/>
        <item x="66"/>
        <item x="359"/>
        <item x="362"/>
        <item x="541"/>
        <item x="372"/>
        <item x="555"/>
        <item x="683"/>
        <item x="535"/>
        <item x="622"/>
        <item x="119"/>
        <item x="564"/>
        <item x="498"/>
        <item x="475"/>
        <item x="126"/>
        <item x="178"/>
        <item x="299"/>
        <item x="520"/>
        <item x="71"/>
        <item x="182"/>
        <item x="461"/>
        <item x="573"/>
        <item x="634"/>
        <item x="219"/>
        <item x="464"/>
        <item x="275"/>
        <item x="336"/>
        <item x="252"/>
        <item x="201"/>
        <item x="509"/>
        <item x="341"/>
        <item x="494"/>
        <item x="256"/>
        <item x="281"/>
        <item x="507"/>
        <item x="2"/>
        <item x="647"/>
        <item x="261"/>
        <item x="423"/>
        <item x="51"/>
        <item x="3"/>
        <item x="506"/>
        <item x="280"/>
        <item x="123"/>
        <item x="104"/>
        <item x="654"/>
        <item x="311"/>
        <item x="174"/>
        <item x="86"/>
        <item x="401"/>
        <item x="606"/>
        <item x="138"/>
        <item x="333"/>
        <item x="432"/>
        <item x="514"/>
        <item x="673"/>
        <item x="343"/>
        <item x="185"/>
        <item x="149"/>
        <item x="400"/>
        <item x="665"/>
        <item x="352"/>
        <item x="457"/>
        <item x="383"/>
        <item x="522"/>
        <item x="474"/>
        <item x="659"/>
        <item x="325"/>
        <item x="295"/>
        <item x="463"/>
        <item x="347"/>
        <item x="480"/>
        <item x="151"/>
        <item x="288"/>
        <item x="124"/>
        <item x="472"/>
        <item x="338"/>
        <item x="316"/>
        <item x="109"/>
        <item x="24"/>
        <item x="17"/>
        <item x="225"/>
        <item x="43"/>
        <item x="9"/>
        <item x="587"/>
        <item x="504"/>
        <item x="675"/>
        <item x="394"/>
        <item x="194"/>
        <item x="302"/>
        <item x="613"/>
        <item x="402"/>
        <item x="561"/>
        <item x="249"/>
        <item x="625"/>
        <item x="40"/>
        <item x="476"/>
        <item x="335"/>
        <item x="153"/>
        <item x="348"/>
        <item x="135"/>
        <item x="211"/>
        <item x="296"/>
        <item x="115"/>
        <item x="637"/>
        <item x="213"/>
        <item x="48"/>
        <item x="516"/>
        <item x="497"/>
        <item x="361"/>
        <item x="144"/>
        <item x="324"/>
        <item x="150"/>
        <item x="440"/>
        <item x="12"/>
        <item x="183"/>
        <item x="610"/>
        <item x="202"/>
        <item x="621"/>
        <item x="206"/>
        <item x="653"/>
        <item x="600"/>
        <item x="340"/>
        <item x="466"/>
        <item x="235"/>
        <item x="379"/>
        <item x="565"/>
        <item x="103"/>
        <item x="1"/>
        <item x="562"/>
        <item x="415"/>
        <item x="236"/>
        <item x="614"/>
        <item x="227"/>
        <item x="589"/>
        <item x="607"/>
        <item x="357"/>
        <item x="63"/>
        <item x="513"/>
        <item x="233"/>
        <item x="205"/>
        <item x="433"/>
        <item x="630"/>
        <item x="603"/>
        <item x="623"/>
        <item x="289"/>
        <item x="685"/>
        <item x="14"/>
        <item x="29"/>
        <item x="27"/>
        <item x="339"/>
        <item x="117"/>
        <item x="624"/>
        <item x="468"/>
        <item x="145"/>
        <item x="577"/>
        <item x="44"/>
        <item x="649"/>
        <item x="42"/>
        <item x="518"/>
        <item x="663"/>
        <item x="188"/>
        <item x="309"/>
        <item x="386"/>
        <item x="203"/>
        <item x="209"/>
        <item x="173"/>
        <item x="122"/>
        <item x="374"/>
        <item x="527"/>
        <item x="566"/>
        <item x="387"/>
        <item x="54"/>
        <item x="70"/>
        <item x="628"/>
        <item x="542"/>
        <item x="479"/>
        <item x="136"/>
        <item x="599"/>
        <item x="484"/>
        <item x="326"/>
        <item x="505"/>
        <item x="642"/>
        <item x="332"/>
        <item x="395"/>
        <item x="328"/>
        <item x="521"/>
        <item x="73"/>
        <item x="416"/>
        <item x="294"/>
        <item x="163"/>
        <item x="254"/>
        <item x="358"/>
        <item x="578"/>
        <item t="default"/>
      </items>
    </pivotField>
    <pivotField showAll="0"/>
    <pivotField showAll="0">
      <items count="5">
        <item x="1"/>
        <item x="0"/>
        <item x="3"/>
        <item x="2"/>
        <item t="default"/>
      </items>
    </pivotField>
    <pivotField showAll="0"/>
    <pivotField showAll="0"/>
    <pivotField showAll="0"/>
    <pivotField showAll="0"/>
    <pivotField showAll="0">
      <items count="3">
        <item x="0"/>
        <item x="1"/>
        <item t="default"/>
      </items>
    </pivotField>
    <pivotField dataField="1" showAll="0"/>
    <pivotField showAll="0"/>
    <pivotField numFmtId="10" showAll="0"/>
    <pivotField numFmtId="10"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9">
    <i>
      <x/>
    </i>
    <i>
      <x v="1"/>
    </i>
    <i>
      <x v="2"/>
    </i>
    <i>
      <x v="3"/>
    </i>
    <i>
      <x v="4"/>
    </i>
    <i>
      <x v="5"/>
    </i>
    <i>
      <x v="6"/>
    </i>
    <i>
      <x v="7"/>
    </i>
    <i t="grand">
      <x/>
    </i>
  </rowItems>
  <colItems count="1">
    <i/>
  </colItems>
  <dataFields count="1">
    <dataField name="Average of Delivery_Days" fld="11" subtotal="average" baseField="1" baseItem="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_ID" xr10:uid="{E7EF075D-9430-4CBC-987C-F6C2B02528EA}" sourceName="Vendor_ID">
  <pivotTables>
    <pivotTable tabId="7" name="PivotTable4"/>
    <pivotTable tabId="12" name="PivotTable8"/>
    <pivotTable tabId="10" name="PivotTable7"/>
    <pivotTable tabId="8" name="PivotTable5"/>
    <pivotTable tabId="5" name="PivotTable2"/>
    <pivotTable tabId="4" name="PivotTable1"/>
  </pivotTables>
  <data>
    <tabular pivotCacheId="689923113">
      <items count="8">
        <i x="2" s="1"/>
        <i x="3" s="1"/>
        <i x="1" s="1"/>
        <i x="0" s="1"/>
        <i x="7"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A8CBDE3-BFD3-4D01-9985-DC0F9C25F3F4}" sourceName="Product">
  <pivotTables>
    <pivotTable tabId="4" name="PivotTable1"/>
    <pivotTable tabId="12" name="PivotTable8"/>
    <pivotTable tabId="10" name="PivotTable7"/>
    <pivotTable tabId="8" name="PivotTable5"/>
    <pivotTable tabId="9" name="PivotTable6"/>
    <pivotTable tabId="7" name="PivotTable4"/>
    <pivotTable tabId="5" name="PivotTable2"/>
  </pivotTables>
  <data>
    <tabular pivotCacheId="689923113">
      <items count="12">
        <i x="7" s="1"/>
        <i x="4" s="1"/>
        <i x="1" s="1"/>
        <i x="5" s="1"/>
        <i x="10" s="1"/>
        <i x="3" s="1"/>
        <i x="6" s="1"/>
        <i x="8" s="1"/>
        <i x="2" s="1"/>
        <i x="11"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AD885B8-D613-432E-B224-9FCA85F9117E}" sourceName="Order_Status">
  <pivotTables>
    <pivotTable tabId="10" name="PivotTable7"/>
    <pivotTable tabId="12" name="PivotTable8"/>
    <pivotTable tabId="8" name="PivotTable5"/>
    <pivotTable tabId="9" name="PivotTable6"/>
    <pivotTable tabId="7" name="PivotTable4"/>
    <pivotTable tabId="5" name="PivotTable2"/>
    <pivotTable tabId="4" name="PivotTable1"/>
  </pivotTables>
  <data>
    <tabular pivotCacheId="689923113">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iance" xr10:uid="{CA6E3505-4BA6-4EB9-98B1-E3FCD60CB838}" sourceName="Compliance">
  <pivotTables>
    <pivotTable tabId="10" name="PivotTable7"/>
    <pivotTable tabId="12" name="PivotTable8"/>
    <pivotTable tabId="8" name="PivotTable5"/>
    <pivotTable tabId="9" name="PivotTable6"/>
    <pivotTable tabId="7" name="PivotTable4"/>
    <pivotTable tabId="5" name="PivotTable2"/>
    <pivotTable tabId="4" name="PivotTable1"/>
  </pivotTables>
  <data>
    <tabular pivotCacheId="68992311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_ID" xr10:uid="{22AB4B42-6374-4C5E-B2AF-971DB447D978}" cache="Slicer_Vendor_ID" caption="Vendor_ID" startItem="7" rowHeight="241300"/>
  <slicer name="Product" xr10:uid="{D424CDC1-29F1-4E4C-890D-4A13FF9BCD5D}" cache="Slicer_Product" caption="Product" startItem="3" rowHeight="241300"/>
  <slicer name="Order_Status" xr10:uid="{34BE1380-66DF-4BC7-B21C-EBD2A2871DD2}" cache="Slicer_Order_Status" caption="Order_Status" startItem="2" rowHeight="241300"/>
  <slicer name="Compliance" xr10:uid="{11F87DA0-826A-49E0-8C44-64F32F90D9FC}" cache="Slicer_Compliance" caption="Complia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754F4-6A9F-42BC-BF81-9DDD0A07B836}" name="Table1" displayName="Table1" ref="A1:O2001" totalsRowShown="0" headerRowDxfId="10">
  <autoFilter ref="A1:O2001" xr:uid="{126754F4-6A9F-42BC-BF81-9DDD0A07B836}"/>
  <tableColumns count="15">
    <tableColumn id="1" xr3:uid="{DB37B224-82E3-4F20-8AD8-8F8FE9B385FF}" name="PO_ID"/>
    <tableColumn id="2" xr3:uid="{5A063611-36AD-4931-848C-D3457ABB2BCE}" name="Vendor_ID"/>
    <tableColumn id="3" xr3:uid="{DCAECE20-5434-4A31-A54A-AD7C9B454659}" name="Product" dataDxfId="9"/>
    <tableColumn id="4" xr3:uid="{9CC178E1-BF92-4F7D-A67D-2D2481B9AAE0}" name="Order_Date" dataDxfId="8"/>
    <tableColumn id="5" xr3:uid="{FAF5D37A-9288-402D-8D4B-D05BC1DD0C69}" name="Delivery_Date" dataDxfId="7"/>
    <tableColumn id="6" xr3:uid="{342674B6-B718-43D5-9324-E7646FF48C17}" name="Order_Status" dataDxfId="6"/>
    <tableColumn id="7" xr3:uid="{039C4433-8DAA-42B0-8946-49CCC9323BBE}" name="Quantity"/>
    <tableColumn id="8" xr3:uid="{9B79B089-F14B-41FD-B45F-723F740FEE08}" name="Unit_Cost"/>
    <tableColumn id="9" xr3:uid="{0F9C40CF-B540-4616-B0F7-5B76D0A9CD15}" name="Negotiated_Cost"/>
    <tableColumn id="10" xr3:uid="{EA849F6D-65C5-4AFB-89A5-2C852F796201}" name="Defective_Units" dataDxfId="5"/>
    <tableColumn id="11" xr3:uid="{AE64B02F-5A1E-4C97-A420-36E250F879AE}" name="Compliance" dataDxfId="4"/>
    <tableColumn id="12" xr3:uid="{9950E8A3-633B-4F3A-AC81-3256C85156C3}" name="Delivery_Days" dataDxfId="3">
      <calculatedColumnFormula>IF(OR(Table1[[#This Row],[Order_Status]]="Delivered",Table1[[#This Row],[Delivery_Date]]&lt;&gt;"Not Yet Delivered"),Table1[[#This Row],[Delivery_Date]]-Table1[[#This Row],[Order_Date]],"Not Applicable")</calculatedColumnFormula>
    </tableColumn>
    <tableColumn id="14" xr3:uid="{5BA8DF3A-156D-402B-A961-A9DBCAF9B0BE}" name="Total Spend" dataDxfId="2">
      <calculatedColumnFormula>Table1[[#This Row],[Unit_Cost]]-Table1[[#This Row],[Negotiated_Cost]]</calculatedColumnFormula>
    </tableColumn>
    <tableColumn id="15" xr3:uid="{329392A5-15EB-45EE-9B93-F84231817690}" name="Defect Rate" dataDxfId="1">
      <calculatedColumnFormula>Table1[[#This Row],[Defective_Units]]/Table1[[#This Row],[Quantity]]</calculatedColumnFormula>
    </tableColumn>
    <tableColumn id="16" xr3:uid="{8DF54B95-12C0-410B-A1AF-B0290BA7D60A}" name="Price_Saving %" dataDxfId="0" dataCellStyle="Currency">
      <calculatedColumnFormula>(Table1[[#This Row],[Unit_Cost]]-Table1[[#This Row],[Negotiated_Cost]])/Table1[[#This Row],[Unit_Cost]]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A9C5-615E-4440-B909-C26E8EF03984}">
  <dimension ref="A3:B12"/>
  <sheetViews>
    <sheetView workbookViewId="0">
      <selection activeCell="AG9" sqref="AG9"/>
    </sheetView>
  </sheetViews>
  <sheetFormatPr defaultRowHeight="15" x14ac:dyDescent="0.25"/>
  <cols>
    <col min="1" max="1" width="13.140625" bestFit="1" customWidth="1"/>
    <col min="2" max="2" width="15.42578125" bestFit="1" customWidth="1"/>
    <col min="3" max="6" width="2" bestFit="1" customWidth="1"/>
    <col min="7" max="94" width="3" bestFit="1" customWidth="1"/>
    <col min="95" max="493" width="4" bestFit="1" customWidth="1"/>
    <col min="494" max="494" width="11.28515625" bestFit="1" customWidth="1"/>
  </cols>
  <sheetData>
    <row r="3" spans="1:2" x14ac:dyDescent="0.25">
      <c r="A3" s="19" t="s">
        <v>2062</v>
      </c>
      <c r="B3" t="s">
        <v>2066</v>
      </c>
    </row>
    <row r="4" spans="1:2" x14ac:dyDescent="0.25">
      <c r="A4" s="20" t="s">
        <v>20</v>
      </c>
      <c r="B4" s="24">
        <v>55294</v>
      </c>
    </row>
    <row r="5" spans="1:2" x14ac:dyDescent="0.25">
      <c r="A5" s="20" t="s">
        <v>27</v>
      </c>
      <c r="B5" s="24">
        <v>72204</v>
      </c>
    </row>
    <row r="6" spans="1:2" x14ac:dyDescent="0.25">
      <c r="A6" s="20" t="s">
        <v>17</v>
      </c>
      <c r="B6" s="24">
        <v>63047</v>
      </c>
    </row>
    <row r="7" spans="1:2" x14ac:dyDescent="0.25">
      <c r="A7" s="20" t="s">
        <v>12</v>
      </c>
      <c r="B7" s="24">
        <v>66894</v>
      </c>
    </row>
    <row r="8" spans="1:2" x14ac:dyDescent="0.25">
      <c r="A8" s="20" t="s">
        <v>46</v>
      </c>
      <c r="B8" s="24">
        <v>58428</v>
      </c>
    </row>
    <row r="9" spans="1:2" x14ac:dyDescent="0.25">
      <c r="A9" s="20" t="s">
        <v>32</v>
      </c>
      <c r="B9" s="24">
        <v>58702</v>
      </c>
    </row>
    <row r="10" spans="1:2" x14ac:dyDescent="0.25">
      <c r="A10" s="20" t="s">
        <v>40</v>
      </c>
      <c r="B10" s="24">
        <v>61828</v>
      </c>
    </row>
    <row r="11" spans="1:2" x14ac:dyDescent="0.25">
      <c r="A11" s="20" t="s">
        <v>35</v>
      </c>
      <c r="B11" s="24">
        <v>62145</v>
      </c>
    </row>
    <row r="12" spans="1:2" x14ac:dyDescent="0.25">
      <c r="A12" s="20" t="s">
        <v>2063</v>
      </c>
      <c r="B12" s="24">
        <v>498542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0C39-5721-4981-86DE-34A365CDFA9F}">
  <dimension ref="A3:B30"/>
  <sheetViews>
    <sheetView workbookViewId="0">
      <selection activeCell="F10" sqref="F10"/>
    </sheetView>
  </sheetViews>
  <sheetFormatPr defaultRowHeight="15" x14ac:dyDescent="0.25"/>
  <cols>
    <col min="1" max="1" width="13.140625" bestFit="1" customWidth="1"/>
    <col min="2" max="2" width="20" bestFit="1" customWidth="1"/>
    <col min="3" max="3" width="22.85546875" bestFit="1" customWidth="1"/>
  </cols>
  <sheetData>
    <row r="3" spans="1:2" x14ac:dyDescent="0.25">
      <c r="A3" s="19" t="s">
        <v>2062</v>
      </c>
      <c r="B3" t="s">
        <v>2064</v>
      </c>
    </row>
    <row r="4" spans="1:2" x14ac:dyDescent="0.25">
      <c r="A4" s="20" t="s">
        <v>2071</v>
      </c>
      <c r="B4" s="24">
        <v>13225.648834170841</v>
      </c>
    </row>
    <row r="5" spans="1:2" x14ac:dyDescent="0.25">
      <c r="A5" s="27" t="s">
        <v>2076</v>
      </c>
      <c r="B5" s="24">
        <v>12478.137422680413</v>
      </c>
    </row>
    <row r="6" spans="1:2" x14ac:dyDescent="0.25">
      <c r="A6" s="27" t="s">
        <v>2077</v>
      </c>
      <c r="B6" s="24">
        <v>11523.939078947373</v>
      </c>
    </row>
    <row r="7" spans="1:2" x14ac:dyDescent="0.25">
      <c r="A7" s="27" t="s">
        <v>2078</v>
      </c>
      <c r="B7" s="24">
        <v>10841.206162790699</v>
      </c>
    </row>
    <row r="8" spans="1:2" x14ac:dyDescent="0.25">
      <c r="A8" s="27" t="s">
        <v>2073</v>
      </c>
      <c r="B8" s="24">
        <v>14220.257176470586</v>
      </c>
    </row>
    <row r="9" spans="1:2" x14ac:dyDescent="0.25">
      <c r="A9" s="27" t="s">
        <v>2074</v>
      </c>
      <c r="B9" s="24">
        <v>14344.625</v>
      </c>
    </row>
    <row r="10" spans="1:2" x14ac:dyDescent="0.25">
      <c r="A10" s="27" t="s">
        <v>2075</v>
      </c>
      <c r="B10" s="24">
        <v>14987.525769230766</v>
      </c>
    </row>
    <row r="11" spans="1:2" x14ac:dyDescent="0.25">
      <c r="A11" s="27" t="s">
        <v>2079</v>
      </c>
      <c r="B11" s="24">
        <v>11890.653000000002</v>
      </c>
    </row>
    <row r="12" spans="1:2" x14ac:dyDescent="0.25">
      <c r="A12" s="27" t="s">
        <v>2080</v>
      </c>
      <c r="B12" s="24">
        <v>14888.850291262137</v>
      </c>
    </row>
    <row r="13" spans="1:2" x14ac:dyDescent="0.25">
      <c r="A13" s="27" t="s">
        <v>2081</v>
      </c>
      <c r="B13" s="24">
        <v>11670.870246913577</v>
      </c>
    </row>
    <row r="14" spans="1:2" x14ac:dyDescent="0.25">
      <c r="A14" s="27" t="s">
        <v>2082</v>
      </c>
      <c r="B14" s="24">
        <v>13730.070384615388</v>
      </c>
    </row>
    <row r="15" spans="1:2" x14ac:dyDescent="0.25">
      <c r="A15" s="27" t="s">
        <v>2083</v>
      </c>
      <c r="B15" s="24">
        <v>13792.632025316454</v>
      </c>
    </row>
    <row r="16" spans="1:2" x14ac:dyDescent="0.25">
      <c r="A16" s="27" t="s">
        <v>2084</v>
      </c>
      <c r="B16" s="24">
        <v>14243.837307692309</v>
      </c>
    </row>
    <row r="17" spans="1:2" x14ac:dyDescent="0.25">
      <c r="A17" s="20" t="s">
        <v>2072</v>
      </c>
      <c r="B17" s="24">
        <v>13384.827383084574</v>
      </c>
    </row>
    <row r="18" spans="1:2" x14ac:dyDescent="0.25">
      <c r="A18" s="27" t="s">
        <v>2076</v>
      </c>
      <c r="B18" s="24">
        <v>17135.779146341472</v>
      </c>
    </row>
    <row r="19" spans="1:2" x14ac:dyDescent="0.25">
      <c r="A19" s="27" t="s">
        <v>2077</v>
      </c>
      <c r="B19" s="24">
        <v>10652.997727272725</v>
      </c>
    </row>
    <row r="20" spans="1:2" x14ac:dyDescent="0.25">
      <c r="A20" s="27" t="s">
        <v>2078</v>
      </c>
      <c r="B20" s="24">
        <v>14398.223246753247</v>
      </c>
    </row>
    <row r="21" spans="1:2" x14ac:dyDescent="0.25">
      <c r="A21" s="27" t="s">
        <v>2073</v>
      </c>
      <c r="B21" s="24">
        <v>10958.774415584414</v>
      </c>
    </row>
    <row r="22" spans="1:2" x14ac:dyDescent="0.25">
      <c r="A22" s="27" t="s">
        <v>2074</v>
      </c>
      <c r="B22" s="24">
        <v>13636.903229166675</v>
      </c>
    </row>
    <row r="23" spans="1:2" x14ac:dyDescent="0.25">
      <c r="A23" s="27" t="s">
        <v>2075</v>
      </c>
      <c r="B23" s="24">
        <v>11483.623186813187</v>
      </c>
    </row>
    <row r="24" spans="1:2" x14ac:dyDescent="0.25">
      <c r="A24" s="27" t="s">
        <v>2079</v>
      </c>
      <c r="B24" s="24">
        <v>13900.517362637363</v>
      </c>
    </row>
    <row r="25" spans="1:2" x14ac:dyDescent="0.25">
      <c r="A25" s="27" t="s">
        <v>2080</v>
      </c>
      <c r="B25" s="24">
        <v>12983.632277227714</v>
      </c>
    </row>
    <row r="26" spans="1:2" x14ac:dyDescent="0.25">
      <c r="A26" s="27" t="s">
        <v>2081</v>
      </c>
      <c r="B26" s="24">
        <v>13654.63206896552</v>
      </c>
    </row>
    <row r="27" spans="1:2" x14ac:dyDescent="0.25">
      <c r="A27" s="27" t="s">
        <v>2082</v>
      </c>
      <c r="B27" s="24">
        <v>14052.958888888885</v>
      </c>
    </row>
    <row r="28" spans="1:2" x14ac:dyDescent="0.25">
      <c r="A28" s="27" t="s">
        <v>2083</v>
      </c>
      <c r="B28" s="24">
        <v>15466.270657894738</v>
      </c>
    </row>
    <row r="29" spans="1:2" x14ac:dyDescent="0.25">
      <c r="A29" s="27" t="s">
        <v>2084</v>
      </c>
      <c r="B29" s="24">
        <v>11986.317125</v>
      </c>
    </row>
    <row r="30" spans="1:2" x14ac:dyDescent="0.25">
      <c r="A30" s="20" t="s">
        <v>2063</v>
      </c>
      <c r="B30" s="24">
        <v>13305.636054999983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E2C43-2133-46A8-AA74-987F50382AD8}">
  <dimension ref="A3:C12"/>
  <sheetViews>
    <sheetView workbookViewId="0">
      <selection activeCell="C9" sqref="C9"/>
    </sheetView>
  </sheetViews>
  <sheetFormatPr defaultRowHeight="15" x14ac:dyDescent="0.25"/>
  <cols>
    <col min="1" max="1" width="13.140625" bestFit="1" customWidth="1"/>
    <col min="2" max="2" width="24" bestFit="1" customWidth="1"/>
    <col min="3" max="3" width="20" bestFit="1" customWidth="1"/>
  </cols>
  <sheetData>
    <row r="3" spans="1:3" x14ac:dyDescent="0.25">
      <c r="A3" s="19" t="s">
        <v>2062</v>
      </c>
      <c r="B3" t="s">
        <v>2065</v>
      </c>
      <c r="C3" t="s">
        <v>2064</v>
      </c>
    </row>
    <row r="4" spans="1:3" x14ac:dyDescent="0.25">
      <c r="A4" s="20" t="s">
        <v>20</v>
      </c>
      <c r="B4" s="24">
        <v>16.202072538860104</v>
      </c>
      <c r="C4" s="24">
        <v>13213.402949308758</v>
      </c>
    </row>
    <row r="5" spans="1:3" x14ac:dyDescent="0.25">
      <c r="A5" s="20" t="s">
        <v>27</v>
      </c>
      <c r="B5" s="24">
        <v>16.317073170731707</v>
      </c>
      <c r="C5" s="24">
        <v>14023.39857638888</v>
      </c>
    </row>
    <row r="6" spans="1:3" x14ac:dyDescent="0.25">
      <c r="A6" s="20" t="s">
        <v>17</v>
      </c>
      <c r="B6" s="24">
        <v>15.305418719211822</v>
      </c>
      <c r="C6" s="24">
        <v>14220.712291666667</v>
      </c>
    </row>
    <row r="7" spans="1:3" x14ac:dyDescent="0.25">
      <c r="A7" s="20" t="s">
        <v>12</v>
      </c>
      <c r="B7" s="24">
        <v>16.086419753086421</v>
      </c>
      <c r="C7" s="24">
        <v>14782.904889705887</v>
      </c>
    </row>
    <row r="8" spans="1:3" x14ac:dyDescent="0.25">
      <c r="A8" s="20" t="s">
        <v>46</v>
      </c>
      <c r="B8" s="24">
        <v>17.147058823529413</v>
      </c>
      <c r="C8" s="24">
        <v>11911.189053497941</v>
      </c>
    </row>
    <row r="9" spans="1:3" x14ac:dyDescent="0.25">
      <c r="A9" s="20" t="s">
        <v>32</v>
      </c>
      <c r="B9" s="24">
        <v>15.122641509433961</v>
      </c>
      <c r="C9" s="24">
        <v>11690.950123456787</v>
      </c>
    </row>
    <row r="10" spans="1:3" x14ac:dyDescent="0.25">
      <c r="A10" s="20" t="s">
        <v>40</v>
      </c>
      <c r="B10" s="24">
        <v>16.315533980582526</v>
      </c>
      <c r="C10" s="24">
        <v>13613.072828685261</v>
      </c>
    </row>
    <row r="11" spans="1:3" x14ac:dyDescent="0.25">
      <c r="A11" s="20" t="s">
        <v>35</v>
      </c>
      <c r="B11" s="24">
        <v>16.233333333333334</v>
      </c>
      <c r="C11" s="24">
        <v>12679.279268292683</v>
      </c>
    </row>
    <row r="12" spans="1:3" x14ac:dyDescent="0.25">
      <c r="A12" s="20" t="s">
        <v>2063</v>
      </c>
      <c r="B12" s="24">
        <v>16.092603377984858</v>
      </c>
      <c r="C12" s="24">
        <v>13305.636054999992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8BE2-6370-4908-BFEB-A581F6E6FE90}">
  <dimension ref="A3:C12"/>
  <sheetViews>
    <sheetView workbookViewId="0">
      <selection activeCell="F24" sqref="F24"/>
    </sheetView>
  </sheetViews>
  <sheetFormatPr defaultRowHeight="15" x14ac:dyDescent="0.25"/>
  <cols>
    <col min="1" max="1" width="13.140625" bestFit="1" customWidth="1"/>
    <col min="2" max="2" width="24.5703125" bestFit="1" customWidth="1"/>
    <col min="3" max="3" width="21.7109375" bestFit="1" customWidth="1"/>
  </cols>
  <sheetData>
    <row r="3" spans="1:3" x14ac:dyDescent="0.25">
      <c r="A3" s="19" t="s">
        <v>2062</v>
      </c>
      <c r="B3" t="s">
        <v>2068</v>
      </c>
      <c r="C3" t="s">
        <v>2069</v>
      </c>
    </row>
    <row r="4" spans="1:3" x14ac:dyDescent="0.25">
      <c r="A4" s="20" t="s">
        <v>20</v>
      </c>
      <c r="B4" s="21">
        <v>4.138198910568322E-2</v>
      </c>
      <c r="C4" s="21">
        <v>1.1148584403364683E-2</v>
      </c>
    </row>
    <row r="5" spans="1:3" x14ac:dyDescent="0.25">
      <c r="A5" s="20" t="s">
        <v>27</v>
      </c>
      <c r="B5" s="21">
        <v>3.2710834211505752E-2</v>
      </c>
      <c r="C5" s="21">
        <v>1.1110932781723114E-2</v>
      </c>
    </row>
    <row r="6" spans="1:3" x14ac:dyDescent="0.25">
      <c r="A6" s="20" t="s">
        <v>17</v>
      </c>
      <c r="B6" s="21">
        <v>3.7308482442884934E-2</v>
      </c>
      <c r="C6" s="21">
        <v>1.3022913155948184E-2</v>
      </c>
    </row>
    <row r="7" spans="1:3" x14ac:dyDescent="0.25">
      <c r="A7" s="20" t="s">
        <v>12</v>
      </c>
      <c r="B7" s="21">
        <v>3.2175986889751818E-2</v>
      </c>
      <c r="C7" s="21">
        <v>1.1408941605989455E-2</v>
      </c>
    </row>
    <row r="8" spans="1:3" x14ac:dyDescent="0.25">
      <c r="A8" s="20" t="s">
        <v>46</v>
      </c>
      <c r="B8" s="21">
        <v>3.7542293139953685E-2</v>
      </c>
      <c r="C8" s="21">
        <v>1.1441839723828864E-2</v>
      </c>
    </row>
    <row r="9" spans="1:3" x14ac:dyDescent="0.25">
      <c r="A9" s="20" t="s">
        <v>32</v>
      </c>
      <c r="B9" s="21">
        <v>3.1746970910098073E-2</v>
      </c>
      <c r="C9" s="21">
        <v>1.2181254463393843E-2</v>
      </c>
    </row>
    <row r="10" spans="1:3" x14ac:dyDescent="0.25">
      <c r="A10" s="20" t="s">
        <v>40</v>
      </c>
      <c r="B10" s="21">
        <v>2.9432830719788011E-2</v>
      </c>
      <c r="C10" s="21">
        <v>1.1426563354105501E-2</v>
      </c>
    </row>
    <row r="11" spans="1:3" x14ac:dyDescent="0.25">
      <c r="A11" s="20" t="s">
        <v>35</v>
      </c>
      <c r="B11" s="21">
        <v>3.475651786638409E-2</v>
      </c>
      <c r="C11" s="21">
        <v>1.0729022922596662E-2</v>
      </c>
    </row>
    <row r="12" spans="1:3" x14ac:dyDescent="0.25">
      <c r="A12" s="20" t="s">
        <v>2063</v>
      </c>
      <c r="B12" s="21">
        <v>3.4440775589555786E-2</v>
      </c>
      <c r="C12" s="21">
        <v>1.1547870829628739E-2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0620-BC7A-4E6C-9A35-89FB387A1CD5}">
  <dimension ref="A1"/>
  <sheetViews>
    <sheetView showGridLines="0" tabSelected="1" topLeftCell="G1" zoomScaleNormal="100" workbookViewId="0">
      <selection activeCell="Z15" sqref="Z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1912-40E2-4B30-A931-C31F608DDEDF}">
  <dimension ref="A3:F8"/>
  <sheetViews>
    <sheetView workbookViewId="0">
      <selection activeCell="B16" sqref="B16"/>
    </sheetView>
  </sheetViews>
  <sheetFormatPr defaultRowHeight="15" x14ac:dyDescent="0.25"/>
  <cols>
    <col min="1" max="1" width="24" bestFit="1" customWidth="1"/>
    <col min="2" max="2" width="24.5703125" bestFit="1" customWidth="1"/>
    <col min="3" max="3" width="21.7109375" bestFit="1" customWidth="1"/>
    <col min="4" max="4" width="18.28515625" bestFit="1" customWidth="1"/>
    <col min="5" max="5" width="20" bestFit="1" customWidth="1"/>
    <col min="6" max="7" width="15.42578125" bestFit="1" customWidth="1"/>
  </cols>
  <sheetData>
    <row r="3" spans="1:6" x14ac:dyDescent="0.25">
      <c r="A3" t="s">
        <v>2065</v>
      </c>
      <c r="B3" t="s">
        <v>2068</v>
      </c>
      <c r="C3" t="s">
        <v>2069</v>
      </c>
      <c r="D3" t="s">
        <v>2067</v>
      </c>
      <c r="E3" t="s">
        <v>2064</v>
      </c>
      <c r="F3" t="s">
        <v>2066</v>
      </c>
    </row>
    <row r="4" spans="1:6" x14ac:dyDescent="0.25">
      <c r="A4" s="23">
        <v>16.092603377984858</v>
      </c>
      <c r="B4" s="21">
        <v>3.4440775589555828E-2</v>
      </c>
      <c r="C4" s="21">
        <v>1.154787082962873E-2</v>
      </c>
      <c r="D4" s="24">
        <v>823278.34999999823</v>
      </c>
      <c r="E4" s="22">
        <v>13305.636054999986</v>
      </c>
      <c r="F4" s="24">
        <v>498542</v>
      </c>
    </row>
    <row r="7" spans="1:6" x14ac:dyDescent="0.25">
      <c r="A7" t="s">
        <v>2070</v>
      </c>
    </row>
    <row r="8" spans="1:6" x14ac:dyDescent="0.25">
      <c r="A8">
        <f>COUNTA(_xlfn.UNIQUE(Table1[Vendor_ID]))</f>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D6DC4-7EEA-4998-9BEB-6BA09486EC58}">
  <dimension ref="A1:O2001"/>
  <sheetViews>
    <sheetView topLeftCell="E1" zoomScale="85" zoomScaleNormal="85" workbookViewId="0">
      <selection activeCell="P11" sqref="P11"/>
    </sheetView>
  </sheetViews>
  <sheetFormatPr defaultRowHeight="15" x14ac:dyDescent="0.25"/>
  <cols>
    <col min="1" max="1" width="9.5703125" customWidth="1"/>
    <col min="2" max="2" width="10.42578125" customWidth="1"/>
    <col min="3" max="3" width="14.28515625" style="14" customWidth="1"/>
    <col min="4" max="4" width="13.5703125" style="1" customWidth="1"/>
    <col min="5" max="5" width="16.140625" style="13" customWidth="1"/>
    <col min="6" max="6" width="17.5703125" style="14" customWidth="1"/>
    <col min="7" max="7" width="10.85546875" customWidth="1"/>
    <col min="8" max="8" width="11.85546875" customWidth="1"/>
    <col min="9" max="9" width="14.85546875" customWidth="1"/>
    <col min="10" max="10" width="16.5703125" customWidth="1"/>
    <col min="11" max="11" width="14.28515625" style="14" customWidth="1"/>
    <col min="12" max="12" width="15.42578125" style="14" customWidth="1"/>
    <col min="13" max="13" width="11" style="14" customWidth="1"/>
    <col min="14" max="14" width="17.85546875" style="18" customWidth="1"/>
    <col min="15" max="15" width="13.7109375" style="26" customWidth="1"/>
  </cols>
  <sheetData>
    <row r="1" spans="1:15" s="15" customFormat="1" ht="29.25" customHeight="1" x14ac:dyDescent="0.25">
      <c r="A1" s="15" t="s">
        <v>0</v>
      </c>
      <c r="B1" s="15" t="s">
        <v>1</v>
      </c>
      <c r="C1" s="16" t="s">
        <v>2</v>
      </c>
      <c r="D1" s="15" t="s">
        <v>3</v>
      </c>
      <c r="E1" s="16" t="s">
        <v>4</v>
      </c>
      <c r="F1" s="16" t="s">
        <v>5</v>
      </c>
      <c r="G1" s="15" t="s">
        <v>6</v>
      </c>
      <c r="H1" s="15" t="s">
        <v>7</v>
      </c>
      <c r="I1" s="15" t="s">
        <v>8</v>
      </c>
      <c r="J1" t="s">
        <v>9</v>
      </c>
      <c r="K1" s="16" t="s">
        <v>10</v>
      </c>
      <c r="L1" s="16" t="s">
        <v>2058</v>
      </c>
      <c r="M1" s="16" t="s">
        <v>2061</v>
      </c>
      <c r="N1" s="17" t="s">
        <v>2060</v>
      </c>
      <c r="O1" s="25" t="s">
        <v>2059</v>
      </c>
    </row>
    <row r="2" spans="1:15" x14ac:dyDescent="0.25">
      <c r="A2" t="s">
        <v>11</v>
      </c>
      <c r="B2" t="s">
        <v>12</v>
      </c>
      <c r="C2" s="14" t="s">
        <v>13</v>
      </c>
      <c r="D2" s="1">
        <v>45197</v>
      </c>
      <c r="E2" s="13">
        <v>45224</v>
      </c>
      <c r="F2" s="14" t="s">
        <v>14</v>
      </c>
      <c r="G2">
        <v>111</v>
      </c>
      <c r="H2">
        <v>4558.01</v>
      </c>
      <c r="I2">
        <v>4447.76</v>
      </c>
      <c r="J2">
        <v>1</v>
      </c>
      <c r="K2" s="14" t="s">
        <v>15</v>
      </c>
      <c r="L2" s="14">
        <f>IF(OR(Table1[[#This Row],[Order_Status]]="Delivered",Table1[[#This Row],[Delivery_Date]]&lt;&gt;"Not Yet Delivered"),Table1[[#This Row],[Delivery_Date]]-Table1[[#This Row],[Order_Date]],"Not Applicable")</f>
        <v>27</v>
      </c>
      <c r="M2" s="14">
        <f>Table1[[#This Row],[Unit_Cost]]-Table1[[#This Row],[Negotiated_Cost]]</f>
        <v>110.25</v>
      </c>
      <c r="N2" s="18">
        <f>Table1[[#This Row],[Defective_Units]]/Table1[[#This Row],[Quantity]]</f>
        <v>9.0090090090090089E-3</v>
      </c>
      <c r="O2" s="26">
        <f>(Table1[[#This Row],[Unit_Cost]]-Table1[[#This Row],[Negotiated_Cost]])/Table1[[#This Row],[Unit_Cost]]</f>
        <v>2.418818738879467E-2</v>
      </c>
    </row>
    <row r="3" spans="1:15" x14ac:dyDescent="0.25">
      <c r="A3" t="s">
        <v>16</v>
      </c>
      <c r="B3" t="s">
        <v>17</v>
      </c>
      <c r="C3" s="14" t="s">
        <v>18</v>
      </c>
      <c r="D3" s="1">
        <v>45588</v>
      </c>
      <c r="E3" s="13">
        <v>45595</v>
      </c>
      <c r="F3" s="14" t="s">
        <v>14</v>
      </c>
      <c r="G3">
        <v>313</v>
      </c>
      <c r="H3">
        <v>5163.63</v>
      </c>
      <c r="I3">
        <v>5111.72</v>
      </c>
      <c r="J3">
        <v>7</v>
      </c>
      <c r="K3" s="14" t="s">
        <v>15</v>
      </c>
      <c r="L3" s="14">
        <f>IF(OR(Table1[[#This Row],[Order_Status]]="Delivered",Table1[[#This Row],[Delivery_Date]]&lt;&gt;"Not Yet Delivered"),Table1[[#This Row],[Delivery_Date]]-Table1[[#This Row],[Order_Date]],"Not Applicable")</f>
        <v>7</v>
      </c>
      <c r="M3" s="14">
        <f>Table1[[#This Row],[Unit_Cost]]-Table1[[#This Row],[Negotiated_Cost]]</f>
        <v>51.909999999999854</v>
      </c>
      <c r="N3" s="18">
        <f>Table1[[#This Row],[Defective_Units]]/Table1[[#This Row],[Quantity]]</f>
        <v>2.2364217252396165E-2</v>
      </c>
      <c r="O3" s="26">
        <f>(Table1[[#This Row],[Unit_Cost]]-Table1[[#This Row],[Negotiated_Cost]])/Table1[[#This Row],[Unit_Cost]]</f>
        <v>1.0053005347013604E-2</v>
      </c>
    </row>
    <row r="4" spans="1:15" x14ac:dyDescent="0.25">
      <c r="A4" t="s">
        <v>19</v>
      </c>
      <c r="B4" t="s">
        <v>20</v>
      </c>
      <c r="C4" s="14" t="s">
        <v>21</v>
      </c>
      <c r="D4" s="1">
        <v>45487</v>
      </c>
      <c r="E4" s="14" t="s">
        <v>2057</v>
      </c>
      <c r="F4" s="14" t="s">
        <v>22</v>
      </c>
      <c r="G4">
        <v>479</v>
      </c>
      <c r="H4">
        <v>116.75</v>
      </c>
      <c r="I4">
        <v>110.72</v>
      </c>
      <c r="J4">
        <v>2</v>
      </c>
      <c r="K4" s="14" t="s">
        <v>15</v>
      </c>
      <c r="L4" s="14" t="str">
        <f>IF(OR(Table1[[#This Row],[Order_Status]]="Delivered",Table1[[#This Row],[Delivery_Date]]&lt;&gt;"Not Yet Delivered"),Table1[[#This Row],[Delivery_Date]]-Table1[[#This Row],[Order_Date]],"Not Applicable")</f>
        <v>Not Applicable</v>
      </c>
      <c r="M4" s="14">
        <f>Table1[[#This Row],[Unit_Cost]]-Table1[[#This Row],[Negotiated_Cost]]</f>
        <v>6.0300000000000011</v>
      </c>
      <c r="N4" s="18">
        <f>Table1[[#This Row],[Defective_Units]]/Table1[[#This Row],[Quantity]]</f>
        <v>4.1753653444676405E-3</v>
      </c>
      <c r="O4" s="26">
        <f>(Table1[[#This Row],[Unit_Cost]]-Table1[[#This Row],[Negotiated_Cost]])/Table1[[#This Row],[Unit_Cost]]</f>
        <v>5.1648822269807292E-2</v>
      </c>
    </row>
    <row r="5" spans="1:15" x14ac:dyDescent="0.25">
      <c r="A5" t="s">
        <v>23</v>
      </c>
      <c r="B5" t="s">
        <v>12</v>
      </c>
      <c r="C5" s="14" t="s">
        <v>24</v>
      </c>
      <c r="D5" s="1">
        <v>45493</v>
      </c>
      <c r="E5" s="13">
        <v>45513</v>
      </c>
      <c r="F5" s="14" t="s">
        <v>14</v>
      </c>
      <c r="G5">
        <v>248</v>
      </c>
      <c r="H5">
        <v>13270.55</v>
      </c>
      <c r="I5">
        <v>12511.3</v>
      </c>
      <c r="J5">
        <v>0</v>
      </c>
      <c r="K5" s="14" t="s">
        <v>25</v>
      </c>
      <c r="L5" s="14">
        <f>IF(OR(Table1[[#This Row],[Order_Status]]="Delivered",Table1[[#This Row],[Delivery_Date]]&lt;&gt;"Not Yet Delivered"),Table1[[#This Row],[Delivery_Date]]-Table1[[#This Row],[Order_Date]],"Not Applicable")</f>
        <v>20</v>
      </c>
      <c r="M5" s="14">
        <f>Table1[[#This Row],[Unit_Cost]]-Table1[[#This Row],[Negotiated_Cost]]</f>
        <v>759.25</v>
      </c>
      <c r="N5" s="18">
        <f>Table1[[#This Row],[Defective_Units]]/Table1[[#This Row],[Quantity]]</f>
        <v>0</v>
      </c>
      <c r="O5" s="26">
        <f>(Table1[[#This Row],[Unit_Cost]]-Table1[[#This Row],[Negotiated_Cost]])/Table1[[#This Row],[Unit_Cost]]</f>
        <v>5.7213152431511885E-2</v>
      </c>
    </row>
    <row r="6" spans="1:15" x14ac:dyDescent="0.25">
      <c r="A6" t="s">
        <v>26</v>
      </c>
      <c r="B6" t="s">
        <v>27</v>
      </c>
      <c r="C6" s="14" t="s">
        <v>28</v>
      </c>
      <c r="D6" s="1">
        <v>45272</v>
      </c>
      <c r="E6" s="13">
        <v>45301</v>
      </c>
      <c r="F6" s="14" t="s">
        <v>14</v>
      </c>
      <c r="G6">
        <v>57</v>
      </c>
      <c r="H6">
        <v>47378.95</v>
      </c>
      <c r="I6">
        <v>45221.39</v>
      </c>
      <c r="J6">
        <v>0</v>
      </c>
      <c r="K6" s="14" t="s">
        <v>15</v>
      </c>
      <c r="L6" s="14">
        <f>IF(OR(Table1[[#This Row],[Order_Status]]="Delivered",Table1[[#This Row],[Delivery_Date]]&lt;&gt;"Not Yet Delivered"),Table1[[#This Row],[Delivery_Date]]-Table1[[#This Row],[Order_Date]],"Not Applicable")</f>
        <v>29</v>
      </c>
      <c r="M6" s="14">
        <f>Table1[[#This Row],[Unit_Cost]]-Table1[[#This Row],[Negotiated_Cost]]</f>
        <v>2157.5599999999977</v>
      </c>
      <c r="N6" s="18">
        <f>Table1[[#This Row],[Defective_Units]]/Table1[[#This Row],[Quantity]]</f>
        <v>0</v>
      </c>
      <c r="O6" s="26">
        <f>(Table1[[#This Row],[Unit_Cost]]-Table1[[#This Row],[Negotiated_Cost]])/Table1[[#This Row],[Unit_Cost]]</f>
        <v>4.5538366721930262E-2</v>
      </c>
    </row>
    <row r="7" spans="1:15" x14ac:dyDescent="0.25">
      <c r="A7" t="s">
        <v>29</v>
      </c>
      <c r="B7" t="s">
        <v>27</v>
      </c>
      <c r="C7" s="14" t="s">
        <v>30</v>
      </c>
      <c r="D7" s="1">
        <v>45314</v>
      </c>
      <c r="E7" s="13">
        <v>45319</v>
      </c>
      <c r="F7" s="14" t="s">
        <v>14</v>
      </c>
      <c r="G7">
        <v>6</v>
      </c>
      <c r="H7">
        <v>909.76</v>
      </c>
      <c r="I7">
        <v>866.53</v>
      </c>
      <c r="J7">
        <v>0</v>
      </c>
      <c r="K7" s="14" t="s">
        <v>25</v>
      </c>
      <c r="L7" s="14">
        <f>IF(OR(Table1[[#This Row],[Order_Status]]="Delivered",Table1[[#This Row],[Delivery_Date]]&lt;&gt;"Not Yet Delivered"),Table1[[#This Row],[Delivery_Date]]-Table1[[#This Row],[Order_Date]],"Not Applicable")</f>
        <v>5</v>
      </c>
      <c r="M7" s="14">
        <f>Table1[[#This Row],[Unit_Cost]]-Table1[[#This Row],[Negotiated_Cost]]</f>
        <v>43.230000000000018</v>
      </c>
      <c r="N7" s="18">
        <f>Table1[[#This Row],[Defective_Units]]/Table1[[#This Row],[Quantity]]</f>
        <v>0</v>
      </c>
      <c r="O7" s="26">
        <f>(Table1[[#This Row],[Unit_Cost]]-Table1[[#This Row],[Negotiated_Cost]])/Table1[[#This Row],[Unit_Cost]]</f>
        <v>4.7518026732325032E-2</v>
      </c>
    </row>
    <row r="8" spans="1:15" x14ac:dyDescent="0.25">
      <c r="A8" t="s">
        <v>31</v>
      </c>
      <c r="B8" t="s">
        <v>32</v>
      </c>
      <c r="C8" s="14" t="s">
        <v>30</v>
      </c>
      <c r="D8" s="1">
        <v>45197</v>
      </c>
      <c r="E8" s="14" t="s">
        <v>2057</v>
      </c>
      <c r="F8" s="14" t="s">
        <v>33</v>
      </c>
      <c r="G8">
        <v>460</v>
      </c>
      <c r="H8">
        <v>835</v>
      </c>
      <c r="I8">
        <v>810.99</v>
      </c>
      <c r="J8">
        <v>2</v>
      </c>
      <c r="K8" s="14" t="s">
        <v>15</v>
      </c>
      <c r="L8" s="14" t="str">
        <f>IF(OR(Table1[[#This Row],[Order_Status]]="Delivered",Table1[[#This Row],[Delivery_Date]]&lt;&gt;"Not Yet Delivered"),Table1[[#This Row],[Delivery_Date]]-Table1[[#This Row],[Order_Date]],"Not Applicable")</f>
        <v>Not Applicable</v>
      </c>
      <c r="M8" s="14">
        <f>Table1[[#This Row],[Unit_Cost]]-Table1[[#This Row],[Negotiated_Cost]]</f>
        <v>24.009999999999991</v>
      </c>
      <c r="N8" s="18">
        <f>Table1[[#This Row],[Defective_Units]]/Table1[[#This Row],[Quantity]]</f>
        <v>4.3478260869565218E-3</v>
      </c>
      <c r="O8" s="26">
        <f>(Table1[[#This Row],[Unit_Cost]]-Table1[[#This Row],[Negotiated_Cost]])/Table1[[#This Row],[Unit_Cost]]</f>
        <v>2.8754491017964061E-2</v>
      </c>
    </row>
    <row r="9" spans="1:15" x14ac:dyDescent="0.25">
      <c r="A9" t="s">
        <v>34</v>
      </c>
      <c r="B9" t="s">
        <v>35</v>
      </c>
      <c r="C9" s="14" t="s">
        <v>36</v>
      </c>
      <c r="D9" s="1">
        <v>45143</v>
      </c>
      <c r="E9" s="13">
        <v>45173</v>
      </c>
      <c r="F9" s="14" t="s">
        <v>37</v>
      </c>
      <c r="G9">
        <v>256</v>
      </c>
      <c r="H9">
        <v>557.05999999999995</v>
      </c>
      <c r="I9">
        <v>532.86</v>
      </c>
      <c r="J9">
        <v>3</v>
      </c>
      <c r="K9" s="14" t="s">
        <v>15</v>
      </c>
      <c r="L9" s="14">
        <f>IF(OR(Table1[[#This Row],[Order_Status]]="Delivered",Table1[[#This Row],[Delivery_Date]]&lt;&gt;"Not Yet Delivered"),Table1[[#This Row],[Delivery_Date]]-Table1[[#This Row],[Order_Date]],"Not Applicable")</f>
        <v>30</v>
      </c>
      <c r="M9" s="14">
        <f>Table1[[#This Row],[Unit_Cost]]-Table1[[#This Row],[Negotiated_Cost]]</f>
        <v>24.199999999999932</v>
      </c>
      <c r="N9" s="18">
        <f>Table1[[#This Row],[Defective_Units]]/Table1[[#This Row],[Quantity]]</f>
        <v>1.171875E-2</v>
      </c>
      <c r="O9" s="26">
        <f>(Table1[[#This Row],[Unit_Cost]]-Table1[[#This Row],[Negotiated_Cost]])/Table1[[#This Row],[Unit_Cost]]</f>
        <v>4.344235809428057E-2</v>
      </c>
    </row>
    <row r="10" spans="1:15" x14ac:dyDescent="0.25">
      <c r="A10" t="s">
        <v>38</v>
      </c>
      <c r="B10" t="s">
        <v>35</v>
      </c>
      <c r="C10" s="14" t="s">
        <v>21</v>
      </c>
      <c r="D10" s="1">
        <v>45398</v>
      </c>
      <c r="E10" s="13">
        <v>45402</v>
      </c>
      <c r="F10" s="14" t="s">
        <v>37</v>
      </c>
      <c r="G10">
        <v>67</v>
      </c>
      <c r="H10">
        <v>124.54</v>
      </c>
      <c r="I10">
        <v>122.35</v>
      </c>
      <c r="J10">
        <v>2</v>
      </c>
      <c r="K10" s="14" t="s">
        <v>15</v>
      </c>
      <c r="L10" s="14">
        <f>IF(OR(Table1[[#This Row],[Order_Status]]="Delivered",Table1[[#This Row],[Delivery_Date]]&lt;&gt;"Not Yet Delivered"),Table1[[#This Row],[Delivery_Date]]-Table1[[#This Row],[Order_Date]],"Not Applicable")</f>
        <v>4</v>
      </c>
      <c r="M10" s="14">
        <f>Table1[[#This Row],[Unit_Cost]]-Table1[[#This Row],[Negotiated_Cost]]</f>
        <v>2.1900000000000119</v>
      </c>
      <c r="N10" s="18">
        <f>Table1[[#This Row],[Defective_Units]]/Table1[[#This Row],[Quantity]]</f>
        <v>2.9850746268656716E-2</v>
      </c>
      <c r="O10" s="26">
        <f>(Table1[[#This Row],[Unit_Cost]]-Table1[[#This Row],[Negotiated_Cost]])/Table1[[#This Row],[Unit_Cost]]</f>
        <v>1.7584711739200353E-2</v>
      </c>
    </row>
    <row r="11" spans="1:15" x14ac:dyDescent="0.25">
      <c r="A11" t="s">
        <v>39</v>
      </c>
      <c r="B11" t="s">
        <v>40</v>
      </c>
      <c r="C11" s="14" t="s">
        <v>21</v>
      </c>
      <c r="D11" s="1">
        <v>45127</v>
      </c>
      <c r="E11" s="13">
        <v>45151</v>
      </c>
      <c r="F11" s="14" t="s">
        <v>14</v>
      </c>
      <c r="G11">
        <v>332</v>
      </c>
      <c r="H11">
        <v>128.81</v>
      </c>
      <c r="I11">
        <v>121.82</v>
      </c>
      <c r="J11">
        <v>3</v>
      </c>
      <c r="K11" s="14" t="s">
        <v>15</v>
      </c>
      <c r="L11" s="14">
        <f>IF(OR(Table1[[#This Row],[Order_Status]]="Delivered",Table1[[#This Row],[Delivery_Date]]&lt;&gt;"Not Yet Delivered"),Table1[[#This Row],[Delivery_Date]]-Table1[[#This Row],[Order_Date]],"Not Applicable")</f>
        <v>24</v>
      </c>
      <c r="M11" s="14">
        <f>Table1[[#This Row],[Unit_Cost]]-Table1[[#This Row],[Negotiated_Cost]]</f>
        <v>6.9900000000000091</v>
      </c>
      <c r="N11" s="18">
        <f>Table1[[#This Row],[Defective_Units]]/Table1[[#This Row],[Quantity]]</f>
        <v>9.0361445783132526E-3</v>
      </c>
      <c r="O11" s="26">
        <f>(Table1[[#This Row],[Unit_Cost]]-Table1[[#This Row],[Negotiated_Cost]])/Table1[[#This Row],[Unit_Cost]]</f>
        <v>5.4265973138731535E-2</v>
      </c>
    </row>
    <row r="12" spans="1:15" x14ac:dyDescent="0.25">
      <c r="A12" t="s">
        <v>41</v>
      </c>
      <c r="B12" t="s">
        <v>17</v>
      </c>
      <c r="C12" s="14" t="s">
        <v>42</v>
      </c>
      <c r="D12" s="1">
        <v>45539</v>
      </c>
      <c r="E12" s="13">
        <v>45566</v>
      </c>
      <c r="F12" s="14" t="s">
        <v>14</v>
      </c>
      <c r="G12">
        <v>435</v>
      </c>
      <c r="H12">
        <v>11568.65</v>
      </c>
      <c r="I12">
        <v>11402.61</v>
      </c>
      <c r="J12">
        <v>0</v>
      </c>
      <c r="K12" s="14" t="s">
        <v>15</v>
      </c>
      <c r="L12" s="14">
        <f>IF(OR(Table1[[#This Row],[Order_Status]]="Delivered",Table1[[#This Row],[Delivery_Date]]&lt;&gt;"Not Yet Delivered"),Table1[[#This Row],[Delivery_Date]]-Table1[[#This Row],[Order_Date]],"Not Applicable")</f>
        <v>27</v>
      </c>
      <c r="M12" s="14">
        <f>Table1[[#This Row],[Unit_Cost]]-Table1[[#This Row],[Negotiated_Cost]]</f>
        <v>166.03999999999905</v>
      </c>
      <c r="N12" s="18">
        <f>Table1[[#This Row],[Defective_Units]]/Table1[[#This Row],[Quantity]]</f>
        <v>0</v>
      </c>
      <c r="O12" s="26">
        <f>(Table1[[#This Row],[Unit_Cost]]-Table1[[#This Row],[Negotiated_Cost]])/Table1[[#This Row],[Unit_Cost]]</f>
        <v>1.4352582194119371E-2</v>
      </c>
    </row>
    <row r="13" spans="1:15" x14ac:dyDescent="0.25">
      <c r="A13" t="s">
        <v>43</v>
      </c>
      <c r="B13" t="s">
        <v>27</v>
      </c>
      <c r="C13" s="14" t="s">
        <v>44</v>
      </c>
      <c r="D13" s="1">
        <v>45387</v>
      </c>
      <c r="E13" s="13">
        <v>45408</v>
      </c>
      <c r="F13" s="14" t="s">
        <v>14</v>
      </c>
      <c r="G13">
        <v>183</v>
      </c>
      <c r="H13">
        <v>8182.5</v>
      </c>
      <c r="I13">
        <v>8004</v>
      </c>
      <c r="J13">
        <v>1</v>
      </c>
      <c r="K13" s="14" t="s">
        <v>15</v>
      </c>
      <c r="L13" s="14">
        <f>IF(OR(Table1[[#This Row],[Order_Status]]="Delivered",Table1[[#This Row],[Delivery_Date]]&lt;&gt;"Not Yet Delivered"),Table1[[#This Row],[Delivery_Date]]-Table1[[#This Row],[Order_Date]],"Not Applicable")</f>
        <v>21</v>
      </c>
      <c r="M13" s="14">
        <f>Table1[[#This Row],[Unit_Cost]]-Table1[[#This Row],[Negotiated_Cost]]</f>
        <v>178.5</v>
      </c>
      <c r="N13" s="18">
        <f>Table1[[#This Row],[Defective_Units]]/Table1[[#This Row],[Quantity]]</f>
        <v>5.4644808743169399E-3</v>
      </c>
      <c r="O13" s="26">
        <f>(Table1[[#This Row],[Unit_Cost]]-Table1[[#This Row],[Negotiated_Cost]])/Table1[[#This Row],[Unit_Cost]]</f>
        <v>2.1814848762603117E-2</v>
      </c>
    </row>
    <row r="14" spans="1:15" x14ac:dyDescent="0.25">
      <c r="A14" t="s">
        <v>45</v>
      </c>
      <c r="B14" t="s">
        <v>46</v>
      </c>
      <c r="C14" s="14" t="s">
        <v>42</v>
      </c>
      <c r="D14" s="1">
        <v>44962</v>
      </c>
      <c r="E14" s="14" t="s">
        <v>2057</v>
      </c>
      <c r="F14" s="14" t="s">
        <v>33</v>
      </c>
      <c r="G14">
        <v>17</v>
      </c>
      <c r="H14">
        <v>11276.94</v>
      </c>
      <c r="I14">
        <v>10796.37</v>
      </c>
      <c r="J14">
        <v>2</v>
      </c>
      <c r="K14" s="14" t="s">
        <v>15</v>
      </c>
      <c r="L14" s="14" t="str">
        <f>IF(OR(Table1[[#This Row],[Order_Status]]="Delivered",Table1[[#This Row],[Delivery_Date]]&lt;&gt;"Not Yet Delivered"),Table1[[#This Row],[Delivery_Date]]-Table1[[#This Row],[Order_Date]],"Not Applicable")</f>
        <v>Not Applicable</v>
      </c>
      <c r="M14" s="14">
        <f>Table1[[#This Row],[Unit_Cost]]-Table1[[#This Row],[Negotiated_Cost]]</f>
        <v>480.56999999999971</v>
      </c>
      <c r="N14" s="18">
        <f>Table1[[#This Row],[Defective_Units]]/Table1[[#This Row],[Quantity]]</f>
        <v>0.11764705882352941</v>
      </c>
      <c r="O14" s="26">
        <f>(Table1[[#This Row],[Unit_Cost]]-Table1[[#This Row],[Negotiated_Cost]])/Table1[[#This Row],[Unit_Cost]]</f>
        <v>4.2615283933407438E-2</v>
      </c>
    </row>
    <row r="15" spans="1:15" x14ac:dyDescent="0.25">
      <c r="A15" t="s">
        <v>47</v>
      </c>
      <c r="B15" t="s">
        <v>46</v>
      </c>
      <c r="C15" s="14" t="s">
        <v>48</v>
      </c>
      <c r="D15" s="1">
        <v>45572</v>
      </c>
      <c r="E15" s="13">
        <v>45584</v>
      </c>
      <c r="F15" s="14" t="s">
        <v>14</v>
      </c>
      <c r="G15">
        <v>288</v>
      </c>
      <c r="H15">
        <v>6669.5</v>
      </c>
      <c r="I15">
        <v>6343.99</v>
      </c>
      <c r="J15">
        <v>0</v>
      </c>
      <c r="K15" s="14" t="s">
        <v>15</v>
      </c>
      <c r="L15" s="14">
        <f>IF(OR(Table1[[#This Row],[Order_Status]]="Delivered",Table1[[#This Row],[Delivery_Date]]&lt;&gt;"Not Yet Delivered"),Table1[[#This Row],[Delivery_Date]]-Table1[[#This Row],[Order_Date]],"Not Applicable")</f>
        <v>12</v>
      </c>
      <c r="M15" s="14">
        <f>Table1[[#This Row],[Unit_Cost]]-Table1[[#This Row],[Negotiated_Cost]]</f>
        <v>325.51000000000022</v>
      </c>
      <c r="N15" s="18">
        <f>Table1[[#This Row],[Defective_Units]]/Table1[[#This Row],[Quantity]]</f>
        <v>0</v>
      </c>
      <c r="O15" s="26">
        <f>(Table1[[#This Row],[Unit_Cost]]-Table1[[#This Row],[Negotiated_Cost]])/Table1[[#This Row],[Unit_Cost]]</f>
        <v>4.8805757553039994E-2</v>
      </c>
    </row>
    <row r="16" spans="1:15" x14ac:dyDescent="0.25">
      <c r="A16" t="s">
        <v>49</v>
      </c>
      <c r="B16" t="s">
        <v>20</v>
      </c>
      <c r="C16" s="14" t="s">
        <v>50</v>
      </c>
      <c r="D16" s="1">
        <v>45209</v>
      </c>
      <c r="E16" s="13">
        <v>45213</v>
      </c>
      <c r="F16" s="14" t="s">
        <v>14</v>
      </c>
      <c r="G16">
        <v>450</v>
      </c>
      <c r="H16">
        <v>46927.92</v>
      </c>
      <c r="I16">
        <v>45104.959999999999</v>
      </c>
      <c r="J16">
        <v>4</v>
      </c>
      <c r="K16" s="14" t="s">
        <v>15</v>
      </c>
      <c r="L16" s="14">
        <f>IF(OR(Table1[[#This Row],[Order_Status]]="Delivered",Table1[[#This Row],[Delivery_Date]]&lt;&gt;"Not Yet Delivered"),Table1[[#This Row],[Delivery_Date]]-Table1[[#This Row],[Order_Date]],"Not Applicable")</f>
        <v>4</v>
      </c>
      <c r="M16" s="14">
        <f>Table1[[#This Row],[Unit_Cost]]-Table1[[#This Row],[Negotiated_Cost]]</f>
        <v>1822.9599999999991</v>
      </c>
      <c r="N16" s="18">
        <f>Table1[[#This Row],[Defective_Units]]/Table1[[#This Row],[Quantity]]</f>
        <v>8.8888888888888889E-3</v>
      </c>
      <c r="O16" s="26">
        <f>(Table1[[#This Row],[Unit_Cost]]-Table1[[#This Row],[Negotiated_Cost]])/Table1[[#This Row],[Unit_Cost]]</f>
        <v>3.8845957800814505E-2</v>
      </c>
    </row>
    <row r="17" spans="1:15" x14ac:dyDescent="0.25">
      <c r="A17" t="s">
        <v>51</v>
      </c>
      <c r="B17" t="s">
        <v>27</v>
      </c>
      <c r="C17" s="14" t="s">
        <v>24</v>
      </c>
      <c r="D17" s="1">
        <v>45610</v>
      </c>
      <c r="E17" s="13">
        <v>45635</v>
      </c>
      <c r="F17" s="14" t="s">
        <v>14</v>
      </c>
      <c r="G17">
        <v>156</v>
      </c>
      <c r="H17">
        <v>13427.65</v>
      </c>
      <c r="I17">
        <v>12882.38</v>
      </c>
      <c r="J17">
        <v>4</v>
      </c>
      <c r="K17" s="14" t="s">
        <v>25</v>
      </c>
      <c r="L17" s="14">
        <f>IF(OR(Table1[[#This Row],[Order_Status]]="Delivered",Table1[[#This Row],[Delivery_Date]]&lt;&gt;"Not Yet Delivered"),Table1[[#This Row],[Delivery_Date]]-Table1[[#This Row],[Order_Date]],"Not Applicable")</f>
        <v>25</v>
      </c>
      <c r="M17" s="14">
        <f>Table1[[#This Row],[Unit_Cost]]-Table1[[#This Row],[Negotiated_Cost]]</f>
        <v>545.27000000000044</v>
      </c>
      <c r="N17" s="18">
        <f>Table1[[#This Row],[Defective_Units]]/Table1[[#This Row],[Quantity]]</f>
        <v>2.564102564102564E-2</v>
      </c>
      <c r="O17" s="26">
        <f>(Table1[[#This Row],[Unit_Cost]]-Table1[[#This Row],[Negotiated_Cost]])/Table1[[#This Row],[Unit_Cost]]</f>
        <v>4.0607999165900244E-2</v>
      </c>
    </row>
    <row r="18" spans="1:15" x14ac:dyDescent="0.25">
      <c r="A18" t="s">
        <v>52</v>
      </c>
      <c r="B18" t="s">
        <v>27</v>
      </c>
      <c r="C18" s="14" t="s">
        <v>13</v>
      </c>
      <c r="D18" s="1">
        <v>45313</v>
      </c>
      <c r="E18" s="13">
        <v>45341</v>
      </c>
      <c r="F18" s="14" t="s">
        <v>14</v>
      </c>
      <c r="G18">
        <v>117</v>
      </c>
      <c r="H18">
        <v>4103.09</v>
      </c>
      <c r="I18">
        <v>4102.53</v>
      </c>
      <c r="J18">
        <v>0</v>
      </c>
      <c r="K18" s="14" t="s">
        <v>15</v>
      </c>
      <c r="L18" s="14">
        <f>IF(OR(Table1[[#This Row],[Order_Status]]="Delivered",Table1[[#This Row],[Delivery_Date]]&lt;&gt;"Not Yet Delivered"),Table1[[#This Row],[Delivery_Date]]-Table1[[#This Row],[Order_Date]],"Not Applicable")</f>
        <v>28</v>
      </c>
      <c r="M18" s="14">
        <f>Table1[[#This Row],[Unit_Cost]]-Table1[[#This Row],[Negotiated_Cost]]</f>
        <v>0.56000000000040018</v>
      </c>
      <c r="N18" s="18">
        <f>Table1[[#This Row],[Defective_Units]]/Table1[[#This Row],[Quantity]]</f>
        <v>0</v>
      </c>
      <c r="O18" s="26">
        <f>(Table1[[#This Row],[Unit_Cost]]-Table1[[#This Row],[Negotiated_Cost]])/Table1[[#This Row],[Unit_Cost]]</f>
        <v>1.3648250464903285E-4</v>
      </c>
    </row>
    <row r="19" spans="1:15" x14ac:dyDescent="0.25">
      <c r="A19" t="s">
        <v>53</v>
      </c>
      <c r="B19" t="s">
        <v>20</v>
      </c>
      <c r="C19" s="14" t="s">
        <v>50</v>
      </c>
      <c r="D19" s="1">
        <v>45329</v>
      </c>
      <c r="E19" s="13">
        <v>45336</v>
      </c>
      <c r="F19" s="14" t="s">
        <v>14</v>
      </c>
      <c r="G19">
        <v>130</v>
      </c>
      <c r="H19">
        <v>47792.78</v>
      </c>
      <c r="I19">
        <v>46328.75</v>
      </c>
      <c r="J19">
        <v>3</v>
      </c>
      <c r="K19" s="14" t="s">
        <v>15</v>
      </c>
      <c r="L19" s="14">
        <f>IF(OR(Table1[[#This Row],[Order_Status]]="Delivered",Table1[[#This Row],[Delivery_Date]]&lt;&gt;"Not Yet Delivered"),Table1[[#This Row],[Delivery_Date]]-Table1[[#This Row],[Order_Date]],"Not Applicable")</f>
        <v>7</v>
      </c>
      <c r="M19" s="14">
        <f>Table1[[#This Row],[Unit_Cost]]-Table1[[#This Row],[Negotiated_Cost]]</f>
        <v>1464.0299999999988</v>
      </c>
      <c r="N19" s="18">
        <f>Table1[[#This Row],[Defective_Units]]/Table1[[#This Row],[Quantity]]</f>
        <v>2.3076923076923078E-2</v>
      </c>
      <c r="O19" s="26">
        <f>(Table1[[#This Row],[Unit_Cost]]-Table1[[#This Row],[Negotiated_Cost]])/Table1[[#This Row],[Unit_Cost]]</f>
        <v>3.063286965102258E-2</v>
      </c>
    </row>
    <row r="20" spans="1:15" x14ac:dyDescent="0.25">
      <c r="A20" t="s">
        <v>54</v>
      </c>
      <c r="B20" t="s">
        <v>35</v>
      </c>
      <c r="C20" s="14" t="s">
        <v>55</v>
      </c>
      <c r="D20" s="1">
        <v>45536</v>
      </c>
      <c r="E20" s="13">
        <v>45553</v>
      </c>
      <c r="F20" s="14" t="s">
        <v>37</v>
      </c>
      <c r="G20">
        <v>202</v>
      </c>
      <c r="H20">
        <v>14323.95</v>
      </c>
      <c r="I20">
        <v>14166.18</v>
      </c>
      <c r="J20">
        <v>0</v>
      </c>
      <c r="K20" s="14" t="s">
        <v>15</v>
      </c>
      <c r="L20" s="14">
        <f>IF(OR(Table1[[#This Row],[Order_Status]]="Delivered",Table1[[#This Row],[Delivery_Date]]&lt;&gt;"Not Yet Delivered"),Table1[[#This Row],[Delivery_Date]]-Table1[[#This Row],[Order_Date]],"Not Applicable")</f>
        <v>17</v>
      </c>
      <c r="M20" s="14">
        <f>Table1[[#This Row],[Unit_Cost]]-Table1[[#This Row],[Negotiated_Cost]]</f>
        <v>157.77000000000044</v>
      </c>
      <c r="N20" s="18">
        <f>Table1[[#This Row],[Defective_Units]]/Table1[[#This Row],[Quantity]]</f>
        <v>0</v>
      </c>
      <c r="O20" s="26">
        <f>(Table1[[#This Row],[Unit_Cost]]-Table1[[#This Row],[Negotiated_Cost]])/Table1[[#This Row],[Unit_Cost]]</f>
        <v>1.1014419905123966E-2</v>
      </c>
    </row>
    <row r="21" spans="1:15" x14ac:dyDescent="0.25">
      <c r="A21" t="s">
        <v>56</v>
      </c>
      <c r="B21" t="s">
        <v>12</v>
      </c>
      <c r="C21" s="14" t="s">
        <v>30</v>
      </c>
      <c r="D21" s="1">
        <v>45329</v>
      </c>
      <c r="E21" s="13">
        <v>45337</v>
      </c>
      <c r="F21" s="14" t="s">
        <v>14</v>
      </c>
      <c r="G21">
        <v>350</v>
      </c>
      <c r="H21">
        <v>946.37</v>
      </c>
      <c r="I21">
        <v>902.45</v>
      </c>
      <c r="J21">
        <v>4</v>
      </c>
      <c r="K21" s="14" t="s">
        <v>25</v>
      </c>
      <c r="L21" s="14">
        <f>IF(OR(Table1[[#This Row],[Order_Status]]="Delivered",Table1[[#This Row],[Delivery_Date]]&lt;&gt;"Not Yet Delivered"),Table1[[#This Row],[Delivery_Date]]-Table1[[#This Row],[Order_Date]],"Not Applicable")</f>
        <v>8</v>
      </c>
      <c r="M21" s="14">
        <f>Table1[[#This Row],[Unit_Cost]]-Table1[[#This Row],[Negotiated_Cost]]</f>
        <v>43.919999999999959</v>
      </c>
      <c r="N21" s="18">
        <f>Table1[[#This Row],[Defective_Units]]/Table1[[#This Row],[Quantity]]</f>
        <v>1.1428571428571429E-2</v>
      </c>
      <c r="O21" s="26">
        <f>(Table1[[#This Row],[Unit_Cost]]-Table1[[#This Row],[Negotiated_Cost]])/Table1[[#This Row],[Unit_Cost]]</f>
        <v>4.6408909834419899E-2</v>
      </c>
    </row>
    <row r="22" spans="1:15" x14ac:dyDescent="0.25">
      <c r="A22" t="s">
        <v>57</v>
      </c>
      <c r="B22" t="s">
        <v>17</v>
      </c>
      <c r="C22" s="14" t="s">
        <v>50</v>
      </c>
      <c r="D22" s="1">
        <v>45399</v>
      </c>
      <c r="E22" s="13">
        <v>45403</v>
      </c>
      <c r="F22" s="14" t="s">
        <v>14</v>
      </c>
      <c r="G22">
        <v>438</v>
      </c>
      <c r="H22">
        <v>51371.08</v>
      </c>
      <c r="I22">
        <v>50993.01</v>
      </c>
      <c r="J22">
        <v>5</v>
      </c>
      <c r="K22" s="14" t="s">
        <v>15</v>
      </c>
      <c r="L22" s="14">
        <f>IF(OR(Table1[[#This Row],[Order_Status]]="Delivered",Table1[[#This Row],[Delivery_Date]]&lt;&gt;"Not Yet Delivered"),Table1[[#This Row],[Delivery_Date]]-Table1[[#This Row],[Order_Date]],"Not Applicable")</f>
        <v>4</v>
      </c>
      <c r="M22" s="14">
        <f>Table1[[#This Row],[Unit_Cost]]-Table1[[#This Row],[Negotiated_Cost]]</f>
        <v>378.06999999999971</v>
      </c>
      <c r="N22" s="18">
        <f>Table1[[#This Row],[Defective_Units]]/Table1[[#This Row],[Quantity]]</f>
        <v>1.1415525114155251E-2</v>
      </c>
      <c r="O22" s="26">
        <f>(Table1[[#This Row],[Unit_Cost]]-Table1[[#This Row],[Negotiated_Cost]])/Table1[[#This Row],[Unit_Cost]]</f>
        <v>7.3595883131131311E-3</v>
      </c>
    </row>
    <row r="23" spans="1:15" x14ac:dyDescent="0.25">
      <c r="A23" t="s">
        <v>58</v>
      </c>
      <c r="B23" t="s">
        <v>27</v>
      </c>
      <c r="C23" s="14" t="s">
        <v>50</v>
      </c>
      <c r="D23" s="1">
        <v>45230</v>
      </c>
      <c r="E23" s="13">
        <v>45258</v>
      </c>
      <c r="F23" s="14" t="s">
        <v>14</v>
      </c>
      <c r="G23">
        <v>258</v>
      </c>
      <c r="H23">
        <v>55568.2</v>
      </c>
      <c r="I23">
        <v>55236.18</v>
      </c>
      <c r="J23">
        <v>2</v>
      </c>
      <c r="K23" s="14" t="s">
        <v>15</v>
      </c>
      <c r="L23" s="14">
        <f>IF(OR(Table1[[#This Row],[Order_Status]]="Delivered",Table1[[#This Row],[Delivery_Date]]&lt;&gt;"Not Yet Delivered"),Table1[[#This Row],[Delivery_Date]]-Table1[[#This Row],[Order_Date]],"Not Applicable")</f>
        <v>28</v>
      </c>
      <c r="M23" s="14">
        <f>Table1[[#This Row],[Unit_Cost]]-Table1[[#This Row],[Negotiated_Cost]]</f>
        <v>332.0199999999968</v>
      </c>
      <c r="N23" s="18">
        <f>Table1[[#This Row],[Defective_Units]]/Table1[[#This Row],[Quantity]]</f>
        <v>7.7519379844961239E-3</v>
      </c>
      <c r="O23" s="26">
        <f>(Table1[[#This Row],[Unit_Cost]]-Table1[[#This Row],[Negotiated_Cost]])/Table1[[#This Row],[Unit_Cost]]</f>
        <v>5.9750000899794634E-3</v>
      </c>
    </row>
    <row r="24" spans="1:15" x14ac:dyDescent="0.25">
      <c r="A24" t="s">
        <v>59</v>
      </c>
      <c r="B24" t="s">
        <v>35</v>
      </c>
      <c r="C24" s="14" t="s">
        <v>30</v>
      </c>
      <c r="D24" s="1">
        <v>44980</v>
      </c>
      <c r="E24" s="13">
        <v>44998</v>
      </c>
      <c r="F24" s="14" t="s">
        <v>14</v>
      </c>
      <c r="G24">
        <v>124</v>
      </c>
      <c r="H24">
        <v>941.88</v>
      </c>
      <c r="I24">
        <v>933.46</v>
      </c>
      <c r="J24">
        <v>2</v>
      </c>
      <c r="K24" s="14" t="s">
        <v>15</v>
      </c>
      <c r="L24" s="14">
        <f>IF(OR(Table1[[#This Row],[Order_Status]]="Delivered",Table1[[#This Row],[Delivery_Date]]&lt;&gt;"Not Yet Delivered"),Table1[[#This Row],[Delivery_Date]]-Table1[[#This Row],[Order_Date]],"Not Applicable")</f>
        <v>18</v>
      </c>
      <c r="M24" s="14">
        <f>Table1[[#This Row],[Unit_Cost]]-Table1[[#This Row],[Negotiated_Cost]]</f>
        <v>8.4199999999999591</v>
      </c>
      <c r="N24" s="18">
        <f>Table1[[#This Row],[Defective_Units]]/Table1[[#This Row],[Quantity]]</f>
        <v>1.6129032258064516E-2</v>
      </c>
      <c r="O24" s="26">
        <f>(Table1[[#This Row],[Unit_Cost]]-Table1[[#This Row],[Negotiated_Cost]])/Table1[[#This Row],[Unit_Cost]]</f>
        <v>8.9395676731642663E-3</v>
      </c>
    </row>
    <row r="25" spans="1:15" x14ac:dyDescent="0.25">
      <c r="A25" t="s">
        <v>60</v>
      </c>
      <c r="B25" t="s">
        <v>17</v>
      </c>
      <c r="C25" s="14" t="s">
        <v>48</v>
      </c>
      <c r="D25" s="1">
        <v>45079</v>
      </c>
      <c r="E25" s="13">
        <v>45082</v>
      </c>
      <c r="F25" s="14" t="s">
        <v>14</v>
      </c>
      <c r="G25">
        <v>353</v>
      </c>
      <c r="H25">
        <v>5951.57</v>
      </c>
      <c r="I25">
        <v>5703.52</v>
      </c>
      <c r="J25">
        <v>3</v>
      </c>
      <c r="K25" s="14" t="s">
        <v>15</v>
      </c>
      <c r="L25" s="14">
        <f>IF(OR(Table1[[#This Row],[Order_Status]]="Delivered",Table1[[#This Row],[Delivery_Date]]&lt;&gt;"Not Yet Delivered"),Table1[[#This Row],[Delivery_Date]]-Table1[[#This Row],[Order_Date]],"Not Applicable")</f>
        <v>3</v>
      </c>
      <c r="M25" s="14">
        <f>Table1[[#This Row],[Unit_Cost]]-Table1[[#This Row],[Negotiated_Cost]]</f>
        <v>248.04999999999927</v>
      </c>
      <c r="N25" s="18">
        <f>Table1[[#This Row],[Defective_Units]]/Table1[[#This Row],[Quantity]]</f>
        <v>8.4985835694051E-3</v>
      </c>
      <c r="O25" s="26">
        <f>(Table1[[#This Row],[Unit_Cost]]-Table1[[#This Row],[Negotiated_Cost]])/Table1[[#This Row],[Unit_Cost]]</f>
        <v>4.1678078221376758E-2</v>
      </c>
    </row>
    <row r="26" spans="1:15" x14ac:dyDescent="0.25">
      <c r="A26" t="s">
        <v>61</v>
      </c>
      <c r="B26" t="s">
        <v>32</v>
      </c>
      <c r="C26" s="14" t="s">
        <v>50</v>
      </c>
      <c r="D26" s="1">
        <v>45203</v>
      </c>
      <c r="E26" s="13">
        <v>45211</v>
      </c>
      <c r="F26" s="14" t="s">
        <v>37</v>
      </c>
      <c r="G26">
        <v>308</v>
      </c>
      <c r="H26">
        <v>49255.06</v>
      </c>
      <c r="I26">
        <v>48219.62</v>
      </c>
      <c r="J26">
        <v>2</v>
      </c>
      <c r="K26" s="14" t="s">
        <v>15</v>
      </c>
      <c r="L26" s="14">
        <f>IF(OR(Table1[[#This Row],[Order_Status]]="Delivered",Table1[[#This Row],[Delivery_Date]]&lt;&gt;"Not Yet Delivered"),Table1[[#This Row],[Delivery_Date]]-Table1[[#This Row],[Order_Date]],"Not Applicable")</f>
        <v>8</v>
      </c>
      <c r="M26" s="14">
        <f>Table1[[#This Row],[Unit_Cost]]-Table1[[#This Row],[Negotiated_Cost]]</f>
        <v>1035.4399999999951</v>
      </c>
      <c r="N26" s="18">
        <f>Table1[[#This Row],[Defective_Units]]/Table1[[#This Row],[Quantity]]</f>
        <v>6.4935064935064939E-3</v>
      </c>
      <c r="O26" s="26">
        <f>(Table1[[#This Row],[Unit_Cost]]-Table1[[#This Row],[Negotiated_Cost]])/Table1[[#This Row],[Unit_Cost]]</f>
        <v>2.1022002612523367E-2</v>
      </c>
    </row>
    <row r="27" spans="1:15" x14ac:dyDescent="0.25">
      <c r="A27" t="s">
        <v>62</v>
      </c>
      <c r="B27" t="s">
        <v>40</v>
      </c>
      <c r="C27" s="14" t="s">
        <v>55</v>
      </c>
      <c r="D27" s="1">
        <v>44948</v>
      </c>
      <c r="E27" s="14" t="s">
        <v>2057</v>
      </c>
      <c r="F27" s="14" t="s">
        <v>33</v>
      </c>
      <c r="G27">
        <v>242</v>
      </c>
      <c r="H27">
        <v>15828.89</v>
      </c>
      <c r="I27">
        <v>15808.84</v>
      </c>
      <c r="J27">
        <v>2</v>
      </c>
      <c r="K27" s="14" t="s">
        <v>15</v>
      </c>
      <c r="L27" s="14" t="str">
        <f>IF(OR(Table1[[#This Row],[Order_Status]]="Delivered",Table1[[#This Row],[Delivery_Date]]&lt;&gt;"Not Yet Delivered"),Table1[[#This Row],[Delivery_Date]]-Table1[[#This Row],[Order_Date]],"Not Applicable")</f>
        <v>Not Applicable</v>
      </c>
      <c r="M27" s="14">
        <f>Table1[[#This Row],[Unit_Cost]]-Table1[[#This Row],[Negotiated_Cost]]</f>
        <v>20.049999999999272</v>
      </c>
      <c r="N27" s="18">
        <f>Table1[[#This Row],[Defective_Units]]/Table1[[#This Row],[Quantity]]</f>
        <v>8.2644628099173556E-3</v>
      </c>
      <c r="O27" s="26">
        <f>(Table1[[#This Row],[Unit_Cost]]-Table1[[#This Row],[Negotiated_Cost]])/Table1[[#This Row],[Unit_Cost]]</f>
        <v>1.2666712574286177E-3</v>
      </c>
    </row>
    <row r="28" spans="1:15" x14ac:dyDescent="0.25">
      <c r="A28" t="s">
        <v>63</v>
      </c>
      <c r="B28" t="s">
        <v>46</v>
      </c>
      <c r="C28" s="14" t="s">
        <v>28</v>
      </c>
      <c r="D28" s="1">
        <v>45535</v>
      </c>
      <c r="E28" s="13">
        <v>45564</v>
      </c>
      <c r="F28" s="14" t="s">
        <v>37</v>
      </c>
      <c r="G28">
        <v>288</v>
      </c>
      <c r="H28">
        <v>48483.27</v>
      </c>
      <c r="I28">
        <v>48088.13</v>
      </c>
      <c r="J28">
        <v>0</v>
      </c>
      <c r="K28" s="14" t="s">
        <v>15</v>
      </c>
      <c r="L28" s="14">
        <f>IF(OR(Table1[[#This Row],[Order_Status]]="Delivered",Table1[[#This Row],[Delivery_Date]]&lt;&gt;"Not Yet Delivered"),Table1[[#This Row],[Delivery_Date]]-Table1[[#This Row],[Order_Date]],"Not Applicable")</f>
        <v>29</v>
      </c>
      <c r="M28" s="14">
        <f>Table1[[#This Row],[Unit_Cost]]-Table1[[#This Row],[Negotiated_Cost]]</f>
        <v>395.13999999999942</v>
      </c>
      <c r="N28" s="18">
        <f>Table1[[#This Row],[Defective_Units]]/Table1[[#This Row],[Quantity]]</f>
        <v>0</v>
      </c>
      <c r="O28" s="26">
        <f>(Table1[[#This Row],[Unit_Cost]]-Table1[[#This Row],[Negotiated_Cost]])/Table1[[#This Row],[Unit_Cost]]</f>
        <v>8.1500278343436712E-3</v>
      </c>
    </row>
    <row r="29" spans="1:15" x14ac:dyDescent="0.25">
      <c r="A29" t="s">
        <v>64</v>
      </c>
      <c r="B29" t="s">
        <v>12</v>
      </c>
      <c r="C29" s="14" t="s">
        <v>50</v>
      </c>
      <c r="D29" s="1">
        <v>45146</v>
      </c>
      <c r="E29" s="13">
        <v>45150</v>
      </c>
      <c r="F29" s="14" t="s">
        <v>37</v>
      </c>
      <c r="G29">
        <v>162</v>
      </c>
      <c r="H29">
        <v>57574.14</v>
      </c>
      <c r="I29">
        <v>57280.04</v>
      </c>
      <c r="J29">
        <v>2</v>
      </c>
      <c r="K29" s="14" t="s">
        <v>15</v>
      </c>
      <c r="L29" s="14">
        <f>IF(OR(Table1[[#This Row],[Order_Status]]="Delivered",Table1[[#This Row],[Delivery_Date]]&lt;&gt;"Not Yet Delivered"),Table1[[#This Row],[Delivery_Date]]-Table1[[#This Row],[Order_Date]],"Not Applicable")</f>
        <v>4</v>
      </c>
      <c r="M29" s="14">
        <f>Table1[[#This Row],[Unit_Cost]]-Table1[[#This Row],[Negotiated_Cost]]</f>
        <v>294.09999999999854</v>
      </c>
      <c r="N29" s="18">
        <f>Table1[[#This Row],[Defective_Units]]/Table1[[#This Row],[Quantity]]</f>
        <v>1.2345679012345678E-2</v>
      </c>
      <c r="O29" s="26">
        <f>(Table1[[#This Row],[Unit_Cost]]-Table1[[#This Row],[Negotiated_Cost]])/Table1[[#This Row],[Unit_Cost]]</f>
        <v>5.1081961450053538E-3</v>
      </c>
    </row>
    <row r="30" spans="1:15" x14ac:dyDescent="0.25">
      <c r="A30" t="s">
        <v>65</v>
      </c>
      <c r="B30" t="s">
        <v>12</v>
      </c>
      <c r="C30" s="14" t="s">
        <v>24</v>
      </c>
      <c r="D30" s="1">
        <v>45042</v>
      </c>
      <c r="E30" s="13">
        <v>45044</v>
      </c>
      <c r="F30" s="14" t="s">
        <v>14</v>
      </c>
      <c r="G30">
        <v>195</v>
      </c>
      <c r="H30">
        <v>12818.97</v>
      </c>
      <c r="I30">
        <v>12196.67</v>
      </c>
      <c r="J30">
        <v>1</v>
      </c>
      <c r="K30" s="14" t="s">
        <v>25</v>
      </c>
      <c r="L30" s="14">
        <f>IF(OR(Table1[[#This Row],[Order_Status]]="Delivered",Table1[[#This Row],[Delivery_Date]]&lt;&gt;"Not Yet Delivered"),Table1[[#This Row],[Delivery_Date]]-Table1[[#This Row],[Order_Date]],"Not Applicable")</f>
        <v>2</v>
      </c>
      <c r="M30" s="14">
        <f>Table1[[#This Row],[Unit_Cost]]-Table1[[#This Row],[Negotiated_Cost]]</f>
        <v>622.29999999999927</v>
      </c>
      <c r="N30" s="18">
        <f>Table1[[#This Row],[Defective_Units]]/Table1[[#This Row],[Quantity]]</f>
        <v>5.1282051282051282E-3</v>
      </c>
      <c r="O30" s="26">
        <f>(Table1[[#This Row],[Unit_Cost]]-Table1[[#This Row],[Negotiated_Cost]])/Table1[[#This Row],[Unit_Cost]]</f>
        <v>4.8545241934414333E-2</v>
      </c>
    </row>
    <row r="31" spans="1:15" x14ac:dyDescent="0.25">
      <c r="A31" t="s">
        <v>66</v>
      </c>
      <c r="B31" t="s">
        <v>17</v>
      </c>
      <c r="C31" s="14" t="s">
        <v>44</v>
      </c>
      <c r="D31" s="1">
        <v>45612</v>
      </c>
      <c r="E31" s="13">
        <v>45636</v>
      </c>
      <c r="F31" s="14" t="s">
        <v>14</v>
      </c>
      <c r="G31">
        <v>284</v>
      </c>
      <c r="H31">
        <v>7710.91</v>
      </c>
      <c r="I31">
        <v>7558.76</v>
      </c>
      <c r="J31">
        <v>5</v>
      </c>
      <c r="K31" s="14" t="s">
        <v>15</v>
      </c>
      <c r="L31" s="14">
        <f>IF(OR(Table1[[#This Row],[Order_Status]]="Delivered",Table1[[#This Row],[Delivery_Date]]&lt;&gt;"Not Yet Delivered"),Table1[[#This Row],[Delivery_Date]]-Table1[[#This Row],[Order_Date]],"Not Applicable")</f>
        <v>24</v>
      </c>
      <c r="M31" s="14">
        <f>Table1[[#This Row],[Unit_Cost]]-Table1[[#This Row],[Negotiated_Cost]]</f>
        <v>152.14999999999964</v>
      </c>
      <c r="N31" s="18">
        <f>Table1[[#This Row],[Defective_Units]]/Table1[[#This Row],[Quantity]]</f>
        <v>1.7605633802816902E-2</v>
      </c>
      <c r="O31" s="26">
        <f>(Table1[[#This Row],[Unit_Cost]]-Table1[[#This Row],[Negotiated_Cost]])/Table1[[#This Row],[Unit_Cost]]</f>
        <v>1.9731782630065666E-2</v>
      </c>
    </row>
    <row r="32" spans="1:15" x14ac:dyDescent="0.25">
      <c r="A32" t="s">
        <v>67</v>
      </c>
      <c r="B32" t="s">
        <v>20</v>
      </c>
      <c r="C32" s="14" t="s">
        <v>50</v>
      </c>
      <c r="D32" s="1">
        <v>45172</v>
      </c>
      <c r="E32" s="13">
        <v>45199</v>
      </c>
      <c r="F32" s="14" t="s">
        <v>37</v>
      </c>
      <c r="G32">
        <v>180</v>
      </c>
      <c r="H32">
        <v>50236.41</v>
      </c>
      <c r="I32">
        <v>48115.96</v>
      </c>
      <c r="J32">
        <v>6</v>
      </c>
      <c r="K32" s="14" t="s">
        <v>15</v>
      </c>
      <c r="L32" s="14">
        <f>IF(OR(Table1[[#This Row],[Order_Status]]="Delivered",Table1[[#This Row],[Delivery_Date]]&lt;&gt;"Not Yet Delivered"),Table1[[#This Row],[Delivery_Date]]-Table1[[#This Row],[Order_Date]],"Not Applicable")</f>
        <v>27</v>
      </c>
      <c r="M32" s="14">
        <f>Table1[[#This Row],[Unit_Cost]]-Table1[[#This Row],[Negotiated_Cost]]</f>
        <v>2120.4500000000044</v>
      </c>
      <c r="N32" s="18">
        <f>Table1[[#This Row],[Defective_Units]]/Table1[[#This Row],[Quantity]]</f>
        <v>3.3333333333333333E-2</v>
      </c>
      <c r="O32" s="26">
        <f>(Table1[[#This Row],[Unit_Cost]]-Table1[[#This Row],[Negotiated_Cost]])/Table1[[#This Row],[Unit_Cost]]</f>
        <v>4.2209425394848163E-2</v>
      </c>
    </row>
    <row r="33" spans="1:15" x14ac:dyDescent="0.25">
      <c r="A33" t="s">
        <v>68</v>
      </c>
      <c r="B33" t="s">
        <v>12</v>
      </c>
      <c r="C33" s="14" t="s">
        <v>48</v>
      </c>
      <c r="D33" s="1">
        <v>45611</v>
      </c>
      <c r="E33" s="13">
        <v>45628</v>
      </c>
      <c r="F33" s="14" t="s">
        <v>14</v>
      </c>
      <c r="G33">
        <v>24</v>
      </c>
      <c r="H33">
        <v>6947.82</v>
      </c>
      <c r="I33">
        <v>6823.58</v>
      </c>
      <c r="J33">
        <v>0</v>
      </c>
      <c r="K33" s="14" t="s">
        <v>15</v>
      </c>
      <c r="L33" s="14">
        <f>IF(OR(Table1[[#This Row],[Order_Status]]="Delivered",Table1[[#This Row],[Delivery_Date]]&lt;&gt;"Not Yet Delivered"),Table1[[#This Row],[Delivery_Date]]-Table1[[#This Row],[Order_Date]],"Not Applicable")</f>
        <v>17</v>
      </c>
      <c r="M33" s="14">
        <f>Table1[[#This Row],[Unit_Cost]]-Table1[[#This Row],[Negotiated_Cost]]</f>
        <v>124.23999999999978</v>
      </c>
      <c r="N33" s="18">
        <f>Table1[[#This Row],[Defective_Units]]/Table1[[#This Row],[Quantity]]</f>
        <v>0</v>
      </c>
      <c r="O33" s="26">
        <f>(Table1[[#This Row],[Unit_Cost]]-Table1[[#This Row],[Negotiated_Cost]])/Table1[[#This Row],[Unit_Cost]]</f>
        <v>1.7881867981611468E-2</v>
      </c>
    </row>
    <row r="34" spans="1:15" x14ac:dyDescent="0.25">
      <c r="A34" t="s">
        <v>69</v>
      </c>
      <c r="B34" t="s">
        <v>40</v>
      </c>
      <c r="C34" s="14" t="s">
        <v>13</v>
      </c>
      <c r="D34" s="1">
        <v>44977</v>
      </c>
      <c r="E34" s="13">
        <v>45000</v>
      </c>
      <c r="F34" s="14" t="s">
        <v>14</v>
      </c>
      <c r="G34">
        <v>157</v>
      </c>
      <c r="H34">
        <v>4348.2299999999996</v>
      </c>
      <c r="I34">
        <v>4343.49</v>
      </c>
      <c r="J34">
        <v>0</v>
      </c>
      <c r="K34" s="14" t="s">
        <v>15</v>
      </c>
      <c r="L34" s="14">
        <f>IF(OR(Table1[[#This Row],[Order_Status]]="Delivered",Table1[[#This Row],[Delivery_Date]]&lt;&gt;"Not Yet Delivered"),Table1[[#This Row],[Delivery_Date]]-Table1[[#This Row],[Order_Date]],"Not Applicable")</f>
        <v>23</v>
      </c>
      <c r="M34" s="14">
        <f>Table1[[#This Row],[Unit_Cost]]-Table1[[#This Row],[Negotiated_Cost]]</f>
        <v>4.7399999999997817</v>
      </c>
      <c r="N34" s="18">
        <f>Table1[[#This Row],[Defective_Units]]/Table1[[#This Row],[Quantity]]</f>
        <v>0</v>
      </c>
      <c r="O34" s="26">
        <f>(Table1[[#This Row],[Unit_Cost]]-Table1[[#This Row],[Negotiated_Cost]])/Table1[[#This Row],[Unit_Cost]]</f>
        <v>1.0900987298279488E-3</v>
      </c>
    </row>
    <row r="35" spans="1:15" x14ac:dyDescent="0.25">
      <c r="A35" t="s">
        <v>70</v>
      </c>
      <c r="B35" t="s">
        <v>17</v>
      </c>
      <c r="C35" s="14" t="s">
        <v>55</v>
      </c>
      <c r="D35" s="1">
        <v>45370</v>
      </c>
      <c r="E35" s="14" t="s">
        <v>2057</v>
      </c>
      <c r="F35" s="14" t="s">
        <v>22</v>
      </c>
      <c r="G35">
        <v>105</v>
      </c>
      <c r="H35">
        <v>13666.38</v>
      </c>
      <c r="I35">
        <v>13477.78</v>
      </c>
      <c r="J35">
        <v>2</v>
      </c>
      <c r="K35" s="14" t="s">
        <v>15</v>
      </c>
      <c r="L35" s="14" t="str">
        <f>IF(OR(Table1[[#This Row],[Order_Status]]="Delivered",Table1[[#This Row],[Delivery_Date]]&lt;&gt;"Not Yet Delivered"),Table1[[#This Row],[Delivery_Date]]-Table1[[#This Row],[Order_Date]],"Not Applicable")</f>
        <v>Not Applicable</v>
      </c>
      <c r="M35" s="14">
        <f>Table1[[#This Row],[Unit_Cost]]-Table1[[#This Row],[Negotiated_Cost]]</f>
        <v>188.59999999999854</v>
      </c>
      <c r="N35" s="18">
        <f>Table1[[#This Row],[Defective_Units]]/Table1[[#This Row],[Quantity]]</f>
        <v>1.9047619047619049E-2</v>
      </c>
      <c r="O35" s="26">
        <f>(Table1[[#This Row],[Unit_Cost]]-Table1[[#This Row],[Negotiated_Cost]])/Table1[[#This Row],[Unit_Cost]]</f>
        <v>1.3800289469486327E-2</v>
      </c>
    </row>
    <row r="36" spans="1:15" x14ac:dyDescent="0.25">
      <c r="A36" t="s">
        <v>71</v>
      </c>
      <c r="B36" t="s">
        <v>46</v>
      </c>
      <c r="C36" s="14" t="s">
        <v>55</v>
      </c>
      <c r="D36" s="1">
        <v>45276</v>
      </c>
      <c r="E36" s="14" t="s">
        <v>2057</v>
      </c>
      <c r="F36" s="14" t="s">
        <v>22</v>
      </c>
      <c r="G36">
        <v>51</v>
      </c>
      <c r="H36">
        <v>14698.68</v>
      </c>
      <c r="I36">
        <v>13938.78</v>
      </c>
      <c r="J36">
        <v>2</v>
      </c>
      <c r="K36" s="14" t="s">
        <v>15</v>
      </c>
      <c r="L36" s="14" t="str">
        <f>IF(OR(Table1[[#This Row],[Order_Status]]="Delivered",Table1[[#This Row],[Delivery_Date]]&lt;&gt;"Not Yet Delivered"),Table1[[#This Row],[Delivery_Date]]-Table1[[#This Row],[Order_Date]],"Not Applicable")</f>
        <v>Not Applicable</v>
      </c>
      <c r="M36" s="14">
        <f>Table1[[#This Row],[Unit_Cost]]-Table1[[#This Row],[Negotiated_Cost]]</f>
        <v>759.89999999999964</v>
      </c>
      <c r="N36" s="18">
        <f>Table1[[#This Row],[Defective_Units]]/Table1[[#This Row],[Quantity]]</f>
        <v>3.9215686274509803E-2</v>
      </c>
      <c r="O36" s="26">
        <f>(Table1[[#This Row],[Unit_Cost]]-Table1[[#This Row],[Negotiated_Cost]])/Table1[[#This Row],[Unit_Cost]]</f>
        <v>5.1698519867090079E-2</v>
      </c>
    </row>
    <row r="37" spans="1:15" x14ac:dyDescent="0.25">
      <c r="A37" t="s">
        <v>72</v>
      </c>
      <c r="B37" t="s">
        <v>20</v>
      </c>
      <c r="C37" s="14" t="s">
        <v>24</v>
      </c>
      <c r="D37" s="1">
        <v>45046</v>
      </c>
      <c r="E37" s="13">
        <v>45073</v>
      </c>
      <c r="F37" s="14" t="s">
        <v>14</v>
      </c>
      <c r="G37">
        <v>323</v>
      </c>
      <c r="H37">
        <v>11904.27</v>
      </c>
      <c r="I37">
        <v>11721.45</v>
      </c>
      <c r="J37">
        <v>9</v>
      </c>
      <c r="K37" s="14" t="s">
        <v>15</v>
      </c>
      <c r="L37" s="14">
        <f>IF(OR(Table1[[#This Row],[Order_Status]]="Delivered",Table1[[#This Row],[Delivery_Date]]&lt;&gt;"Not Yet Delivered"),Table1[[#This Row],[Delivery_Date]]-Table1[[#This Row],[Order_Date]],"Not Applicable")</f>
        <v>27</v>
      </c>
      <c r="M37" s="14">
        <f>Table1[[#This Row],[Unit_Cost]]-Table1[[#This Row],[Negotiated_Cost]]</f>
        <v>182.81999999999971</v>
      </c>
      <c r="N37" s="18">
        <f>Table1[[#This Row],[Defective_Units]]/Table1[[#This Row],[Quantity]]</f>
        <v>2.7863777089783281E-2</v>
      </c>
      <c r="O37" s="26">
        <f>(Table1[[#This Row],[Unit_Cost]]-Table1[[#This Row],[Negotiated_Cost]])/Table1[[#This Row],[Unit_Cost]]</f>
        <v>1.5357514572502111E-2</v>
      </c>
    </row>
    <row r="38" spans="1:15" x14ac:dyDescent="0.25">
      <c r="A38" t="s">
        <v>73</v>
      </c>
      <c r="B38" t="s">
        <v>20</v>
      </c>
      <c r="C38" s="14" t="s">
        <v>36</v>
      </c>
      <c r="D38" s="1">
        <v>44984</v>
      </c>
      <c r="E38" s="13">
        <v>45007</v>
      </c>
      <c r="F38" s="14" t="s">
        <v>14</v>
      </c>
      <c r="G38">
        <v>126</v>
      </c>
      <c r="H38">
        <v>506.23</v>
      </c>
      <c r="I38">
        <v>483.46</v>
      </c>
      <c r="J38">
        <v>1</v>
      </c>
      <c r="K38" s="14" t="s">
        <v>25</v>
      </c>
      <c r="L38" s="14">
        <f>IF(OR(Table1[[#This Row],[Order_Status]]="Delivered",Table1[[#This Row],[Delivery_Date]]&lt;&gt;"Not Yet Delivered"),Table1[[#This Row],[Delivery_Date]]-Table1[[#This Row],[Order_Date]],"Not Applicable")</f>
        <v>23</v>
      </c>
      <c r="M38" s="14">
        <f>Table1[[#This Row],[Unit_Cost]]-Table1[[#This Row],[Negotiated_Cost]]</f>
        <v>22.770000000000039</v>
      </c>
      <c r="N38" s="18">
        <f>Table1[[#This Row],[Defective_Units]]/Table1[[#This Row],[Quantity]]</f>
        <v>7.9365079365079361E-3</v>
      </c>
      <c r="O38" s="26">
        <f>(Table1[[#This Row],[Unit_Cost]]-Table1[[#This Row],[Negotiated_Cost]])/Table1[[#This Row],[Unit_Cost]]</f>
        <v>4.4979554747841967E-2</v>
      </c>
    </row>
    <row r="39" spans="1:15" x14ac:dyDescent="0.25">
      <c r="A39" t="s">
        <v>74</v>
      </c>
      <c r="B39" t="s">
        <v>35</v>
      </c>
      <c r="C39" s="14" t="s">
        <v>13</v>
      </c>
      <c r="D39" s="1">
        <v>45373</v>
      </c>
      <c r="E39" s="13">
        <v>45386</v>
      </c>
      <c r="F39" s="14" t="s">
        <v>14</v>
      </c>
      <c r="G39">
        <v>73</v>
      </c>
      <c r="H39">
        <v>4256.3100000000004</v>
      </c>
      <c r="I39">
        <v>4108.09</v>
      </c>
      <c r="J39">
        <v>0</v>
      </c>
      <c r="K39" s="14" t="s">
        <v>15</v>
      </c>
      <c r="L39" s="14">
        <f>IF(OR(Table1[[#This Row],[Order_Status]]="Delivered",Table1[[#This Row],[Delivery_Date]]&lt;&gt;"Not Yet Delivered"),Table1[[#This Row],[Delivery_Date]]-Table1[[#This Row],[Order_Date]],"Not Applicable")</f>
        <v>13</v>
      </c>
      <c r="M39" s="14">
        <f>Table1[[#This Row],[Unit_Cost]]-Table1[[#This Row],[Negotiated_Cost]]</f>
        <v>148.22000000000025</v>
      </c>
      <c r="N39" s="18">
        <f>Table1[[#This Row],[Defective_Units]]/Table1[[#This Row],[Quantity]]</f>
        <v>0</v>
      </c>
      <c r="O39" s="26">
        <f>(Table1[[#This Row],[Unit_Cost]]-Table1[[#This Row],[Negotiated_Cost]])/Table1[[#This Row],[Unit_Cost]]</f>
        <v>3.482359132675962E-2</v>
      </c>
    </row>
    <row r="40" spans="1:15" x14ac:dyDescent="0.25">
      <c r="A40" t="s">
        <v>75</v>
      </c>
      <c r="B40" t="s">
        <v>46</v>
      </c>
      <c r="C40" s="14" t="s">
        <v>21</v>
      </c>
      <c r="D40" s="1">
        <v>44973</v>
      </c>
      <c r="E40" s="13">
        <v>44986</v>
      </c>
      <c r="F40" s="14" t="s">
        <v>14</v>
      </c>
      <c r="G40">
        <v>98</v>
      </c>
      <c r="H40">
        <v>123.87</v>
      </c>
      <c r="I40">
        <v>121.67</v>
      </c>
      <c r="J40">
        <v>3</v>
      </c>
      <c r="K40" s="14" t="s">
        <v>15</v>
      </c>
      <c r="L40" s="14">
        <f>IF(OR(Table1[[#This Row],[Order_Status]]="Delivered",Table1[[#This Row],[Delivery_Date]]&lt;&gt;"Not Yet Delivered"),Table1[[#This Row],[Delivery_Date]]-Table1[[#This Row],[Order_Date]],"Not Applicable")</f>
        <v>13</v>
      </c>
      <c r="M40" s="14">
        <f>Table1[[#This Row],[Unit_Cost]]-Table1[[#This Row],[Negotiated_Cost]]</f>
        <v>2.2000000000000028</v>
      </c>
      <c r="N40" s="18">
        <f>Table1[[#This Row],[Defective_Units]]/Table1[[#This Row],[Quantity]]</f>
        <v>3.0612244897959183E-2</v>
      </c>
      <c r="O40" s="26">
        <f>(Table1[[#This Row],[Unit_Cost]]-Table1[[#This Row],[Negotiated_Cost]])/Table1[[#This Row],[Unit_Cost]]</f>
        <v>1.7760555421005915E-2</v>
      </c>
    </row>
    <row r="41" spans="1:15" x14ac:dyDescent="0.25">
      <c r="A41" t="s">
        <v>76</v>
      </c>
      <c r="B41" t="s">
        <v>40</v>
      </c>
      <c r="C41" s="14" t="s">
        <v>36</v>
      </c>
      <c r="D41" s="1">
        <v>45448</v>
      </c>
      <c r="E41" s="13">
        <v>45459</v>
      </c>
      <c r="F41" s="14" t="s">
        <v>14</v>
      </c>
      <c r="G41">
        <v>250</v>
      </c>
      <c r="H41">
        <v>603.63</v>
      </c>
      <c r="I41">
        <v>569.04999999999995</v>
      </c>
      <c r="J41">
        <v>4</v>
      </c>
      <c r="K41" s="14" t="s">
        <v>15</v>
      </c>
      <c r="L41" s="14">
        <f>IF(OR(Table1[[#This Row],[Order_Status]]="Delivered",Table1[[#This Row],[Delivery_Date]]&lt;&gt;"Not Yet Delivered"),Table1[[#This Row],[Delivery_Date]]-Table1[[#This Row],[Order_Date]],"Not Applicable")</f>
        <v>11</v>
      </c>
      <c r="M41" s="14">
        <f>Table1[[#This Row],[Unit_Cost]]-Table1[[#This Row],[Negotiated_Cost]]</f>
        <v>34.580000000000041</v>
      </c>
      <c r="N41" s="18">
        <f>Table1[[#This Row],[Defective_Units]]/Table1[[#This Row],[Quantity]]</f>
        <v>1.6E-2</v>
      </c>
      <c r="O41" s="26">
        <f>(Table1[[#This Row],[Unit_Cost]]-Table1[[#This Row],[Negotiated_Cost]])/Table1[[#This Row],[Unit_Cost]]</f>
        <v>5.7286748504878887E-2</v>
      </c>
    </row>
    <row r="42" spans="1:15" x14ac:dyDescent="0.25">
      <c r="A42" t="s">
        <v>77</v>
      </c>
      <c r="B42" t="s">
        <v>35</v>
      </c>
      <c r="C42" s="14" t="s">
        <v>30</v>
      </c>
      <c r="D42" s="1">
        <v>45262</v>
      </c>
      <c r="E42" s="13">
        <v>45290</v>
      </c>
      <c r="F42" s="14" t="s">
        <v>37</v>
      </c>
      <c r="G42">
        <v>251</v>
      </c>
      <c r="H42">
        <v>947.98</v>
      </c>
      <c r="I42">
        <v>940.43</v>
      </c>
      <c r="J42">
        <v>4</v>
      </c>
      <c r="K42" s="14" t="s">
        <v>15</v>
      </c>
      <c r="L42" s="14">
        <f>IF(OR(Table1[[#This Row],[Order_Status]]="Delivered",Table1[[#This Row],[Delivery_Date]]&lt;&gt;"Not Yet Delivered"),Table1[[#This Row],[Delivery_Date]]-Table1[[#This Row],[Order_Date]],"Not Applicable")</f>
        <v>28</v>
      </c>
      <c r="M42" s="14">
        <f>Table1[[#This Row],[Unit_Cost]]-Table1[[#This Row],[Negotiated_Cost]]</f>
        <v>7.5500000000000682</v>
      </c>
      <c r="N42" s="18">
        <f>Table1[[#This Row],[Defective_Units]]/Table1[[#This Row],[Quantity]]</f>
        <v>1.5936254980079681E-2</v>
      </c>
      <c r="O42" s="26">
        <f>(Table1[[#This Row],[Unit_Cost]]-Table1[[#This Row],[Negotiated_Cost]])/Table1[[#This Row],[Unit_Cost]]</f>
        <v>7.9643030443680967E-3</v>
      </c>
    </row>
    <row r="43" spans="1:15" x14ac:dyDescent="0.25">
      <c r="A43" t="s">
        <v>78</v>
      </c>
      <c r="B43" t="s">
        <v>17</v>
      </c>
      <c r="C43" s="14" t="s">
        <v>24</v>
      </c>
      <c r="D43" s="1">
        <v>45539</v>
      </c>
      <c r="E43" s="13">
        <v>45550</v>
      </c>
      <c r="F43" s="14" t="s">
        <v>14</v>
      </c>
      <c r="G43">
        <v>272</v>
      </c>
      <c r="H43">
        <v>11589.4</v>
      </c>
      <c r="I43">
        <v>11562.41</v>
      </c>
      <c r="J43">
        <v>1</v>
      </c>
      <c r="K43" s="14" t="s">
        <v>15</v>
      </c>
      <c r="L43" s="14">
        <f>IF(OR(Table1[[#This Row],[Order_Status]]="Delivered",Table1[[#This Row],[Delivery_Date]]&lt;&gt;"Not Yet Delivered"),Table1[[#This Row],[Delivery_Date]]-Table1[[#This Row],[Order_Date]],"Not Applicable")</f>
        <v>11</v>
      </c>
      <c r="M43" s="14">
        <f>Table1[[#This Row],[Unit_Cost]]-Table1[[#This Row],[Negotiated_Cost]]</f>
        <v>26.989999999999782</v>
      </c>
      <c r="N43" s="18">
        <f>Table1[[#This Row],[Defective_Units]]/Table1[[#This Row],[Quantity]]</f>
        <v>3.6764705882352941E-3</v>
      </c>
      <c r="O43" s="26">
        <f>(Table1[[#This Row],[Unit_Cost]]-Table1[[#This Row],[Negotiated_Cost]])/Table1[[#This Row],[Unit_Cost]]</f>
        <v>2.3288522270350307E-3</v>
      </c>
    </row>
    <row r="44" spans="1:15" x14ac:dyDescent="0.25">
      <c r="A44" t="s">
        <v>79</v>
      </c>
      <c r="B44" t="s">
        <v>27</v>
      </c>
      <c r="C44" s="14" t="s">
        <v>24</v>
      </c>
      <c r="D44" s="1">
        <v>44961</v>
      </c>
      <c r="E44" s="13">
        <v>44988</v>
      </c>
      <c r="F44" s="14" t="s">
        <v>14</v>
      </c>
      <c r="G44">
        <v>219</v>
      </c>
      <c r="H44">
        <v>12093.92</v>
      </c>
      <c r="I44">
        <v>11599.74</v>
      </c>
      <c r="J44">
        <v>1</v>
      </c>
      <c r="K44" s="14" t="s">
        <v>15</v>
      </c>
      <c r="L44" s="14">
        <f>IF(OR(Table1[[#This Row],[Order_Status]]="Delivered",Table1[[#This Row],[Delivery_Date]]&lt;&gt;"Not Yet Delivered"),Table1[[#This Row],[Delivery_Date]]-Table1[[#This Row],[Order_Date]],"Not Applicable")</f>
        <v>27</v>
      </c>
      <c r="M44" s="14">
        <f>Table1[[#This Row],[Unit_Cost]]-Table1[[#This Row],[Negotiated_Cost]]</f>
        <v>494.18000000000029</v>
      </c>
      <c r="N44" s="18">
        <f>Table1[[#This Row],[Defective_Units]]/Table1[[#This Row],[Quantity]]</f>
        <v>4.5662100456621002E-3</v>
      </c>
      <c r="O44" s="26">
        <f>(Table1[[#This Row],[Unit_Cost]]-Table1[[#This Row],[Negotiated_Cost]])/Table1[[#This Row],[Unit_Cost]]</f>
        <v>4.0861854551708654E-2</v>
      </c>
    </row>
    <row r="45" spans="1:15" x14ac:dyDescent="0.25">
      <c r="A45" t="s">
        <v>80</v>
      </c>
      <c r="B45" t="s">
        <v>46</v>
      </c>
      <c r="C45" s="14" t="s">
        <v>44</v>
      </c>
      <c r="D45" s="1">
        <v>45552</v>
      </c>
      <c r="E45" s="13">
        <v>45578</v>
      </c>
      <c r="F45" s="14" t="s">
        <v>37</v>
      </c>
      <c r="G45">
        <v>497</v>
      </c>
      <c r="H45">
        <v>8855.93</v>
      </c>
      <c r="I45">
        <v>8345.4</v>
      </c>
      <c r="J45">
        <v>2</v>
      </c>
      <c r="K45" s="14" t="s">
        <v>15</v>
      </c>
      <c r="L45" s="14">
        <f>IF(OR(Table1[[#This Row],[Order_Status]]="Delivered",Table1[[#This Row],[Delivery_Date]]&lt;&gt;"Not Yet Delivered"),Table1[[#This Row],[Delivery_Date]]-Table1[[#This Row],[Order_Date]],"Not Applicable")</f>
        <v>26</v>
      </c>
      <c r="M45" s="14">
        <f>Table1[[#This Row],[Unit_Cost]]-Table1[[#This Row],[Negotiated_Cost]]</f>
        <v>510.53000000000065</v>
      </c>
      <c r="N45" s="18">
        <f>Table1[[#This Row],[Defective_Units]]/Table1[[#This Row],[Quantity]]</f>
        <v>4.0241448692152921E-3</v>
      </c>
      <c r="O45" s="26">
        <f>(Table1[[#This Row],[Unit_Cost]]-Table1[[#This Row],[Negotiated_Cost]])/Table1[[#This Row],[Unit_Cost]]</f>
        <v>5.7648377979500814E-2</v>
      </c>
    </row>
    <row r="46" spans="1:15" x14ac:dyDescent="0.25">
      <c r="A46" t="s">
        <v>81</v>
      </c>
      <c r="B46" t="s">
        <v>20</v>
      </c>
      <c r="C46" s="14" t="s">
        <v>24</v>
      </c>
      <c r="D46" s="1">
        <v>45025</v>
      </c>
      <c r="E46" s="14" t="s">
        <v>2057</v>
      </c>
      <c r="F46" s="14" t="s">
        <v>33</v>
      </c>
      <c r="G46">
        <v>500</v>
      </c>
      <c r="H46">
        <v>11463.87</v>
      </c>
      <c r="I46">
        <v>10948.01</v>
      </c>
      <c r="J46">
        <v>2</v>
      </c>
      <c r="K46" s="14" t="s">
        <v>15</v>
      </c>
      <c r="L46" s="14" t="str">
        <f>IF(OR(Table1[[#This Row],[Order_Status]]="Delivered",Table1[[#This Row],[Delivery_Date]]&lt;&gt;"Not Yet Delivered"),Table1[[#This Row],[Delivery_Date]]-Table1[[#This Row],[Order_Date]],"Not Applicable")</f>
        <v>Not Applicable</v>
      </c>
      <c r="M46" s="14">
        <f>Table1[[#This Row],[Unit_Cost]]-Table1[[#This Row],[Negotiated_Cost]]</f>
        <v>515.86000000000058</v>
      </c>
      <c r="N46" s="18">
        <f>Table1[[#This Row],[Defective_Units]]/Table1[[#This Row],[Quantity]]</f>
        <v>4.0000000000000001E-3</v>
      </c>
      <c r="O46" s="26">
        <f>(Table1[[#This Row],[Unit_Cost]]-Table1[[#This Row],[Negotiated_Cost]])/Table1[[#This Row],[Unit_Cost]]</f>
        <v>4.4998765687329023E-2</v>
      </c>
    </row>
    <row r="47" spans="1:15" x14ac:dyDescent="0.25">
      <c r="A47" t="s">
        <v>82</v>
      </c>
      <c r="B47" t="s">
        <v>20</v>
      </c>
      <c r="C47" s="14" t="s">
        <v>21</v>
      </c>
      <c r="D47" s="1">
        <v>45621</v>
      </c>
      <c r="E47" s="13">
        <v>45639</v>
      </c>
      <c r="F47" s="14" t="s">
        <v>14</v>
      </c>
      <c r="G47">
        <v>17</v>
      </c>
      <c r="H47">
        <v>118.52</v>
      </c>
      <c r="I47">
        <v>113.1</v>
      </c>
      <c r="J47">
        <v>0</v>
      </c>
      <c r="K47" s="14" t="s">
        <v>15</v>
      </c>
      <c r="L47" s="14">
        <f>IF(OR(Table1[[#This Row],[Order_Status]]="Delivered",Table1[[#This Row],[Delivery_Date]]&lt;&gt;"Not Yet Delivered"),Table1[[#This Row],[Delivery_Date]]-Table1[[#This Row],[Order_Date]],"Not Applicable")</f>
        <v>18</v>
      </c>
      <c r="M47" s="14">
        <f>Table1[[#This Row],[Unit_Cost]]-Table1[[#This Row],[Negotiated_Cost]]</f>
        <v>5.4200000000000017</v>
      </c>
      <c r="N47" s="18">
        <f>Table1[[#This Row],[Defective_Units]]/Table1[[#This Row],[Quantity]]</f>
        <v>0</v>
      </c>
      <c r="O47" s="26">
        <f>(Table1[[#This Row],[Unit_Cost]]-Table1[[#This Row],[Negotiated_Cost]])/Table1[[#This Row],[Unit_Cost]]</f>
        <v>4.5730678366520436E-2</v>
      </c>
    </row>
    <row r="48" spans="1:15" x14ac:dyDescent="0.25">
      <c r="A48" t="s">
        <v>83</v>
      </c>
      <c r="B48" t="s">
        <v>20</v>
      </c>
      <c r="C48" s="14" t="s">
        <v>24</v>
      </c>
      <c r="D48" s="1">
        <v>45538</v>
      </c>
      <c r="E48" s="13">
        <v>45548</v>
      </c>
      <c r="F48" s="14" t="s">
        <v>14</v>
      </c>
      <c r="G48">
        <v>400</v>
      </c>
      <c r="H48">
        <v>12660.3</v>
      </c>
      <c r="I48">
        <v>12544.19</v>
      </c>
      <c r="J48">
        <v>12</v>
      </c>
      <c r="K48" s="14" t="s">
        <v>15</v>
      </c>
      <c r="L48" s="14">
        <f>IF(OR(Table1[[#This Row],[Order_Status]]="Delivered",Table1[[#This Row],[Delivery_Date]]&lt;&gt;"Not Yet Delivered"),Table1[[#This Row],[Delivery_Date]]-Table1[[#This Row],[Order_Date]],"Not Applicable")</f>
        <v>10</v>
      </c>
      <c r="M48" s="14">
        <f>Table1[[#This Row],[Unit_Cost]]-Table1[[#This Row],[Negotiated_Cost]]</f>
        <v>116.10999999999876</v>
      </c>
      <c r="N48" s="18">
        <f>Table1[[#This Row],[Defective_Units]]/Table1[[#This Row],[Quantity]]</f>
        <v>0.03</v>
      </c>
      <c r="O48" s="26">
        <f>(Table1[[#This Row],[Unit_Cost]]-Table1[[#This Row],[Negotiated_Cost]])/Table1[[#This Row],[Unit_Cost]]</f>
        <v>9.1711886764135747E-3</v>
      </c>
    </row>
    <row r="49" spans="1:15" x14ac:dyDescent="0.25">
      <c r="A49" t="s">
        <v>84</v>
      </c>
      <c r="B49" t="s">
        <v>46</v>
      </c>
      <c r="C49" s="14" t="s">
        <v>36</v>
      </c>
      <c r="D49" s="1">
        <v>45025</v>
      </c>
      <c r="E49" s="14" t="s">
        <v>2057</v>
      </c>
      <c r="F49" s="14" t="s">
        <v>22</v>
      </c>
      <c r="G49">
        <v>400</v>
      </c>
      <c r="H49">
        <v>533.29999999999995</v>
      </c>
      <c r="I49">
        <v>522.82000000000005</v>
      </c>
      <c r="J49">
        <v>2</v>
      </c>
      <c r="K49" s="14" t="s">
        <v>15</v>
      </c>
      <c r="L49" s="14" t="str">
        <f>IF(OR(Table1[[#This Row],[Order_Status]]="Delivered",Table1[[#This Row],[Delivery_Date]]&lt;&gt;"Not Yet Delivered"),Table1[[#This Row],[Delivery_Date]]-Table1[[#This Row],[Order_Date]],"Not Applicable")</f>
        <v>Not Applicable</v>
      </c>
      <c r="M49" s="14">
        <f>Table1[[#This Row],[Unit_Cost]]-Table1[[#This Row],[Negotiated_Cost]]</f>
        <v>10.479999999999905</v>
      </c>
      <c r="N49" s="18">
        <f>Table1[[#This Row],[Defective_Units]]/Table1[[#This Row],[Quantity]]</f>
        <v>5.0000000000000001E-3</v>
      </c>
      <c r="O49" s="26">
        <f>(Table1[[#This Row],[Unit_Cost]]-Table1[[#This Row],[Negotiated_Cost]])/Table1[[#This Row],[Unit_Cost]]</f>
        <v>1.9651228201762433E-2</v>
      </c>
    </row>
    <row r="50" spans="1:15" x14ac:dyDescent="0.25">
      <c r="A50" t="s">
        <v>85</v>
      </c>
      <c r="B50" t="s">
        <v>46</v>
      </c>
      <c r="C50" s="14" t="s">
        <v>13</v>
      </c>
      <c r="D50" s="1">
        <v>45619</v>
      </c>
      <c r="E50" s="13">
        <v>45646</v>
      </c>
      <c r="F50" s="14" t="s">
        <v>14</v>
      </c>
      <c r="G50">
        <v>46</v>
      </c>
      <c r="H50">
        <v>4394.63</v>
      </c>
      <c r="I50">
        <v>4393.5600000000004</v>
      </c>
      <c r="J50">
        <v>0</v>
      </c>
      <c r="K50" s="14" t="s">
        <v>15</v>
      </c>
      <c r="L50" s="14">
        <f>IF(OR(Table1[[#This Row],[Order_Status]]="Delivered",Table1[[#This Row],[Delivery_Date]]&lt;&gt;"Not Yet Delivered"),Table1[[#This Row],[Delivery_Date]]-Table1[[#This Row],[Order_Date]],"Not Applicable")</f>
        <v>27</v>
      </c>
      <c r="M50" s="14">
        <f>Table1[[#This Row],[Unit_Cost]]-Table1[[#This Row],[Negotiated_Cost]]</f>
        <v>1.069999999999709</v>
      </c>
      <c r="N50" s="18">
        <f>Table1[[#This Row],[Defective_Units]]/Table1[[#This Row],[Quantity]]</f>
        <v>0</v>
      </c>
      <c r="O50" s="26">
        <f>(Table1[[#This Row],[Unit_Cost]]-Table1[[#This Row],[Negotiated_Cost]])/Table1[[#This Row],[Unit_Cost]]</f>
        <v>2.4347897320131819E-4</v>
      </c>
    </row>
    <row r="51" spans="1:15" x14ac:dyDescent="0.25">
      <c r="A51" t="s">
        <v>86</v>
      </c>
      <c r="B51" t="s">
        <v>20</v>
      </c>
      <c r="C51" s="14" t="s">
        <v>21</v>
      </c>
      <c r="D51" s="1">
        <v>45000</v>
      </c>
      <c r="E51" s="13">
        <v>45008</v>
      </c>
      <c r="F51" s="14" t="s">
        <v>14</v>
      </c>
      <c r="G51">
        <v>446</v>
      </c>
      <c r="H51">
        <v>116.83</v>
      </c>
      <c r="I51">
        <v>110.53</v>
      </c>
      <c r="J51">
        <v>2</v>
      </c>
      <c r="K51" s="14" t="s">
        <v>15</v>
      </c>
      <c r="L51" s="14">
        <f>IF(OR(Table1[[#This Row],[Order_Status]]="Delivered",Table1[[#This Row],[Delivery_Date]]&lt;&gt;"Not Yet Delivered"),Table1[[#This Row],[Delivery_Date]]-Table1[[#This Row],[Order_Date]],"Not Applicable")</f>
        <v>8</v>
      </c>
      <c r="M51" s="14">
        <f>Table1[[#This Row],[Unit_Cost]]-Table1[[#This Row],[Negotiated_Cost]]</f>
        <v>6.2999999999999972</v>
      </c>
      <c r="N51" s="18">
        <f>Table1[[#This Row],[Defective_Units]]/Table1[[#This Row],[Quantity]]</f>
        <v>4.4843049327354259E-3</v>
      </c>
      <c r="O51" s="26">
        <f>(Table1[[#This Row],[Unit_Cost]]-Table1[[#This Row],[Negotiated_Cost]])/Table1[[#This Row],[Unit_Cost]]</f>
        <v>5.3924505692031131E-2</v>
      </c>
    </row>
    <row r="52" spans="1:15" x14ac:dyDescent="0.25">
      <c r="A52" t="s">
        <v>87</v>
      </c>
      <c r="B52" t="s">
        <v>46</v>
      </c>
      <c r="C52" s="14" t="s">
        <v>28</v>
      </c>
      <c r="D52" s="1">
        <v>44955</v>
      </c>
      <c r="E52" s="13">
        <v>44969</v>
      </c>
      <c r="F52" s="14" t="s">
        <v>14</v>
      </c>
      <c r="G52">
        <v>169</v>
      </c>
      <c r="H52">
        <v>45998.76</v>
      </c>
      <c r="I52">
        <v>44843.19</v>
      </c>
      <c r="J52">
        <v>6</v>
      </c>
      <c r="K52" s="14" t="s">
        <v>25</v>
      </c>
      <c r="L52" s="14">
        <f>IF(OR(Table1[[#This Row],[Order_Status]]="Delivered",Table1[[#This Row],[Delivery_Date]]&lt;&gt;"Not Yet Delivered"),Table1[[#This Row],[Delivery_Date]]-Table1[[#This Row],[Order_Date]],"Not Applicable")</f>
        <v>14</v>
      </c>
      <c r="M52" s="14">
        <f>Table1[[#This Row],[Unit_Cost]]-Table1[[#This Row],[Negotiated_Cost]]</f>
        <v>1155.5699999999997</v>
      </c>
      <c r="N52" s="18">
        <f>Table1[[#This Row],[Defective_Units]]/Table1[[#This Row],[Quantity]]</f>
        <v>3.5502958579881658E-2</v>
      </c>
      <c r="O52" s="26">
        <f>(Table1[[#This Row],[Unit_Cost]]-Table1[[#This Row],[Negotiated_Cost]])/Table1[[#This Row],[Unit_Cost]]</f>
        <v>2.5121764151903217E-2</v>
      </c>
    </row>
    <row r="53" spans="1:15" x14ac:dyDescent="0.25">
      <c r="A53" t="s">
        <v>88</v>
      </c>
      <c r="B53" t="s">
        <v>12</v>
      </c>
      <c r="C53" s="14" t="s">
        <v>30</v>
      </c>
      <c r="D53" s="1">
        <v>44996</v>
      </c>
      <c r="E53" s="13">
        <v>45019</v>
      </c>
      <c r="F53" s="14" t="s">
        <v>14</v>
      </c>
      <c r="G53">
        <v>256</v>
      </c>
      <c r="H53">
        <v>897.77</v>
      </c>
      <c r="I53">
        <v>885.77</v>
      </c>
      <c r="J53">
        <v>1</v>
      </c>
      <c r="K53" s="14" t="s">
        <v>15</v>
      </c>
      <c r="L53" s="14">
        <f>IF(OR(Table1[[#This Row],[Order_Status]]="Delivered",Table1[[#This Row],[Delivery_Date]]&lt;&gt;"Not Yet Delivered"),Table1[[#This Row],[Delivery_Date]]-Table1[[#This Row],[Order_Date]],"Not Applicable")</f>
        <v>23</v>
      </c>
      <c r="M53" s="14">
        <f>Table1[[#This Row],[Unit_Cost]]-Table1[[#This Row],[Negotiated_Cost]]</f>
        <v>12</v>
      </c>
      <c r="N53" s="18">
        <f>Table1[[#This Row],[Defective_Units]]/Table1[[#This Row],[Quantity]]</f>
        <v>3.90625E-3</v>
      </c>
      <c r="O53" s="26">
        <f>(Table1[[#This Row],[Unit_Cost]]-Table1[[#This Row],[Negotiated_Cost]])/Table1[[#This Row],[Unit_Cost]]</f>
        <v>1.3366452432137407E-2</v>
      </c>
    </row>
    <row r="54" spans="1:15" x14ac:dyDescent="0.25">
      <c r="A54" t="s">
        <v>89</v>
      </c>
      <c r="B54" t="s">
        <v>12</v>
      </c>
      <c r="C54" s="14" t="s">
        <v>28</v>
      </c>
      <c r="D54" s="1">
        <v>45564</v>
      </c>
      <c r="E54" s="13">
        <v>45574</v>
      </c>
      <c r="F54" s="14" t="s">
        <v>37</v>
      </c>
      <c r="G54">
        <v>62</v>
      </c>
      <c r="H54">
        <v>51857.41</v>
      </c>
      <c r="I54">
        <v>51133.05</v>
      </c>
      <c r="J54">
        <v>0</v>
      </c>
      <c r="K54" s="14" t="s">
        <v>15</v>
      </c>
      <c r="L54" s="14">
        <f>IF(OR(Table1[[#This Row],[Order_Status]]="Delivered",Table1[[#This Row],[Delivery_Date]]&lt;&gt;"Not Yet Delivered"),Table1[[#This Row],[Delivery_Date]]-Table1[[#This Row],[Order_Date]],"Not Applicable")</f>
        <v>10</v>
      </c>
      <c r="M54" s="14">
        <f>Table1[[#This Row],[Unit_Cost]]-Table1[[#This Row],[Negotiated_Cost]]</f>
        <v>724.36000000000058</v>
      </c>
      <c r="N54" s="18">
        <f>Table1[[#This Row],[Defective_Units]]/Table1[[#This Row],[Quantity]]</f>
        <v>0</v>
      </c>
      <c r="O54" s="26">
        <f>(Table1[[#This Row],[Unit_Cost]]-Table1[[#This Row],[Negotiated_Cost]])/Table1[[#This Row],[Unit_Cost]]</f>
        <v>1.3968302697724404E-2</v>
      </c>
    </row>
    <row r="55" spans="1:15" x14ac:dyDescent="0.25">
      <c r="A55" t="s">
        <v>90</v>
      </c>
      <c r="B55" t="s">
        <v>20</v>
      </c>
      <c r="C55" s="14" t="s">
        <v>21</v>
      </c>
      <c r="D55" s="1">
        <v>45335</v>
      </c>
      <c r="E55" s="13">
        <v>45362</v>
      </c>
      <c r="F55" s="14" t="s">
        <v>14</v>
      </c>
      <c r="G55">
        <v>316</v>
      </c>
      <c r="H55">
        <v>115.59</v>
      </c>
      <c r="I55">
        <v>111.68</v>
      </c>
      <c r="J55">
        <v>2</v>
      </c>
      <c r="K55" s="14" t="s">
        <v>15</v>
      </c>
      <c r="L55" s="14">
        <f>IF(OR(Table1[[#This Row],[Order_Status]]="Delivered",Table1[[#This Row],[Delivery_Date]]&lt;&gt;"Not Yet Delivered"),Table1[[#This Row],[Delivery_Date]]-Table1[[#This Row],[Order_Date]],"Not Applicable")</f>
        <v>27</v>
      </c>
      <c r="M55" s="14">
        <f>Table1[[#This Row],[Unit_Cost]]-Table1[[#This Row],[Negotiated_Cost]]</f>
        <v>3.9099999999999966</v>
      </c>
      <c r="N55" s="18">
        <f>Table1[[#This Row],[Defective_Units]]/Table1[[#This Row],[Quantity]]</f>
        <v>6.3291139240506328E-3</v>
      </c>
      <c r="O55" s="26">
        <f>(Table1[[#This Row],[Unit_Cost]]-Table1[[#This Row],[Negotiated_Cost]])/Table1[[#This Row],[Unit_Cost]]</f>
        <v>3.3826455575741814E-2</v>
      </c>
    </row>
    <row r="56" spans="1:15" x14ac:dyDescent="0.25">
      <c r="A56" t="s">
        <v>91</v>
      </c>
      <c r="B56" t="s">
        <v>46</v>
      </c>
      <c r="C56" s="14" t="s">
        <v>55</v>
      </c>
      <c r="D56" s="1">
        <v>45129</v>
      </c>
      <c r="E56" s="13">
        <v>45150</v>
      </c>
      <c r="F56" s="14" t="s">
        <v>14</v>
      </c>
      <c r="G56">
        <v>256</v>
      </c>
      <c r="H56">
        <v>13620.82</v>
      </c>
      <c r="I56">
        <v>13256.21</v>
      </c>
      <c r="J56">
        <v>0</v>
      </c>
      <c r="K56" s="14" t="s">
        <v>15</v>
      </c>
      <c r="L56" s="14">
        <f>IF(OR(Table1[[#This Row],[Order_Status]]="Delivered",Table1[[#This Row],[Delivery_Date]]&lt;&gt;"Not Yet Delivered"),Table1[[#This Row],[Delivery_Date]]-Table1[[#This Row],[Order_Date]],"Not Applicable")</f>
        <v>21</v>
      </c>
      <c r="M56" s="14">
        <f>Table1[[#This Row],[Unit_Cost]]-Table1[[#This Row],[Negotiated_Cost]]</f>
        <v>364.61000000000058</v>
      </c>
      <c r="N56" s="18">
        <f>Table1[[#This Row],[Defective_Units]]/Table1[[#This Row],[Quantity]]</f>
        <v>0</v>
      </c>
      <c r="O56" s="26">
        <f>(Table1[[#This Row],[Unit_Cost]]-Table1[[#This Row],[Negotiated_Cost]])/Table1[[#This Row],[Unit_Cost]]</f>
        <v>2.676857927789961E-2</v>
      </c>
    </row>
    <row r="57" spans="1:15" x14ac:dyDescent="0.25">
      <c r="A57" t="s">
        <v>92</v>
      </c>
      <c r="B57" t="s">
        <v>46</v>
      </c>
      <c r="C57" s="14" t="s">
        <v>50</v>
      </c>
      <c r="D57" s="1">
        <v>45492</v>
      </c>
      <c r="E57" s="13">
        <v>45504</v>
      </c>
      <c r="F57" s="14" t="s">
        <v>14</v>
      </c>
      <c r="G57">
        <v>378</v>
      </c>
      <c r="H57">
        <v>50764.65</v>
      </c>
      <c r="I57">
        <v>49963.89</v>
      </c>
      <c r="J57">
        <v>11</v>
      </c>
      <c r="K57" s="14" t="s">
        <v>15</v>
      </c>
      <c r="L57" s="14">
        <f>IF(OR(Table1[[#This Row],[Order_Status]]="Delivered",Table1[[#This Row],[Delivery_Date]]&lt;&gt;"Not Yet Delivered"),Table1[[#This Row],[Delivery_Date]]-Table1[[#This Row],[Order_Date]],"Not Applicable")</f>
        <v>12</v>
      </c>
      <c r="M57" s="14">
        <f>Table1[[#This Row],[Unit_Cost]]-Table1[[#This Row],[Negotiated_Cost]]</f>
        <v>800.76000000000204</v>
      </c>
      <c r="N57" s="18">
        <f>Table1[[#This Row],[Defective_Units]]/Table1[[#This Row],[Quantity]]</f>
        <v>2.9100529100529099E-2</v>
      </c>
      <c r="O57" s="26">
        <f>(Table1[[#This Row],[Unit_Cost]]-Table1[[#This Row],[Negotiated_Cost]])/Table1[[#This Row],[Unit_Cost]]</f>
        <v>1.5773968696721086E-2</v>
      </c>
    </row>
    <row r="58" spans="1:15" x14ac:dyDescent="0.25">
      <c r="A58" t="s">
        <v>93</v>
      </c>
      <c r="B58" t="s">
        <v>46</v>
      </c>
      <c r="C58" s="14" t="s">
        <v>21</v>
      </c>
      <c r="D58" s="1">
        <v>44934</v>
      </c>
      <c r="E58" s="13">
        <v>44961</v>
      </c>
      <c r="F58" s="14" t="s">
        <v>14</v>
      </c>
      <c r="G58">
        <v>126</v>
      </c>
      <c r="H58">
        <v>114.35</v>
      </c>
      <c r="I58">
        <v>110.67</v>
      </c>
      <c r="J58">
        <v>0</v>
      </c>
      <c r="K58" s="14" t="s">
        <v>15</v>
      </c>
      <c r="L58" s="14">
        <f>IF(OR(Table1[[#This Row],[Order_Status]]="Delivered",Table1[[#This Row],[Delivery_Date]]&lt;&gt;"Not Yet Delivered"),Table1[[#This Row],[Delivery_Date]]-Table1[[#This Row],[Order_Date]],"Not Applicable")</f>
        <v>27</v>
      </c>
      <c r="M58" s="14">
        <f>Table1[[#This Row],[Unit_Cost]]-Table1[[#This Row],[Negotiated_Cost]]</f>
        <v>3.6799999999999926</v>
      </c>
      <c r="N58" s="18">
        <f>Table1[[#This Row],[Defective_Units]]/Table1[[#This Row],[Quantity]]</f>
        <v>0</v>
      </c>
      <c r="O58" s="26">
        <f>(Table1[[#This Row],[Unit_Cost]]-Table1[[#This Row],[Negotiated_Cost]])/Table1[[#This Row],[Unit_Cost]]</f>
        <v>3.2181897682553501E-2</v>
      </c>
    </row>
    <row r="59" spans="1:15" x14ac:dyDescent="0.25">
      <c r="A59" t="s">
        <v>94</v>
      </c>
      <c r="B59" t="s">
        <v>32</v>
      </c>
      <c r="C59" s="14" t="s">
        <v>42</v>
      </c>
      <c r="D59" s="1">
        <v>45071</v>
      </c>
      <c r="E59" s="13">
        <v>45100</v>
      </c>
      <c r="F59" s="14" t="s">
        <v>14</v>
      </c>
      <c r="G59">
        <v>205</v>
      </c>
      <c r="H59">
        <v>10787.66</v>
      </c>
      <c r="I59">
        <v>10667.14</v>
      </c>
      <c r="J59">
        <v>0</v>
      </c>
      <c r="K59" s="14" t="s">
        <v>25</v>
      </c>
      <c r="L59" s="14">
        <f>IF(OR(Table1[[#This Row],[Order_Status]]="Delivered",Table1[[#This Row],[Delivery_Date]]&lt;&gt;"Not Yet Delivered"),Table1[[#This Row],[Delivery_Date]]-Table1[[#This Row],[Order_Date]],"Not Applicable")</f>
        <v>29</v>
      </c>
      <c r="M59" s="14">
        <f>Table1[[#This Row],[Unit_Cost]]-Table1[[#This Row],[Negotiated_Cost]]</f>
        <v>120.52000000000044</v>
      </c>
      <c r="N59" s="18">
        <f>Table1[[#This Row],[Defective_Units]]/Table1[[#This Row],[Quantity]]</f>
        <v>0</v>
      </c>
      <c r="O59" s="26">
        <f>(Table1[[#This Row],[Unit_Cost]]-Table1[[#This Row],[Negotiated_Cost]])/Table1[[#This Row],[Unit_Cost]]</f>
        <v>1.1172024331504741E-2</v>
      </c>
    </row>
    <row r="60" spans="1:15" x14ac:dyDescent="0.25">
      <c r="A60" t="s">
        <v>95</v>
      </c>
      <c r="B60" t="s">
        <v>35</v>
      </c>
      <c r="C60" s="14" t="s">
        <v>24</v>
      </c>
      <c r="D60" s="1">
        <v>45635</v>
      </c>
      <c r="E60" s="13">
        <v>45654</v>
      </c>
      <c r="F60" s="14" t="s">
        <v>14</v>
      </c>
      <c r="G60">
        <v>307</v>
      </c>
      <c r="H60">
        <v>13128.76</v>
      </c>
      <c r="I60">
        <v>12406.22</v>
      </c>
      <c r="J60">
        <v>1</v>
      </c>
      <c r="K60" s="14" t="s">
        <v>15</v>
      </c>
      <c r="L60" s="14">
        <f>IF(OR(Table1[[#This Row],[Order_Status]]="Delivered",Table1[[#This Row],[Delivery_Date]]&lt;&gt;"Not Yet Delivered"),Table1[[#This Row],[Delivery_Date]]-Table1[[#This Row],[Order_Date]],"Not Applicable")</f>
        <v>19</v>
      </c>
      <c r="M60" s="14">
        <f>Table1[[#This Row],[Unit_Cost]]-Table1[[#This Row],[Negotiated_Cost]]</f>
        <v>722.54000000000087</v>
      </c>
      <c r="N60" s="18">
        <f>Table1[[#This Row],[Defective_Units]]/Table1[[#This Row],[Quantity]]</f>
        <v>3.2573289902280132E-3</v>
      </c>
      <c r="O60" s="26">
        <f>(Table1[[#This Row],[Unit_Cost]]-Table1[[#This Row],[Negotiated_Cost]])/Table1[[#This Row],[Unit_Cost]]</f>
        <v>5.5034900478034547E-2</v>
      </c>
    </row>
    <row r="61" spans="1:15" x14ac:dyDescent="0.25">
      <c r="A61" t="s">
        <v>96</v>
      </c>
      <c r="B61" t="s">
        <v>35</v>
      </c>
      <c r="C61" s="14" t="s">
        <v>28</v>
      </c>
      <c r="D61" s="1">
        <v>45165</v>
      </c>
      <c r="E61" s="14" t="s">
        <v>2057</v>
      </c>
      <c r="F61" s="14" t="s">
        <v>22</v>
      </c>
      <c r="G61">
        <v>181</v>
      </c>
      <c r="H61">
        <v>47290.02</v>
      </c>
      <c r="I61">
        <v>46579.47</v>
      </c>
      <c r="J61">
        <v>2</v>
      </c>
      <c r="K61" s="14" t="s">
        <v>15</v>
      </c>
      <c r="L61" s="14" t="str">
        <f>IF(OR(Table1[[#This Row],[Order_Status]]="Delivered",Table1[[#This Row],[Delivery_Date]]&lt;&gt;"Not Yet Delivered"),Table1[[#This Row],[Delivery_Date]]-Table1[[#This Row],[Order_Date]],"Not Applicable")</f>
        <v>Not Applicable</v>
      </c>
      <c r="M61" s="14">
        <f>Table1[[#This Row],[Unit_Cost]]-Table1[[#This Row],[Negotiated_Cost]]</f>
        <v>710.54999999999563</v>
      </c>
      <c r="N61" s="18">
        <f>Table1[[#This Row],[Defective_Units]]/Table1[[#This Row],[Quantity]]</f>
        <v>1.1049723756906077E-2</v>
      </c>
      <c r="O61" s="26">
        <f>(Table1[[#This Row],[Unit_Cost]]-Table1[[#This Row],[Negotiated_Cost]])/Table1[[#This Row],[Unit_Cost]]</f>
        <v>1.5025368989059333E-2</v>
      </c>
    </row>
    <row r="62" spans="1:15" x14ac:dyDescent="0.25">
      <c r="A62" t="s">
        <v>97</v>
      </c>
      <c r="B62" t="s">
        <v>27</v>
      </c>
      <c r="C62" s="14" t="s">
        <v>50</v>
      </c>
      <c r="D62" s="1">
        <v>45031</v>
      </c>
      <c r="E62" s="14" t="s">
        <v>2057</v>
      </c>
      <c r="F62" s="14" t="s">
        <v>33</v>
      </c>
      <c r="G62">
        <v>103</v>
      </c>
      <c r="H62">
        <v>50709.54</v>
      </c>
      <c r="I62">
        <v>47708.57</v>
      </c>
      <c r="J62">
        <v>2</v>
      </c>
      <c r="K62" s="14" t="s">
        <v>15</v>
      </c>
      <c r="L62" s="14" t="str">
        <f>IF(OR(Table1[[#This Row],[Order_Status]]="Delivered",Table1[[#This Row],[Delivery_Date]]&lt;&gt;"Not Yet Delivered"),Table1[[#This Row],[Delivery_Date]]-Table1[[#This Row],[Order_Date]],"Not Applicable")</f>
        <v>Not Applicable</v>
      </c>
      <c r="M62" s="14">
        <f>Table1[[#This Row],[Unit_Cost]]-Table1[[#This Row],[Negotiated_Cost]]</f>
        <v>3000.9700000000012</v>
      </c>
      <c r="N62" s="18">
        <f>Table1[[#This Row],[Defective_Units]]/Table1[[#This Row],[Quantity]]</f>
        <v>1.9417475728155338E-2</v>
      </c>
      <c r="O62" s="26">
        <f>(Table1[[#This Row],[Unit_Cost]]-Table1[[#This Row],[Negotiated_Cost]])/Table1[[#This Row],[Unit_Cost]]</f>
        <v>5.9179594214422003E-2</v>
      </c>
    </row>
    <row r="63" spans="1:15" x14ac:dyDescent="0.25">
      <c r="A63" t="s">
        <v>98</v>
      </c>
      <c r="B63" t="s">
        <v>32</v>
      </c>
      <c r="C63" s="14" t="s">
        <v>36</v>
      </c>
      <c r="D63" s="1">
        <v>45363</v>
      </c>
      <c r="E63" s="13">
        <v>45374</v>
      </c>
      <c r="F63" s="14" t="s">
        <v>14</v>
      </c>
      <c r="G63">
        <v>27</v>
      </c>
      <c r="H63">
        <v>522.33000000000004</v>
      </c>
      <c r="I63">
        <v>520.6</v>
      </c>
      <c r="J63">
        <v>0</v>
      </c>
      <c r="K63" s="14" t="s">
        <v>15</v>
      </c>
      <c r="L63" s="14">
        <f>IF(OR(Table1[[#This Row],[Order_Status]]="Delivered",Table1[[#This Row],[Delivery_Date]]&lt;&gt;"Not Yet Delivered"),Table1[[#This Row],[Delivery_Date]]-Table1[[#This Row],[Order_Date]],"Not Applicable")</f>
        <v>11</v>
      </c>
      <c r="M63" s="14">
        <f>Table1[[#This Row],[Unit_Cost]]-Table1[[#This Row],[Negotiated_Cost]]</f>
        <v>1.7300000000000182</v>
      </c>
      <c r="N63" s="18">
        <f>Table1[[#This Row],[Defective_Units]]/Table1[[#This Row],[Quantity]]</f>
        <v>0</v>
      </c>
      <c r="O63" s="26">
        <f>(Table1[[#This Row],[Unit_Cost]]-Table1[[#This Row],[Negotiated_Cost]])/Table1[[#This Row],[Unit_Cost]]</f>
        <v>3.3120824000153508E-3</v>
      </c>
    </row>
    <row r="64" spans="1:15" x14ac:dyDescent="0.25">
      <c r="A64" t="s">
        <v>99</v>
      </c>
      <c r="B64" t="s">
        <v>32</v>
      </c>
      <c r="C64" s="14" t="s">
        <v>30</v>
      </c>
      <c r="D64" s="1">
        <v>45375</v>
      </c>
      <c r="E64" s="13">
        <v>45384</v>
      </c>
      <c r="F64" s="14" t="s">
        <v>14</v>
      </c>
      <c r="G64">
        <v>373</v>
      </c>
      <c r="H64">
        <v>853.54</v>
      </c>
      <c r="I64">
        <v>804.73</v>
      </c>
      <c r="J64">
        <v>4</v>
      </c>
      <c r="K64" s="14" t="s">
        <v>15</v>
      </c>
      <c r="L64" s="14">
        <f>IF(OR(Table1[[#This Row],[Order_Status]]="Delivered",Table1[[#This Row],[Delivery_Date]]&lt;&gt;"Not Yet Delivered"),Table1[[#This Row],[Delivery_Date]]-Table1[[#This Row],[Order_Date]],"Not Applicable")</f>
        <v>9</v>
      </c>
      <c r="M64" s="14">
        <f>Table1[[#This Row],[Unit_Cost]]-Table1[[#This Row],[Negotiated_Cost]]</f>
        <v>48.809999999999945</v>
      </c>
      <c r="N64" s="18">
        <f>Table1[[#This Row],[Defective_Units]]/Table1[[#This Row],[Quantity]]</f>
        <v>1.0723860589812333E-2</v>
      </c>
      <c r="O64" s="26">
        <f>(Table1[[#This Row],[Unit_Cost]]-Table1[[#This Row],[Negotiated_Cost]])/Table1[[#This Row],[Unit_Cost]]</f>
        <v>5.7185369168404464E-2</v>
      </c>
    </row>
    <row r="65" spans="1:15" x14ac:dyDescent="0.25">
      <c r="A65" t="s">
        <v>100</v>
      </c>
      <c r="B65" t="s">
        <v>12</v>
      </c>
      <c r="C65" s="14" t="s">
        <v>28</v>
      </c>
      <c r="D65" s="1">
        <v>44980</v>
      </c>
      <c r="E65" s="13">
        <v>45006</v>
      </c>
      <c r="F65" s="14" t="s">
        <v>14</v>
      </c>
      <c r="G65">
        <v>240</v>
      </c>
      <c r="H65">
        <v>50768.55</v>
      </c>
      <c r="I65">
        <v>50392.82</v>
      </c>
      <c r="J65">
        <v>2</v>
      </c>
      <c r="K65" s="14" t="s">
        <v>15</v>
      </c>
      <c r="L65" s="14">
        <f>IF(OR(Table1[[#This Row],[Order_Status]]="Delivered",Table1[[#This Row],[Delivery_Date]]&lt;&gt;"Not Yet Delivered"),Table1[[#This Row],[Delivery_Date]]-Table1[[#This Row],[Order_Date]],"Not Applicable")</f>
        <v>26</v>
      </c>
      <c r="M65" s="14">
        <f>Table1[[#This Row],[Unit_Cost]]-Table1[[#This Row],[Negotiated_Cost]]</f>
        <v>375.7300000000032</v>
      </c>
      <c r="N65" s="18">
        <f>Table1[[#This Row],[Defective_Units]]/Table1[[#This Row],[Quantity]]</f>
        <v>8.3333333333333332E-3</v>
      </c>
      <c r="O65" s="26">
        <f>(Table1[[#This Row],[Unit_Cost]]-Table1[[#This Row],[Negotiated_Cost]])/Table1[[#This Row],[Unit_Cost]]</f>
        <v>7.4008416628011473E-3</v>
      </c>
    </row>
    <row r="66" spans="1:15" x14ac:dyDescent="0.25">
      <c r="A66" t="s">
        <v>101</v>
      </c>
      <c r="B66" t="s">
        <v>17</v>
      </c>
      <c r="C66" s="14" t="s">
        <v>28</v>
      </c>
      <c r="D66" s="1">
        <v>45361</v>
      </c>
      <c r="E66" s="13">
        <v>45368</v>
      </c>
      <c r="F66" s="14" t="s">
        <v>14</v>
      </c>
      <c r="G66">
        <v>107</v>
      </c>
      <c r="H66">
        <v>43151.17</v>
      </c>
      <c r="I66">
        <v>40599.760000000002</v>
      </c>
      <c r="J66">
        <v>1</v>
      </c>
      <c r="K66" s="14" t="s">
        <v>15</v>
      </c>
      <c r="L66" s="14">
        <f>IF(OR(Table1[[#This Row],[Order_Status]]="Delivered",Table1[[#This Row],[Delivery_Date]]&lt;&gt;"Not Yet Delivered"),Table1[[#This Row],[Delivery_Date]]-Table1[[#This Row],[Order_Date]],"Not Applicable")</f>
        <v>7</v>
      </c>
      <c r="M66" s="14">
        <f>Table1[[#This Row],[Unit_Cost]]-Table1[[#This Row],[Negotiated_Cost]]</f>
        <v>2551.4099999999962</v>
      </c>
      <c r="N66" s="18">
        <f>Table1[[#This Row],[Defective_Units]]/Table1[[#This Row],[Quantity]]</f>
        <v>9.3457943925233638E-3</v>
      </c>
      <c r="O66" s="26">
        <f>(Table1[[#This Row],[Unit_Cost]]-Table1[[#This Row],[Negotiated_Cost]])/Table1[[#This Row],[Unit_Cost]]</f>
        <v>5.9127249620346246E-2</v>
      </c>
    </row>
    <row r="67" spans="1:15" x14ac:dyDescent="0.25">
      <c r="A67" t="s">
        <v>102</v>
      </c>
      <c r="B67" t="s">
        <v>12</v>
      </c>
      <c r="C67" s="14" t="s">
        <v>28</v>
      </c>
      <c r="D67" s="1">
        <v>45175</v>
      </c>
      <c r="E67" s="13">
        <v>45199</v>
      </c>
      <c r="F67" s="14" t="s">
        <v>14</v>
      </c>
      <c r="G67">
        <v>170</v>
      </c>
      <c r="H67">
        <v>50103.11</v>
      </c>
      <c r="I67">
        <v>49833.97</v>
      </c>
      <c r="J67">
        <v>4</v>
      </c>
      <c r="K67" s="14" t="s">
        <v>15</v>
      </c>
      <c r="L67" s="14">
        <f>IF(OR(Table1[[#This Row],[Order_Status]]="Delivered",Table1[[#This Row],[Delivery_Date]]&lt;&gt;"Not Yet Delivered"),Table1[[#This Row],[Delivery_Date]]-Table1[[#This Row],[Order_Date]],"Not Applicable")</f>
        <v>24</v>
      </c>
      <c r="M67" s="14">
        <f>Table1[[#This Row],[Unit_Cost]]-Table1[[#This Row],[Negotiated_Cost]]</f>
        <v>269.13999999999942</v>
      </c>
      <c r="N67" s="18">
        <f>Table1[[#This Row],[Defective_Units]]/Table1[[#This Row],[Quantity]]</f>
        <v>2.3529411764705882E-2</v>
      </c>
      <c r="O67" s="26">
        <f>(Table1[[#This Row],[Unit_Cost]]-Table1[[#This Row],[Negotiated_Cost]])/Table1[[#This Row],[Unit_Cost]]</f>
        <v>5.3717224339966006E-3</v>
      </c>
    </row>
    <row r="68" spans="1:15" x14ac:dyDescent="0.25">
      <c r="A68" t="s">
        <v>103</v>
      </c>
      <c r="B68" t="s">
        <v>27</v>
      </c>
      <c r="C68" s="14" t="s">
        <v>50</v>
      </c>
      <c r="D68" s="1">
        <v>45434</v>
      </c>
      <c r="E68" s="13">
        <v>45456</v>
      </c>
      <c r="F68" s="14" t="s">
        <v>14</v>
      </c>
      <c r="G68">
        <v>344</v>
      </c>
      <c r="H68">
        <v>52779.91</v>
      </c>
      <c r="I68">
        <v>52716.68</v>
      </c>
      <c r="J68">
        <v>2</v>
      </c>
      <c r="K68" s="14" t="s">
        <v>15</v>
      </c>
      <c r="L68" s="14">
        <f>IF(OR(Table1[[#This Row],[Order_Status]]="Delivered",Table1[[#This Row],[Delivery_Date]]&lt;&gt;"Not Yet Delivered"),Table1[[#This Row],[Delivery_Date]]-Table1[[#This Row],[Order_Date]],"Not Applicable")</f>
        <v>22</v>
      </c>
      <c r="M68" s="14">
        <f>Table1[[#This Row],[Unit_Cost]]-Table1[[#This Row],[Negotiated_Cost]]</f>
        <v>63.230000000003201</v>
      </c>
      <c r="N68" s="18">
        <f>Table1[[#This Row],[Defective_Units]]/Table1[[#This Row],[Quantity]]</f>
        <v>5.8139534883720929E-3</v>
      </c>
      <c r="O68" s="26">
        <f>(Table1[[#This Row],[Unit_Cost]]-Table1[[#This Row],[Negotiated_Cost]])/Table1[[#This Row],[Unit_Cost]]</f>
        <v>1.1979937063174833E-3</v>
      </c>
    </row>
    <row r="69" spans="1:15" x14ac:dyDescent="0.25">
      <c r="A69" t="s">
        <v>104</v>
      </c>
      <c r="B69" t="s">
        <v>40</v>
      </c>
      <c r="C69" s="14" t="s">
        <v>48</v>
      </c>
      <c r="D69" s="1">
        <v>45109</v>
      </c>
      <c r="E69" s="13">
        <v>45118</v>
      </c>
      <c r="F69" s="14" t="s">
        <v>14</v>
      </c>
      <c r="G69">
        <v>340</v>
      </c>
      <c r="H69">
        <v>6726.76</v>
      </c>
      <c r="I69">
        <v>6379.19</v>
      </c>
      <c r="J69">
        <v>4</v>
      </c>
      <c r="K69" s="14" t="s">
        <v>15</v>
      </c>
      <c r="L69" s="14">
        <f>IF(OR(Table1[[#This Row],[Order_Status]]="Delivered",Table1[[#This Row],[Delivery_Date]]&lt;&gt;"Not Yet Delivered"),Table1[[#This Row],[Delivery_Date]]-Table1[[#This Row],[Order_Date]],"Not Applicable")</f>
        <v>9</v>
      </c>
      <c r="M69" s="14">
        <f>Table1[[#This Row],[Unit_Cost]]-Table1[[#This Row],[Negotiated_Cost]]</f>
        <v>347.57000000000062</v>
      </c>
      <c r="N69" s="18">
        <f>Table1[[#This Row],[Defective_Units]]/Table1[[#This Row],[Quantity]]</f>
        <v>1.1764705882352941E-2</v>
      </c>
      <c r="O69" s="26">
        <f>(Table1[[#This Row],[Unit_Cost]]-Table1[[#This Row],[Negotiated_Cost]])/Table1[[#This Row],[Unit_Cost]]</f>
        <v>5.1669748883563647E-2</v>
      </c>
    </row>
    <row r="70" spans="1:15" x14ac:dyDescent="0.25">
      <c r="A70" t="s">
        <v>105</v>
      </c>
      <c r="B70" t="s">
        <v>46</v>
      </c>
      <c r="C70" s="14" t="s">
        <v>42</v>
      </c>
      <c r="D70" s="1">
        <v>45598</v>
      </c>
      <c r="E70" s="13">
        <v>45620</v>
      </c>
      <c r="F70" s="14" t="s">
        <v>14</v>
      </c>
      <c r="G70">
        <v>438</v>
      </c>
      <c r="H70">
        <v>12025.32</v>
      </c>
      <c r="I70">
        <v>11465.31</v>
      </c>
      <c r="J70">
        <v>1</v>
      </c>
      <c r="K70" s="14" t="s">
        <v>15</v>
      </c>
      <c r="L70" s="14">
        <f>IF(OR(Table1[[#This Row],[Order_Status]]="Delivered",Table1[[#This Row],[Delivery_Date]]&lt;&gt;"Not Yet Delivered"),Table1[[#This Row],[Delivery_Date]]-Table1[[#This Row],[Order_Date]],"Not Applicable")</f>
        <v>22</v>
      </c>
      <c r="M70" s="14">
        <f>Table1[[#This Row],[Unit_Cost]]-Table1[[#This Row],[Negotiated_Cost]]</f>
        <v>560.01000000000022</v>
      </c>
      <c r="N70" s="18">
        <f>Table1[[#This Row],[Defective_Units]]/Table1[[#This Row],[Quantity]]</f>
        <v>2.2831050228310501E-3</v>
      </c>
      <c r="O70" s="26">
        <f>(Table1[[#This Row],[Unit_Cost]]-Table1[[#This Row],[Negotiated_Cost]])/Table1[[#This Row],[Unit_Cost]]</f>
        <v>4.6569238905908555E-2</v>
      </c>
    </row>
    <row r="71" spans="1:15" x14ac:dyDescent="0.25">
      <c r="A71" t="s">
        <v>106</v>
      </c>
      <c r="B71" t="s">
        <v>46</v>
      </c>
      <c r="C71" s="14" t="s">
        <v>50</v>
      </c>
      <c r="D71" s="1">
        <v>45159</v>
      </c>
      <c r="E71" s="13">
        <v>45174</v>
      </c>
      <c r="F71" s="14" t="s">
        <v>14</v>
      </c>
      <c r="G71">
        <v>16</v>
      </c>
      <c r="H71">
        <v>49665.85</v>
      </c>
      <c r="I71">
        <v>47771.41</v>
      </c>
      <c r="J71">
        <v>0</v>
      </c>
      <c r="K71" s="14" t="s">
        <v>15</v>
      </c>
      <c r="L71" s="14">
        <f>IF(OR(Table1[[#This Row],[Order_Status]]="Delivered",Table1[[#This Row],[Delivery_Date]]&lt;&gt;"Not Yet Delivered"),Table1[[#This Row],[Delivery_Date]]-Table1[[#This Row],[Order_Date]],"Not Applicable")</f>
        <v>15</v>
      </c>
      <c r="M71" s="14">
        <f>Table1[[#This Row],[Unit_Cost]]-Table1[[#This Row],[Negotiated_Cost]]</f>
        <v>1894.4399999999951</v>
      </c>
      <c r="N71" s="18">
        <f>Table1[[#This Row],[Defective_Units]]/Table1[[#This Row],[Quantity]]</f>
        <v>0</v>
      </c>
      <c r="O71" s="26">
        <f>(Table1[[#This Row],[Unit_Cost]]-Table1[[#This Row],[Negotiated_Cost]])/Table1[[#This Row],[Unit_Cost]]</f>
        <v>3.8143714443626658E-2</v>
      </c>
    </row>
    <row r="72" spans="1:15" x14ac:dyDescent="0.25">
      <c r="A72" t="s">
        <v>107</v>
      </c>
      <c r="B72" t="s">
        <v>40</v>
      </c>
      <c r="C72" s="14" t="s">
        <v>55</v>
      </c>
      <c r="D72" s="1">
        <v>44982</v>
      </c>
      <c r="E72" s="13">
        <v>45000</v>
      </c>
      <c r="F72" s="14" t="s">
        <v>14</v>
      </c>
      <c r="G72">
        <v>354</v>
      </c>
      <c r="H72">
        <v>15015.39</v>
      </c>
      <c r="I72">
        <v>14454.37</v>
      </c>
      <c r="J72">
        <v>7</v>
      </c>
      <c r="K72" s="14" t="s">
        <v>15</v>
      </c>
      <c r="L72" s="14">
        <f>IF(OR(Table1[[#This Row],[Order_Status]]="Delivered",Table1[[#This Row],[Delivery_Date]]&lt;&gt;"Not Yet Delivered"),Table1[[#This Row],[Delivery_Date]]-Table1[[#This Row],[Order_Date]],"Not Applicable")</f>
        <v>18</v>
      </c>
      <c r="M72" s="14">
        <f>Table1[[#This Row],[Unit_Cost]]-Table1[[#This Row],[Negotiated_Cost]]</f>
        <v>561.01999999999862</v>
      </c>
      <c r="N72" s="18">
        <f>Table1[[#This Row],[Defective_Units]]/Table1[[#This Row],[Quantity]]</f>
        <v>1.977401129943503E-2</v>
      </c>
      <c r="O72" s="26">
        <f>(Table1[[#This Row],[Unit_Cost]]-Table1[[#This Row],[Negotiated_Cost]])/Table1[[#This Row],[Unit_Cost]]</f>
        <v>3.7362998896465466E-2</v>
      </c>
    </row>
    <row r="73" spans="1:15" x14ac:dyDescent="0.25">
      <c r="A73" t="s">
        <v>108</v>
      </c>
      <c r="B73" t="s">
        <v>32</v>
      </c>
      <c r="C73" s="14" t="s">
        <v>18</v>
      </c>
      <c r="D73" s="1">
        <v>45452</v>
      </c>
      <c r="E73" s="13">
        <v>45455</v>
      </c>
      <c r="F73" s="14" t="s">
        <v>37</v>
      </c>
      <c r="G73">
        <v>478</v>
      </c>
      <c r="H73">
        <v>4933.24</v>
      </c>
      <c r="I73">
        <v>4794.5</v>
      </c>
      <c r="J73">
        <v>0</v>
      </c>
      <c r="K73" s="14" t="s">
        <v>15</v>
      </c>
      <c r="L73" s="14">
        <f>IF(OR(Table1[[#This Row],[Order_Status]]="Delivered",Table1[[#This Row],[Delivery_Date]]&lt;&gt;"Not Yet Delivered"),Table1[[#This Row],[Delivery_Date]]-Table1[[#This Row],[Order_Date]],"Not Applicable")</f>
        <v>3</v>
      </c>
      <c r="M73" s="14">
        <f>Table1[[#This Row],[Unit_Cost]]-Table1[[#This Row],[Negotiated_Cost]]</f>
        <v>138.73999999999978</v>
      </c>
      <c r="N73" s="18">
        <f>Table1[[#This Row],[Defective_Units]]/Table1[[#This Row],[Quantity]]</f>
        <v>0</v>
      </c>
      <c r="O73" s="26">
        <f>(Table1[[#This Row],[Unit_Cost]]-Table1[[#This Row],[Negotiated_Cost]])/Table1[[#This Row],[Unit_Cost]]</f>
        <v>2.8123505039284485E-2</v>
      </c>
    </row>
    <row r="74" spans="1:15" x14ac:dyDescent="0.25">
      <c r="A74" t="s">
        <v>109</v>
      </c>
      <c r="B74" t="s">
        <v>32</v>
      </c>
      <c r="C74" s="14" t="s">
        <v>13</v>
      </c>
      <c r="D74" s="1">
        <v>45289</v>
      </c>
      <c r="E74" s="13">
        <v>45296</v>
      </c>
      <c r="F74" s="14" t="s">
        <v>14</v>
      </c>
      <c r="G74">
        <v>243</v>
      </c>
      <c r="H74">
        <v>3646.29</v>
      </c>
      <c r="I74">
        <v>3617.24</v>
      </c>
      <c r="J74">
        <v>1</v>
      </c>
      <c r="K74" s="14" t="s">
        <v>15</v>
      </c>
      <c r="L74" s="14">
        <f>IF(OR(Table1[[#This Row],[Order_Status]]="Delivered",Table1[[#This Row],[Delivery_Date]]&lt;&gt;"Not Yet Delivered"),Table1[[#This Row],[Delivery_Date]]-Table1[[#This Row],[Order_Date]],"Not Applicable")</f>
        <v>7</v>
      </c>
      <c r="M74" s="14">
        <f>Table1[[#This Row],[Unit_Cost]]-Table1[[#This Row],[Negotiated_Cost]]</f>
        <v>29.050000000000182</v>
      </c>
      <c r="N74" s="18">
        <f>Table1[[#This Row],[Defective_Units]]/Table1[[#This Row],[Quantity]]</f>
        <v>4.11522633744856E-3</v>
      </c>
      <c r="O74" s="26">
        <f>(Table1[[#This Row],[Unit_Cost]]-Table1[[#This Row],[Negotiated_Cost]])/Table1[[#This Row],[Unit_Cost]]</f>
        <v>7.967002076082863E-3</v>
      </c>
    </row>
    <row r="75" spans="1:15" x14ac:dyDescent="0.25">
      <c r="A75" t="s">
        <v>110</v>
      </c>
      <c r="B75" t="s">
        <v>40</v>
      </c>
      <c r="C75" s="14" t="s">
        <v>44</v>
      </c>
      <c r="D75" s="1">
        <v>45199</v>
      </c>
      <c r="E75" s="14" t="s">
        <v>2057</v>
      </c>
      <c r="F75" s="14" t="s">
        <v>33</v>
      </c>
      <c r="G75">
        <v>235</v>
      </c>
      <c r="H75">
        <v>8727.4699999999993</v>
      </c>
      <c r="I75">
        <v>8484.15</v>
      </c>
      <c r="J75">
        <v>2</v>
      </c>
      <c r="K75" s="14" t="s">
        <v>15</v>
      </c>
      <c r="L75" s="14" t="str">
        <f>IF(OR(Table1[[#This Row],[Order_Status]]="Delivered",Table1[[#This Row],[Delivery_Date]]&lt;&gt;"Not Yet Delivered"),Table1[[#This Row],[Delivery_Date]]-Table1[[#This Row],[Order_Date]],"Not Applicable")</f>
        <v>Not Applicable</v>
      </c>
      <c r="M75" s="14">
        <f>Table1[[#This Row],[Unit_Cost]]-Table1[[#This Row],[Negotiated_Cost]]</f>
        <v>243.31999999999971</v>
      </c>
      <c r="N75" s="18">
        <f>Table1[[#This Row],[Defective_Units]]/Table1[[#This Row],[Quantity]]</f>
        <v>8.5106382978723406E-3</v>
      </c>
      <c r="O75" s="26">
        <f>(Table1[[#This Row],[Unit_Cost]]-Table1[[#This Row],[Negotiated_Cost]])/Table1[[#This Row],[Unit_Cost]]</f>
        <v>2.7879786467326698E-2</v>
      </c>
    </row>
    <row r="76" spans="1:15" x14ac:dyDescent="0.25">
      <c r="A76" t="s">
        <v>111</v>
      </c>
      <c r="B76" t="s">
        <v>27</v>
      </c>
      <c r="C76" s="14" t="s">
        <v>30</v>
      </c>
      <c r="D76" s="1">
        <v>44993</v>
      </c>
      <c r="E76" s="13">
        <v>45009</v>
      </c>
      <c r="F76" s="14" t="s">
        <v>37</v>
      </c>
      <c r="G76">
        <v>237</v>
      </c>
      <c r="H76">
        <v>917.83</v>
      </c>
      <c r="I76">
        <v>867.55</v>
      </c>
      <c r="J76">
        <v>3</v>
      </c>
      <c r="K76" s="14" t="s">
        <v>15</v>
      </c>
      <c r="L76" s="14">
        <f>IF(OR(Table1[[#This Row],[Order_Status]]="Delivered",Table1[[#This Row],[Delivery_Date]]&lt;&gt;"Not Yet Delivered"),Table1[[#This Row],[Delivery_Date]]-Table1[[#This Row],[Order_Date]],"Not Applicable")</f>
        <v>16</v>
      </c>
      <c r="M76" s="14">
        <f>Table1[[#This Row],[Unit_Cost]]-Table1[[#This Row],[Negotiated_Cost]]</f>
        <v>50.280000000000086</v>
      </c>
      <c r="N76" s="18">
        <f>Table1[[#This Row],[Defective_Units]]/Table1[[#This Row],[Quantity]]</f>
        <v>1.2658227848101266E-2</v>
      </c>
      <c r="O76" s="26">
        <f>(Table1[[#This Row],[Unit_Cost]]-Table1[[#This Row],[Negotiated_Cost]])/Table1[[#This Row],[Unit_Cost]]</f>
        <v>5.4781386531274949E-2</v>
      </c>
    </row>
    <row r="77" spans="1:15" x14ac:dyDescent="0.25">
      <c r="A77" t="s">
        <v>112</v>
      </c>
      <c r="B77" t="s">
        <v>20</v>
      </c>
      <c r="C77" s="14" t="s">
        <v>44</v>
      </c>
      <c r="D77" s="1">
        <v>45539</v>
      </c>
      <c r="E77" s="13">
        <v>45567</v>
      </c>
      <c r="F77" s="14" t="s">
        <v>14</v>
      </c>
      <c r="G77">
        <v>10</v>
      </c>
      <c r="H77">
        <v>8551.33</v>
      </c>
      <c r="I77">
        <v>8349.9699999999993</v>
      </c>
      <c r="J77">
        <v>0</v>
      </c>
      <c r="K77" s="14" t="s">
        <v>15</v>
      </c>
      <c r="L77" s="14">
        <f>IF(OR(Table1[[#This Row],[Order_Status]]="Delivered",Table1[[#This Row],[Delivery_Date]]&lt;&gt;"Not Yet Delivered"),Table1[[#This Row],[Delivery_Date]]-Table1[[#This Row],[Order_Date]],"Not Applicable")</f>
        <v>28</v>
      </c>
      <c r="M77" s="14">
        <f>Table1[[#This Row],[Unit_Cost]]-Table1[[#This Row],[Negotiated_Cost]]</f>
        <v>201.36000000000058</v>
      </c>
      <c r="N77" s="18">
        <f>Table1[[#This Row],[Defective_Units]]/Table1[[#This Row],[Quantity]]</f>
        <v>0</v>
      </c>
      <c r="O77" s="26">
        <f>(Table1[[#This Row],[Unit_Cost]]-Table1[[#This Row],[Negotiated_Cost]])/Table1[[#This Row],[Unit_Cost]]</f>
        <v>2.3547214292981393E-2</v>
      </c>
    </row>
    <row r="78" spans="1:15" x14ac:dyDescent="0.25">
      <c r="A78" t="s">
        <v>113</v>
      </c>
      <c r="B78" t="s">
        <v>46</v>
      </c>
      <c r="C78" s="14" t="s">
        <v>55</v>
      </c>
      <c r="D78" s="1">
        <v>45636</v>
      </c>
      <c r="E78" s="13">
        <v>45648</v>
      </c>
      <c r="F78" s="14" t="s">
        <v>14</v>
      </c>
      <c r="G78">
        <v>74</v>
      </c>
      <c r="H78">
        <v>13917.39</v>
      </c>
      <c r="I78">
        <v>13216.52</v>
      </c>
      <c r="J78">
        <v>0</v>
      </c>
      <c r="K78" s="14" t="s">
        <v>15</v>
      </c>
      <c r="L78" s="14">
        <f>IF(OR(Table1[[#This Row],[Order_Status]]="Delivered",Table1[[#This Row],[Delivery_Date]]&lt;&gt;"Not Yet Delivered"),Table1[[#This Row],[Delivery_Date]]-Table1[[#This Row],[Order_Date]],"Not Applicable")</f>
        <v>12</v>
      </c>
      <c r="M78" s="14">
        <f>Table1[[#This Row],[Unit_Cost]]-Table1[[#This Row],[Negotiated_Cost]]</f>
        <v>700.86999999999898</v>
      </c>
      <c r="N78" s="18">
        <f>Table1[[#This Row],[Defective_Units]]/Table1[[#This Row],[Quantity]]</f>
        <v>0</v>
      </c>
      <c r="O78" s="26">
        <f>(Table1[[#This Row],[Unit_Cost]]-Table1[[#This Row],[Negotiated_Cost]])/Table1[[#This Row],[Unit_Cost]]</f>
        <v>5.0359298690343446E-2</v>
      </c>
    </row>
    <row r="79" spans="1:15" x14ac:dyDescent="0.25">
      <c r="A79" t="s">
        <v>114</v>
      </c>
      <c r="B79" t="s">
        <v>17</v>
      </c>
      <c r="C79" s="14" t="s">
        <v>24</v>
      </c>
      <c r="D79" s="1">
        <v>45469</v>
      </c>
      <c r="E79" s="13">
        <v>45476</v>
      </c>
      <c r="F79" s="14" t="s">
        <v>14</v>
      </c>
      <c r="G79">
        <v>44</v>
      </c>
      <c r="H79">
        <v>12027.72</v>
      </c>
      <c r="I79">
        <v>12025.74</v>
      </c>
      <c r="J79">
        <v>2</v>
      </c>
      <c r="K79" s="14" t="s">
        <v>15</v>
      </c>
      <c r="L79" s="14">
        <f>IF(OR(Table1[[#This Row],[Order_Status]]="Delivered",Table1[[#This Row],[Delivery_Date]]&lt;&gt;"Not Yet Delivered"),Table1[[#This Row],[Delivery_Date]]-Table1[[#This Row],[Order_Date]],"Not Applicable")</f>
        <v>7</v>
      </c>
      <c r="M79" s="14">
        <f>Table1[[#This Row],[Unit_Cost]]-Table1[[#This Row],[Negotiated_Cost]]</f>
        <v>1.9799999999995634</v>
      </c>
      <c r="N79" s="18">
        <f>Table1[[#This Row],[Defective_Units]]/Table1[[#This Row],[Quantity]]</f>
        <v>4.5454545454545456E-2</v>
      </c>
      <c r="O79" s="26">
        <f>(Table1[[#This Row],[Unit_Cost]]-Table1[[#This Row],[Negotiated_Cost]])/Table1[[#This Row],[Unit_Cost]]</f>
        <v>1.6461972842729658E-4</v>
      </c>
    </row>
    <row r="80" spans="1:15" x14ac:dyDescent="0.25">
      <c r="A80" t="s">
        <v>115</v>
      </c>
      <c r="B80" t="s">
        <v>32</v>
      </c>
      <c r="C80" s="14" t="s">
        <v>50</v>
      </c>
      <c r="D80" s="1">
        <v>45430</v>
      </c>
      <c r="E80" s="13">
        <v>45446</v>
      </c>
      <c r="F80" s="14" t="s">
        <v>14</v>
      </c>
      <c r="G80">
        <v>490</v>
      </c>
      <c r="H80">
        <v>48808.15</v>
      </c>
      <c r="I80">
        <v>48601.33</v>
      </c>
      <c r="J80">
        <v>7</v>
      </c>
      <c r="K80" s="14" t="s">
        <v>15</v>
      </c>
      <c r="L80" s="14">
        <f>IF(OR(Table1[[#This Row],[Order_Status]]="Delivered",Table1[[#This Row],[Delivery_Date]]&lt;&gt;"Not Yet Delivered"),Table1[[#This Row],[Delivery_Date]]-Table1[[#This Row],[Order_Date]],"Not Applicable")</f>
        <v>16</v>
      </c>
      <c r="M80" s="14">
        <f>Table1[[#This Row],[Unit_Cost]]-Table1[[#This Row],[Negotiated_Cost]]</f>
        <v>206.81999999999971</v>
      </c>
      <c r="N80" s="18">
        <f>Table1[[#This Row],[Defective_Units]]/Table1[[#This Row],[Quantity]]</f>
        <v>1.4285714285714285E-2</v>
      </c>
      <c r="O80" s="26">
        <f>(Table1[[#This Row],[Unit_Cost]]-Table1[[#This Row],[Negotiated_Cost]])/Table1[[#This Row],[Unit_Cost]]</f>
        <v>4.2374070723844217E-3</v>
      </c>
    </row>
    <row r="81" spans="1:15" x14ac:dyDescent="0.25">
      <c r="A81" t="s">
        <v>116</v>
      </c>
      <c r="B81" t="s">
        <v>32</v>
      </c>
      <c r="C81" s="14" t="s">
        <v>44</v>
      </c>
      <c r="D81" s="1">
        <v>45650</v>
      </c>
      <c r="E81" s="13">
        <v>45652</v>
      </c>
      <c r="F81" s="14" t="s">
        <v>14</v>
      </c>
      <c r="G81">
        <v>229</v>
      </c>
      <c r="H81">
        <v>8041.69</v>
      </c>
      <c r="I81">
        <v>7814.84</v>
      </c>
      <c r="J81">
        <v>2</v>
      </c>
      <c r="K81" s="14" t="s">
        <v>15</v>
      </c>
      <c r="L81" s="14">
        <f>IF(OR(Table1[[#This Row],[Order_Status]]="Delivered",Table1[[#This Row],[Delivery_Date]]&lt;&gt;"Not Yet Delivered"),Table1[[#This Row],[Delivery_Date]]-Table1[[#This Row],[Order_Date]],"Not Applicable")</f>
        <v>2</v>
      </c>
      <c r="M81" s="14">
        <f>Table1[[#This Row],[Unit_Cost]]-Table1[[#This Row],[Negotiated_Cost]]</f>
        <v>226.84999999999945</v>
      </c>
      <c r="N81" s="18">
        <f>Table1[[#This Row],[Defective_Units]]/Table1[[#This Row],[Quantity]]</f>
        <v>8.7336244541484712E-3</v>
      </c>
      <c r="O81" s="26">
        <f>(Table1[[#This Row],[Unit_Cost]]-Table1[[#This Row],[Negotiated_Cost]])/Table1[[#This Row],[Unit_Cost]]</f>
        <v>2.8209244574212568E-2</v>
      </c>
    </row>
    <row r="82" spans="1:15" x14ac:dyDescent="0.25">
      <c r="A82" t="s">
        <v>117</v>
      </c>
      <c r="B82" t="s">
        <v>46</v>
      </c>
      <c r="C82" s="14" t="s">
        <v>30</v>
      </c>
      <c r="D82" s="1">
        <v>45185</v>
      </c>
      <c r="E82" s="13">
        <v>45191</v>
      </c>
      <c r="F82" s="14" t="s">
        <v>14</v>
      </c>
      <c r="G82">
        <v>165</v>
      </c>
      <c r="H82">
        <v>877.02</v>
      </c>
      <c r="I82">
        <v>848.3</v>
      </c>
      <c r="J82">
        <v>2</v>
      </c>
      <c r="K82" s="14" t="s">
        <v>15</v>
      </c>
      <c r="L82" s="14">
        <f>IF(OR(Table1[[#This Row],[Order_Status]]="Delivered",Table1[[#This Row],[Delivery_Date]]&lt;&gt;"Not Yet Delivered"),Table1[[#This Row],[Delivery_Date]]-Table1[[#This Row],[Order_Date]],"Not Applicable")</f>
        <v>6</v>
      </c>
      <c r="M82" s="14">
        <f>Table1[[#This Row],[Unit_Cost]]-Table1[[#This Row],[Negotiated_Cost]]</f>
        <v>28.720000000000027</v>
      </c>
      <c r="N82" s="18">
        <f>Table1[[#This Row],[Defective_Units]]/Table1[[#This Row],[Quantity]]</f>
        <v>1.2121212121212121E-2</v>
      </c>
      <c r="O82" s="26">
        <f>(Table1[[#This Row],[Unit_Cost]]-Table1[[#This Row],[Negotiated_Cost]])/Table1[[#This Row],[Unit_Cost]]</f>
        <v>3.2747257759230153E-2</v>
      </c>
    </row>
    <row r="83" spans="1:15" x14ac:dyDescent="0.25">
      <c r="A83" t="s">
        <v>118</v>
      </c>
      <c r="B83" t="s">
        <v>40</v>
      </c>
      <c r="C83" s="14" t="s">
        <v>50</v>
      </c>
      <c r="D83" s="1">
        <v>45539</v>
      </c>
      <c r="E83" s="13">
        <v>45564</v>
      </c>
      <c r="F83" s="14" t="s">
        <v>14</v>
      </c>
      <c r="G83">
        <v>333</v>
      </c>
      <c r="H83">
        <v>57913.73</v>
      </c>
      <c r="I83">
        <v>56508.65</v>
      </c>
      <c r="J83">
        <v>3</v>
      </c>
      <c r="K83" s="14" t="s">
        <v>15</v>
      </c>
      <c r="L83" s="14">
        <f>IF(OR(Table1[[#This Row],[Order_Status]]="Delivered",Table1[[#This Row],[Delivery_Date]]&lt;&gt;"Not Yet Delivered"),Table1[[#This Row],[Delivery_Date]]-Table1[[#This Row],[Order_Date]],"Not Applicable")</f>
        <v>25</v>
      </c>
      <c r="M83" s="14">
        <f>Table1[[#This Row],[Unit_Cost]]-Table1[[#This Row],[Negotiated_Cost]]</f>
        <v>1405.0800000000017</v>
      </c>
      <c r="N83" s="18">
        <f>Table1[[#This Row],[Defective_Units]]/Table1[[#This Row],[Quantity]]</f>
        <v>9.0090090090090089E-3</v>
      </c>
      <c r="O83" s="26">
        <f>(Table1[[#This Row],[Unit_Cost]]-Table1[[#This Row],[Negotiated_Cost]])/Table1[[#This Row],[Unit_Cost]]</f>
        <v>2.4261604286237505E-2</v>
      </c>
    </row>
    <row r="84" spans="1:15" x14ac:dyDescent="0.25">
      <c r="A84" t="s">
        <v>119</v>
      </c>
      <c r="B84" t="s">
        <v>12</v>
      </c>
      <c r="C84" s="14" t="s">
        <v>21</v>
      </c>
      <c r="D84" s="1">
        <v>45260</v>
      </c>
      <c r="E84" s="13">
        <v>45273</v>
      </c>
      <c r="F84" s="14" t="s">
        <v>14</v>
      </c>
      <c r="G84">
        <v>377</v>
      </c>
      <c r="H84">
        <v>129.49</v>
      </c>
      <c r="I84">
        <v>129.01</v>
      </c>
      <c r="J84">
        <v>8</v>
      </c>
      <c r="K84" s="14" t="s">
        <v>15</v>
      </c>
      <c r="L84" s="14">
        <f>IF(OR(Table1[[#This Row],[Order_Status]]="Delivered",Table1[[#This Row],[Delivery_Date]]&lt;&gt;"Not Yet Delivered"),Table1[[#This Row],[Delivery_Date]]-Table1[[#This Row],[Order_Date]],"Not Applicable")</f>
        <v>13</v>
      </c>
      <c r="M84" s="14">
        <f>Table1[[#This Row],[Unit_Cost]]-Table1[[#This Row],[Negotiated_Cost]]</f>
        <v>0.48000000000001819</v>
      </c>
      <c r="N84" s="18">
        <f>Table1[[#This Row],[Defective_Units]]/Table1[[#This Row],[Quantity]]</f>
        <v>2.1220159151193633E-2</v>
      </c>
      <c r="O84" s="26">
        <f>(Table1[[#This Row],[Unit_Cost]]-Table1[[#This Row],[Negotiated_Cost]])/Table1[[#This Row],[Unit_Cost]]</f>
        <v>3.7068499498032139E-3</v>
      </c>
    </row>
    <row r="85" spans="1:15" x14ac:dyDescent="0.25">
      <c r="A85" t="s">
        <v>120</v>
      </c>
      <c r="B85" t="s">
        <v>17</v>
      </c>
      <c r="C85" s="14" t="s">
        <v>18</v>
      </c>
      <c r="D85" s="1">
        <v>45155</v>
      </c>
      <c r="E85" s="13">
        <v>45161</v>
      </c>
      <c r="F85" s="14" t="s">
        <v>37</v>
      </c>
      <c r="G85">
        <v>274</v>
      </c>
      <c r="H85">
        <v>5063.7</v>
      </c>
      <c r="I85">
        <v>5010.57</v>
      </c>
      <c r="J85">
        <v>4</v>
      </c>
      <c r="K85" s="14" t="s">
        <v>15</v>
      </c>
      <c r="L85" s="14">
        <f>IF(OR(Table1[[#This Row],[Order_Status]]="Delivered",Table1[[#This Row],[Delivery_Date]]&lt;&gt;"Not Yet Delivered"),Table1[[#This Row],[Delivery_Date]]-Table1[[#This Row],[Order_Date]],"Not Applicable")</f>
        <v>6</v>
      </c>
      <c r="M85" s="14">
        <f>Table1[[#This Row],[Unit_Cost]]-Table1[[#This Row],[Negotiated_Cost]]</f>
        <v>53.130000000000109</v>
      </c>
      <c r="N85" s="18">
        <f>Table1[[#This Row],[Defective_Units]]/Table1[[#This Row],[Quantity]]</f>
        <v>1.4598540145985401E-2</v>
      </c>
      <c r="O85" s="26">
        <f>(Table1[[#This Row],[Unit_Cost]]-Table1[[#This Row],[Negotiated_Cost]])/Table1[[#This Row],[Unit_Cost]]</f>
        <v>1.049232774453465E-2</v>
      </c>
    </row>
    <row r="86" spans="1:15" x14ac:dyDescent="0.25">
      <c r="A86" t="s">
        <v>121</v>
      </c>
      <c r="B86" t="s">
        <v>20</v>
      </c>
      <c r="C86" s="14" t="s">
        <v>44</v>
      </c>
      <c r="D86" s="1">
        <v>45328</v>
      </c>
      <c r="E86" s="13">
        <v>45348</v>
      </c>
      <c r="F86" s="14" t="s">
        <v>14</v>
      </c>
      <c r="G86">
        <v>300</v>
      </c>
      <c r="H86">
        <v>8112.95</v>
      </c>
      <c r="I86">
        <v>7973.63</v>
      </c>
      <c r="J86">
        <v>3</v>
      </c>
      <c r="K86" s="14" t="s">
        <v>15</v>
      </c>
      <c r="L86" s="14">
        <f>IF(OR(Table1[[#This Row],[Order_Status]]="Delivered",Table1[[#This Row],[Delivery_Date]]&lt;&gt;"Not Yet Delivered"),Table1[[#This Row],[Delivery_Date]]-Table1[[#This Row],[Order_Date]],"Not Applicable")</f>
        <v>20</v>
      </c>
      <c r="M86" s="14">
        <f>Table1[[#This Row],[Unit_Cost]]-Table1[[#This Row],[Negotiated_Cost]]</f>
        <v>139.31999999999971</v>
      </c>
      <c r="N86" s="18">
        <f>Table1[[#This Row],[Defective_Units]]/Table1[[#This Row],[Quantity]]</f>
        <v>0.01</v>
      </c>
      <c r="O86" s="26">
        <f>(Table1[[#This Row],[Unit_Cost]]-Table1[[#This Row],[Negotiated_Cost]])/Table1[[#This Row],[Unit_Cost]]</f>
        <v>1.7172545128467415E-2</v>
      </c>
    </row>
    <row r="87" spans="1:15" x14ac:dyDescent="0.25">
      <c r="A87" t="s">
        <v>122</v>
      </c>
      <c r="B87" t="s">
        <v>20</v>
      </c>
      <c r="C87" s="14" t="s">
        <v>50</v>
      </c>
      <c r="D87" s="1">
        <v>45429</v>
      </c>
      <c r="E87" s="13">
        <v>45449</v>
      </c>
      <c r="F87" s="14" t="s">
        <v>14</v>
      </c>
      <c r="G87">
        <v>454</v>
      </c>
      <c r="H87">
        <v>50180.9</v>
      </c>
      <c r="I87">
        <v>49899.3</v>
      </c>
      <c r="J87">
        <v>3</v>
      </c>
      <c r="K87" s="14" t="s">
        <v>15</v>
      </c>
      <c r="L87" s="14">
        <f>IF(OR(Table1[[#This Row],[Order_Status]]="Delivered",Table1[[#This Row],[Delivery_Date]]&lt;&gt;"Not Yet Delivered"),Table1[[#This Row],[Delivery_Date]]-Table1[[#This Row],[Order_Date]],"Not Applicable")</f>
        <v>20</v>
      </c>
      <c r="M87" s="14">
        <f>Table1[[#This Row],[Unit_Cost]]-Table1[[#This Row],[Negotiated_Cost]]</f>
        <v>281.59999999999854</v>
      </c>
      <c r="N87" s="18">
        <f>Table1[[#This Row],[Defective_Units]]/Table1[[#This Row],[Quantity]]</f>
        <v>6.6079295154185024E-3</v>
      </c>
      <c r="O87" s="26">
        <f>(Table1[[#This Row],[Unit_Cost]]-Table1[[#This Row],[Negotiated_Cost]])/Table1[[#This Row],[Unit_Cost]]</f>
        <v>5.6116968806856496E-3</v>
      </c>
    </row>
    <row r="88" spans="1:15" x14ac:dyDescent="0.25">
      <c r="A88" t="s">
        <v>123</v>
      </c>
      <c r="B88" t="s">
        <v>35</v>
      </c>
      <c r="C88" s="14" t="s">
        <v>44</v>
      </c>
      <c r="D88" s="1">
        <v>45426</v>
      </c>
      <c r="E88" s="13">
        <v>45434</v>
      </c>
      <c r="F88" s="14" t="s">
        <v>14</v>
      </c>
      <c r="G88">
        <v>19</v>
      </c>
      <c r="H88">
        <v>8886.2000000000007</v>
      </c>
      <c r="I88">
        <v>8617.17</v>
      </c>
      <c r="J88">
        <v>1</v>
      </c>
      <c r="K88" s="14" t="s">
        <v>15</v>
      </c>
      <c r="L88" s="14">
        <f>IF(OR(Table1[[#This Row],[Order_Status]]="Delivered",Table1[[#This Row],[Delivery_Date]]&lt;&gt;"Not Yet Delivered"),Table1[[#This Row],[Delivery_Date]]-Table1[[#This Row],[Order_Date]],"Not Applicable")</f>
        <v>8</v>
      </c>
      <c r="M88" s="14">
        <f>Table1[[#This Row],[Unit_Cost]]-Table1[[#This Row],[Negotiated_Cost]]</f>
        <v>269.03000000000065</v>
      </c>
      <c r="N88" s="18">
        <f>Table1[[#This Row],[Defective_Units]]/Table1[[#This Row],[Quantity]]</f>
        <v>5.2631578947368418E-2</v>
      </c>
      <c r="O88" s="26">
        <f>(Table1[[#This Row],[Unit_Cost]]-Table1[[#This Row],[Negotiated_Cost]])/Table1[[#This Row],[Unit_Cost]]</f>
        <v>3.0275033197542326E-2</v>
      </c>
    </row>
    <row r="89" spans="1:15" x14ac:dyDescent="0.25">
      <c r="A89" t="s">
        <v>124</v>
      </c>
      <c r="B89" t="s">
        <v>40</v>
      </c>
      <c r="C89" s="14" t="s">
        <v>42</v>
      </c>
      <c r="D89" s="1">
        <v>45215</v>
      </c>
      <c r="E89" s="14" t="s">
        <v>2057</v>
      </c>
      <c r="F89" s="14" t="s">
        <v>33</v>
      </c>
      <c r="G89">
        <v>258</v>
      </c>
      <c r="H89">
        <v>12500.51</v>
      </c>
      <c r="I89">
        <v>12286.05</v>
      </c>
      <c r="J89">
        <v>2</v>
      </c>
      <c r="K89" s="14" t="s">
        <v>15</v>
      </c>
      <c r="L89" s="14" t="str">
        <f>IF(OR(Table1[[#This Row],[Order_Status]]="Delivered",Table1[[#This Row],[Delivery_Date]]&lt;&gt;"Not Yet Delivered"),Table1[[#This Row],[Delivery_Date]]-Table1[[#This Row],[Order_Date]],"Not Applicable")</f>
        <v>Not Applicable</v>
      </c>
      <c r="M89" s="14">
        <f>Table1[[#This Row],[Unit_Cost]]-Table1[[#This Row],[Negotiated_Cost]]</f>
        <v>214.46000000000095</v>
      </c>
      <c r="N89" s="18">
        <f>Table1[[#This Row],[Defective_Units]]/Table1[[#This Row],[Quantity]]</f>
        <v>7.7519379844961239E-3</v>
      </c>
      <c r="O89" s="26">
        <f>(Table1[[#This Row],[Unit_Cost]]-Table1[[#This Row],[Negotiated_Cost]])/Table1[[#This Row],[Unit_Cost]]</f>
        <v>1.7156100031118806E-2</v>
      </c>
    </row>
    <row r="90" spans="1:15" x14ac:dyDescent="0.25">
      <c r="A90" t="s">
        <v>125</v>
      </c>
      <c r="B90" t="s">
        <v>46</v>
      </c>
      <c r="C90" s="14" t="s">
        <v>55</v>
      </c>
      <c r="D90" s="1">
        <v>45085</v>
      </c>
      <c r="E90" s="13">
        <v>45110</v>
      </c>
      <c r="F90" s="14" t="s">
        <v>14</v>
      </c>
      <c r="G90">
        <v>307</v>
      </c>
      <c r="H90">
        <v>14951.8</v>
      </c>
      <c r="I90">
        <v>14169.06</v>
      </c>
      <c r="J90">
        <v>3</v>
      </c>
      <c r="K90" s="14" t="s">
        <v>15</v>
      </c>
      <c r="L90" s="14">
        <f>IF(OR(Table1[[#This Row],[Order_Status]]="Delivered",Table1[[#This Row],[Delivery_Date]]&lt;&gt;"Not Yet Delivered"),Table1[[#This Row],[Delivery_Date]]-Table1[[#This Row],[Order_Date]],"Not Applicable")</f>
        <v>25</v>
      </c>
      <c r="M90" s="14">
        <f>Table1[[#This Row],[Unit_Cost]]-Table1[[#This Row],[Negotiated_Cost]]</f>
        <v>782.73999999999978</v>
      </c>
      <c r="N90" s="18">
        <f>Table1[[#This Row],[Defective_Units]]/Table1[[#This Row],[Quantity]]</f>
        <v>9.7719869706840382E-3</v>
      </c>
      <c r="O90" s="26">
        <f>(Table1[[#This Row],[Unit_Cost]]-Table1[[#This Row],[Negotiated_Cost]])/Table1[[#This Row],[Unit_Cost]]</f>
        <v>5.2350887518559625E-2</v>
      </c>
    </row>
    <row r="91" spans="1:15" x14ac:dyDescent="0.25">
      <c r="A91" t="s">
        <v>126</v>
      </c>
      <c r="B91" t="s">
        <v>17</v>
      </c>
      <c r="C91" s="14" t="s">
        <v>28</v>
      </c>
      <c r="D91" s="1">
        <v>45021</v>
      </c>
      <c r="E91" s="13">
        <v>45033</v>
      </c>
      <c r="F91" s="14" t="s">
        <v>14</v>
      </c>
      <c r="G91">
        <v>119</v>
      </c>
      <c r="H91">
        <v>46170.11</v>
      </c>
      <c r="I91">
        <v>44903.360000000001</v>
      </c>
      <c r="J91">
        <v>5</v>
      </c>
      <c r="K91" s="14" t="s">
        <v>15</v>
      </c>
      <c r="L91" s="14">
        <f>IF(OR(Table1[[#This Row],[Order_Status]]="Delivered",Table1[[#This Row],[Delivery_Date]]&lt;&gt;"Not Yet Delivered"),Table1[[#This Row],[Delivery_Date]]-Table1[[#This Row],[Order_Date]],"Not Applicable")</f>
        <v>12</v>
      </c>
      <c r="M91" s="14">
        <f>Table1[[#This Row],[Unit_Cost]]-Table1[[#This Row],[Negotiated_Cost]]</f>
        <v>1266.75</v>
      </c>
      <c r="N91" s="18">
        <f>Table1[[#This Row],[Defective_Units]]/Table1[[#This Row],[Quantity]]</f>
        <v>4.2016806722689079E-2</v>
      </c>
      <c r="O91" s="26">
        <f>(Table1[[#This Row],[Unit_Cost]]-Table1[[#This Row],[Negotiated_Cost]])/Table1[[#This Row],[Unit_Cost]]</f>
        <v>2.7436581805847984E-2</v>
      </c>
    </row>
    <row r="92" spans="1:15" x14ac:dyDescent="0.25">
      <c r="A92" t="s">
        <v>127</v>
      </c>
      <c r="B92" t="s">
        <v>35</v>
      </c>
      <c r="C92" s="14" t="s">
        <v>55</v>
      </c>
      <c r="D92" s="1">
        <v>44949</v>
      </c>
      <c r="E92" s="13">
        <v>44976</v>
      </c>
      <c r="F92" s="14" t="s">
        <v>14</v>
      </c>
      <c r="G92">
        <v>307</v>
      </c>
      <c r="H92">
        <v>14131</v>
      </c>
      <c r="I92">
        <v>13804.53</v>
      </c>
      <c r="J92">
        <v>4</v>
      </c>
      <c r="K92" s="14" t="s">
        <v>15</v>
      </c>
      <c r="L92" s="14">
        <f>IF(OR(Table1[[#This Row],[Order_Status]]="Delivered",Table1[[#This Row],[Delivery_Date]]&lt;&gt;"Not Yet Delivered"),Table1[[#This Row],[Delivery_Date]]-Table1[[#This Row],[Order_Date]],"Not Applicable")</f>
        <v>27</v>
      </c>
      <c r="M92" s="14">
        <f>Table1[[#This Row],[Unit_Cost]]-Table1[[#This Row],[Negotiated_Cost]]</f>
        <v>326.46999999999935</v>
      </c>
      <c r="N92" s="18">
        <f>Table1[[#This Row],[Defective_Units]]/Table1[[#This Row],[Quantity]]</f>
        <v>1.3029315960912053E-2</v>
      </c>
      <c r="O92" s="26">
        <f>(Table1[[#This Row],[Unit_Cost]]-Table1[[#This Row],[Negotiated_Cost]])/Table1[[#This Row],[Unit_Cost]]</f>
        <v>2.3103106644964923E-2</v>
      </c>
    </row>
    <row r="93" spans="1:15" x14ac:dyDescent="0.25">
      <c r="A93" t="s">
        <v>128</v>
      </c>
      <c r="B93" t="s">
        <v>17</v>
      </c>
      <c r="C93" s="14" t="s">
        <v>21</v>
      </c>
      <c r="D93" s="1">
        <v>45386</v>
      </c>
      <c r="E93" s="13">
        <v>45411</v>
      </c>
      <c r="F93" s="14" t="s">
        <v>14</v>
      </c>
      <c r="G93">
        <v>496</v>
      </c>
      <c r="H93">
        <v>113.68</v>
      </c>
      <c r="I93">
        <v>111.61</v>
      </c>
      <c r="J93">
        <v>8</v>
      </c>
      <c r="K93" s="14" t="s">
        <v>15</v>
      </c>
      <c r="L93" s="14">
        <f>IF(OR(Table1[[#This Row],[Order_Status]]="Delivered",Table1[[#This Row],[Delivery_Date]]&lt;&gt;"Not Yet Delivered"),Table1[[#This Row],[Delivery_Date]]-Table1[[#This Row],[Order_Date]],"Not Applicable")</f>
        <v>25</v>
      </c>
      <c r="M93" s="14">
        <f>Table1[[#This Row],[Unit_Cost]]-Table1[[#This Row],[Negotiated_Cost]]</f>
        <v>2.0700000000000074</v>
      </c>
      <c r="N93" s="18">
        <f>Table1[[#This Row],[Defective_Units]]/Table1[[#This Row],[Quantity]]</f>
        <v>1.6129032258064516E-2</v>
      </c>
      <c r="O93" s="26">
        <f>(Table1[[#This Row],[Unit_Cost]]-Table1[[#This Row],[Negotiated_Cost]])/Table1[[#This Row],[Unit_Cost]]</f>
        <v>1.8209007741027509E-2</v>
      </c>
    </row>
    <row r="94" spans="1:15" x14ac:dyDescent="0.25">
      <c r="A94" t="s">
        <v>129</v>
      </c>
      <c r="B94" t="s">
        <v>32</v>
      </c>
      <c r="C94" s="14" t="s">
        <v>48</v>
      </c>
      <c r="D94" s="1">
        <v>44977</v>
      </c>
      <c r="E94" s="13">
        <v>44989</v>
      </c>
      <c r="F94" s="14" t="s">
        <v>14</v>
      </c>
      <c r="G94">
        <v>33</v>
      </c>
      <c r="H94">
        <v>5696.01</v>
      </c>
      <c r="I94">
        <v>5641.48</v>
      </c>
      <c r="J94">
        <v>1</v>
      </c>
      <c r="K94" s="14" t="s">
        <v>15</v>
      </c>
      <c r="L94" s="14">
        <f>IF(OR(Table1[[#This Row],[Order_Status]]="Delivered",Table1[[#This Row],[Delivery_Date]]&lt;&gt;"Not Yet Delivered"),Table1[[#This Row],[Delivery_Date]]-Table1[[#This Row],[Order_Date]],"Not Applicable")</f>
        <v>12</v>
      </c>
      <c r="M94" s="14">
        <f>Table1[[#This Row],[Unit_Cost]]-Table1[[#This Row],[Negotiated_Cost]]</f>
        <v>54.530000000000655</v>
      </c>
      <c r="N94" s="18">
        <f>Table1[[#This Row],[Defective_Units]]/Table1[[#This Row],[Quantity]]</f>
        <v>3.0303030303030304E-2</v>
      </c>
      <c r="O94" s="26">
        <f>(Table1[[#This Row],[Unit_Cost]]-Table1[[#This Row],[Negotiated_Cost]])/Table1[[#This Row],[Unit_Cost]]</f>
        <v>9.5733680242837804E-3</v>
      </c>
    </row>
    <row r="95" spans="1:15" x14ac:dyDescent="0.25">
      <c r="A95" t="s">
        <v>130</v>
      </c>
      <c r="B95" t="s">
        <v>40</v>
      </c>
      <c r="C95" s="14" t="s">
        <v>55</v>
      </c>
      <c r="D95" s="1">
        <v>44927</v>
      </c>
      <c r="E95" s="13">
        <v>44943</v>
      </c>
      <c r="F95" s="14" t="s">
        <v>14</v>
      </c>
      <c r="G95">
        <v>323</v>
      </c>
      <c r="H95">
        <v>15305.67</v>
      </c>
      <c r="I95">
        <v>14596.16</v>
      </c>
      <c r="J95">
        <v>0</v>
      </c>
      <c r="K95" s="14" t="s">
        <v>15</v>
      </c>
      <c r="L95" s="14">
        <f>IF(OR(Table1[[#This Row],[Order_Status]]="Delivered",Table1[[#This Row],[Delivery_Date]]&lt;&gt;"Not Yet Delivered"),Table1[[#This Row],[Delivery_Date]]-Table1[[#This Row],[Order_Date]],"Not Applicable")</f>
        <v>16</v>
      </c>
      <c r="M95" s="14">
        <f>Table1[[#This Row],[Unit_Cost]]-Table1[[#This Row],[Negotiated_Cost]]</f>
        <v>709.51000000000022</v>
      </c>
      <c r="N95" s="18">
        <f>Table1[[#This Row],[Defective_Units]]/Table1[[#This Row],[Quantity]]</f>
        <v>0</v>
      </c>
      <c r="O95" s="26">
        <f>(Table1[[#This Row],[Unit_Cost]]-Table1[[#This Row],[Negotiated_Cost]])/Table1[[#This Row],[Unit_Cost]]</f>
        <v>4.6356023617391474E-2</v>
      </c>
    </row>
    <row r="96" spans="1:15" x14ac:dyDescent="0.25">
      <c r="A96" t="s">
        <v>131</v>
      </c>
      <c r="B96" t="s">
        <v>27</v>
      </c>
      <c r="C96" s="14" t="s">
        <v>36</v>
      </c>
      <c r="D96" s="1">
        <v>45501</v>
      </c>
      <c r="E96" s="13">
        <v>45504</v>
      </c>
      <c r="F96" s="14" t="s">
        <v>14</v>
      </c>
      <c r="G96">
        <v>248</v>
      </c>
      <c r="H96">
        <v>563.52</v>
      </c>
      <c r="I96">
        <v>560.80999999999995</v>
      </c>
      <c r="J96">
        <v>5</v>
      </c>
      <c r="K96" s="14" t="s">
        <v>15</v>
      </c>
      <c r="L96" s="14">
        <f>IF(OR(Table1[[#This Row],[Order_Status]]="Delivered",Table1[[#This Row],[Delivery_Date]]&lt;&gt;"Not Yet Delivered"),Table1[[#This Row],[Delivery_Date]]-Table1[[#This Row],[Order_Date]],"Not Applicable")</f>
        <v>3</v>
      </c>
      <c r="M96" s="14">
        <f>Table1[[#This Row],[Unit_Cost]]-Table1[[#This Row],[Negotiated_Cost]]</f>
        <v>2.7100000000000364</v>
      </c>
      <c r="N96" s="18">
        <f>Table1[[#This Row],[Defective_Units]]/Table1[[#This Row],[Quantity]]</f>
        <v>2.0161290322580645E-2</v>
      </c>
      <c r="O96" s="26">
        <f>(Table1[[#This Row],[Unit_Cost]]-Table1[[#This Row],[Negotiated_Cost]])/Table1[[#This Row],[Unit_Cost]]</f>
        <v>4.8090573537763279E-3</v>
      </c>
    </row>
    <row r="97" spans="1:15" x14ac:dyDescent="0.25">
      <c r="A97" t="s">
        <v>132</v>
      </c>
      <c r="B97" t="s">
        <v>12</v>
      </c>
      <c r="C97" s="14" t="s">
        <v>42</v>
      </c>
      <c r="D97" s="1">
        <v>45105</v>
      </c>
      <c r="E97" s="13">
        <v>45112</v>
      </c>
      <c r="F97" s="14" t="s">
        <v>14</v>
      </c>
      <c r="G97">
        <v>186</v>
      </c>
      <c r="H97">
        <v>12110.7</v>
      </c>
      <c r="I97">
        <v>11746.19</v>
      </c>
      <c r="J97">
        <v>2</v>
      </c>
      <c r="K97" s="14" t="s">
        <v>15</v>
      </c>
      <c r="L97" s="14">
        <f>IF(OR(Table1[[#This Row],[Order_Status]]="Delivered",Table1[[#This Row],[Delivery_Date]]&lt;&gt;"Not Yet Delivered"),Table1[[#This Row],[Delivery_Date]]-Table1[[#This Row],[Order_Date]],"Not Applicable")</f>
        <v>7</v>
      </c>
      <c r="M97" s="14">
        <f>Table1[[#This Row],[Unit_Cost]]-Table1[[#This Row],[Negotiated_Cost]]</f>
        <v>364.51000000000022</v>
      </c>
      <c r="N97" s="18">
        <f>Table1[[#This Row],[Defective_Units]]/Table1[[#This Row],[Quantity]]</f>
        <v>1.0752688172043012E-2</v>
      </c>
      <c r="O97" s="26">
        <f>(Table1[[#This Row],[Unit_Cost]]-Table1[[#This Row],[Negotiated_Cost]])/Table1[[#This Row],[Unit_Cost]]</f>
        <v>3.0098177644562261E-2</v>
      </c>
    </row>
    <row r="98" spans="1:15" x14ac:dyDescent="0.25">
      <c r="A98" t="s">
        <v>133</v>
      </c>
      <c r="B98" t="s">
        <v>12</v>
      </c>
      <c r="C98" s="14" t="s">
        <v>44</v>
      </c>
      <c r="D98" s="1">
        <v>45395</v>
      </c>
      <c r="E98" s="13">
        <v>45413</v>
      </c>
      <c r="F98" s="14" t="s">
        <v>14</v>
      </c>
      <c r="G98">
        <v>53</v>
      </c>
      <c r="H98">
        <v>8580.18</v>
      </c>
      <c r="I98">
        <v>8560.14</v>
      </c>
      <c r="J98">
        <v>1</v>
      </c>
      <c r="K98" s="14" t="s">
        <v>15</v>
      </c>
      <c r="L98" s="14">
        <f>IF(OR(Table1[[#This Row],[Order_Status]]="Delivered",Table1[[#This Row],[Delivery_Date]]&lt;&gt;"Not Yet Delivered"),Table1[[#This Row],[Delivery_Date]]-Table1[[#This Row],[Order_Date]],"Not Applicable")</f>
        <v>18</v>
      </c>
      <c r="M98" s="14">
        <f>Table1[[#This Row],[Unit_Cost]]-Table1[[#This Row],[Negotiated_Cost]]</f>
        <v>20.040000000000873</v>
      </c>
      <c r="N98" s="18">
        <f>Table1[[#This Row],[Defective_Units]]/Table1[[#This Row],[Quantity]]</f>
        <v>1.8867924528301886E-2</v>
      </c>
      <c r="O98" s="26">
        <f>(Table1[[#This Row],[Unit_Cost]]-Table1[[#This Row],[Negotiated_Cost]])/Table1[[#This Row],[Unit_Cost]]</f>
        <v>2.335615336741289E-3</v>
      </c>
    </row>
    <row r="99" spans="1:15" x14ac:dyDescent="0.25">
      <c r="A99" t="s">
        <v>134</v>
      </c>
      <c r="B99" t="s">
        <v>20</v>
      </c>
      <c r="C99" s="14" t="s">
        <v>13</v>
      </c>
      <c r="D99" s="1">
        <v>45067</v>
      </c>
      <c r="E99" s="13">
        <v>45087</v>
      </c>
      <c r="F99" s="14" t="s">
        <v>14</v>
      </c>
      <c r="G99">
        <v>482</v>
      </c>
      <c r="H99">
        <v>4152.9399999999996</v>
      </c>
      <c r="I99">
        <v>3956.07</v>
      </c>
      <c r="J99">
        <v>5</v>
      </c>
      <c r="K99" s="14" t="s">
        <v>15</v>
      </c>
      <c r="L99" s="14">
        <f>IF(OR(Table1[[#This Row],[Order_Status]]="Delivered",Table1[[#This Row],[Delivery_Date]]&lt;&gt;"Not Yet Delivered"),Table1[[#This Row],[Delivery_Date]]-Table1[[#This Row],[Order_Date]],"Not Applicable")</f>
        <v>20</v>
      </c>
      <c r="M99" s="14">
        <f>Table1[[#This Row],[Unit_Cost]]-Table1[[#This Row],[Negotiated_Cost]]</f>
        <v>196.86999999999944</v>
      </c>
      <c r="N99" s="18">
        <f>Table1[[#This Row],[Defective_Units]]/Table1[[#This Row],[Quantity]]</f>
        <v>1.0373443983402489E-2</v>
      </c>
      <c r="O99" s="26">
        <f>(Table1[[#This Row],[Unit_Cost]]-Table1[[#This Row],[Negotiated_Cost]])/Table1[[#This Row],[Unit_Cost]]</f>
        <v>4.7404970936252261E-2</v>
      </c>
    </row>
    <row r="100" spans="1:15" x14ac:dyDescent="0.25">
      <c r="A100" t="s">
        <v>135</v>
      </c>
      <c r="B100" t="s">
        <v>17</v>
      </c>
      <c r="C100" s="14" t="s">
        <v>18</v>
      </c>
      <c r="D100" s="1">
        <v>44944</v>
      </c>
      <c r="E100" s="13">
        <v>44947</v>
      </c>
      <c r="F100" s="14" t="s">
        <v>14</v>
      </c>
      <c r="G100">
        <v>261</v>
      </c>
      <c r="H100">
        <v>5049.6099999999997</v>
      </c>
      <c r="I100">
        <v>4883.97</v>
      </c>
      <c r="J100">
        <v>2</v>
      </c>
      <c r="K100" s="14" t="s">
        <v>15</v>
      </c>
      <c r="L100" s="14">
        <f>IF(OR(Table1[[#This Row],[Order_Status]]="Delivered",Table1[[#This Row],[Delivery_Date]]&lt;&gt;"Not Yet Delivered"),Table1[[#This Row],[Delivery_Date]]-Table1[[#This Row],[Order_Date]],"Not Applicable")</f>
        <v>3</v>
      </c>
      <c r="M100" s="14">
        <f>Table1[[#This Row],[Unit_Cost]]-Table1[[#This Row],[Negotiated_Cost]]</f>
        <v>165.63999999999942</v>
      </c>
      <c r="N100" s="18">
        <f>Table1[[#This Row],[Defective_Units]]/Table1[[#This Row],[Quantity]]</f>
        <v>7.6628352490421452E-3</v>
      </c>
      <c r="O100" s="26">
        <f>(Table1[[#This Row],[Unit_Cost]]-Table1[[#This Row],[Negotiated_Cost]])/Table1[[#This Row],[Unit_Cost]]</f>
        <v>3.2802533264945102E-2</v>
      </c>
    </row>
    <row r="101" spans="1:15" x14ac:dyDescent="0.25">
      <c r="A101" t="s">
        <v>136</v>
      </c>
      <c r="B101" t="s">
        <v>20</v>
      </c>
      <c r="C101" s="14" t="s">
        <v>30</v>
      </c>
      <c r="D101" s="1">
        <v>45190</v>
      </c>
      <c r="E101" s="13">
        <v>45201</v>
      </c>
      <c r="F101" s="14" t="s">
        <v>14</v>
      </c>
      <c r="G101">
        <v>417</v>
      </c>
      <c r="H101">
        <v>819.99</v>
      </c>
      <c r="I101">
        <v>807.85</v>
      </c>
      <c r="J101">
        <v>5</v>
      </c>
      <c r="K101" s="14" t="s">
        <v>15</v>
      </c>
      <c r="L101" s="14">
        <f>IF(OR(Table1[[#This Row],[Order_Status]]="Delivered",Table1[[#This Row],[Delivery_Date]]&lt;&gt;"Not Yet Delivered"),Table1[[#This Row],[Delivery_Date]]-Table1[[#This Row],[Order_Date]],"Not Applicable")</f>
        <v>11</v>
      </c>
      <c r="M101" s="14">
        <f>Table1[[#This Row],[Unit_Cost]]-Table1[[#This Row],[Negotiated_Cost]]</f>
        <v>12.139999999999986</v>
      </c>
      <c r="N101" s="18">
        <f>Table1[[#This Row],[Defective_Units]]/Table1[[#This Row],[Quantity]]</f>
        <v>1.1990407673860911E-2</v>
      </c>
      <c r="O101" s="26">
        <f>(Table1[[#This Row],[Unit_Cost]]-Table1[[#This Row],[Negotiated_Cost]])/Table1[[#This Row],[Unit_Cost]]</f>
        <v>1.4805058598275573E-2</v>
      </c>
    </row>
    <row r="102" spans="1:15" x14ac:dyDescent="0.25">
      <c r="A102" t="s">
        <v>137</v>
      </c>
      <c r="B102" t="s">
        <v>35</v>
      </c>
      <c r="C102" s="14" t="s">
        <v>21</v>
      </c>
      <c r="D102" s="1">
        <v>45104</v>
      </c>
      <c r="E102" s="13">
        <v>45128</v>
      </c>
      <c r="F102" s="14" t="s">
        <v>14</v>
      </c>
      <c r="G102">
        <v>395</v>
      </c>
      <c r="H102">
        <v>122.29</v>
      </c>
      <c r="I102">
        <v>115.15</v>
      </c>
      <c r="J102">
        <v>2</v>
      </c>
      <c r="K102" s="14" t="s">
        <v>15</v>
      </c>
      <c r="L102" s="14">
        <f>IF(OR(Table1[[#This Row],[Order_Status]]="Delivered",Table1[[#This Row],[Delivery_Date]]&lt;&gt;"Not Yet Delivered"),Table1[[#This Row],[Delivery_Date]]-Table1[[#This Row],[Order_Date]],"Not Applicable")</f>
        <v>24</v>
      </c>
      <c r="M102" s="14">
        <f>Table1[[#This Row],[Unit_Cost]]-Table1[[#This Row],[Negotiated_Cost]]</f>
        <v>7.1400000000000006</v>
      </c>
      <c r="N102" s="18">
        <f>Table1[[#This Row],[Defective_Units]]/Table1[[#This Row],[Quantity]]</f>
        <v>5.0632911392405064E-3</v>
      </c>
      <c r="O102" s="26">
        <f>(Table1[[#This Row],[Unit_Cost]]-Table1[[#This Row],[Negotiated_Cost]])/Table1[[#This Row],[Unit_Cost]]</f>
        <v>5.838580423583286E-2</v>
      </c>
    </row>
    <row r="103" spans="1:15" x14ac:dyDescent="0.25">
      <c r="A103" t="s">
        <v>138</v>
      </c>
      <c r="B103" t="s">
        <v>40</v>
      </c>
      <c r="C103" s="14" t="s">
        <v>48</v>
      </c>
      <c r="D103" s="1">
        <v>45155</v>
      </c>
      <c r="E103" s="13">
        <v>45164</v>
      </c>
      <c r="F103" s="14" t="s">
        <v>14</v>
      </c>
      <c r="G103">
        <v>71</v>
      </c>
      <c r="H103">
        <v>7346.4</v>
      </c>
      <c r="I103">
        <v>7151.01</v>
      </c>
      <c r="J103">
        <v>1</v>
      </c>
      <c r="K103" s="14" t="s">
        <v>15</v>
      </c>
      <c r="L103" s="14">
        <f>IF(OR(Table1[[#This Row],[Order_Status]]="Delivered",Table1[[#This Row],[Delivery_Date]]&lt;&gt;"Not Yet Delivered"),Table1[[#This Row],[Delivery_Date]]-Table1[[#This Row],[Order_Date]],"Not Applicable")</f>
        <v>9</v>
      </c>
      <c r="M103" s="14">
        <f>Table1[[#This Row],[Unit_Cost]]-Table1[[#This Row],[Negotiated_Cost]]</f>
        <v>195.38999999999942</v>
      </c>
      <c r="N103" s="18">
        <f>Table1[[#This Row],[Defective_Units]]/Table1[[#This Row],[Quantity]]</f>
        <v>1.4084507042253521E-2</v>
      </c>
      <c r="O103" s="26">
        <f>(Table1[[#This Row],[Unit_Cost]]-Table1[[#This Row],[Negotiated_Cost]])/Table1[[#This Row],[Unit_Cost]]</f>
        <v>2.6596700424697733E-2</v>
      </c>
    </row>
    <row r="104" spans="1:15" x14ac:dyDescent="0.25">
      <c r="A104" t="s">
        <v>139</v>
      </c>
      <c r="B104" t="s">
        <v>35</v>
      </c>
      <c r="C104" s="14" t="s">
        <v>42</v>
      </c>
      <c r="D104" s="1">
        <v>45378</v>
      </c>
      <c r="E104" s="14" t="s">
        <v>2057</v>
      </c>
      <c r="F104" s="14" t="s">
        <v>33</v>
      </c>
      <c r="G104">
        <v>169</v>
      </c>
      <c r="H104">
        <v>11483.16</v>
      </c>
      <c r="I104">
        <v>11074.17</v>
      </c>
      <c r="J104">
        <v>2</v>
      </c>
      <c r="K104" s="14" t="s">
        <v>15</v>
      </c>
      <c r="L104" s="14" t="str">
        <f>IF(OR(Table1[[#This Row],[Order_Status]]="Delivered",Table1[[#This Row],[Delivery_Date]]&lt;&gt;"Not Yet Delivered"),Table1[[#This Row],[Delivery_Date]]-Table1[[#This Row],[Order_Date]],"Not Applicable")</f>
        <v>Not Applicable</v>
      </c>
      <c r="M104" s="14">
        <f>Table1[[#This Row],[Unit_Cost]]-Table1[[#This Row],[Negotiated_Cost]]</f>
        <v>408.98999999999978</v>
      </c>
      <c r="N104" s="18">
        <f>Table1[[#This Row],[Defective_Units]]/Table1[[#This Row],[Quantity]]</f>
        <v>1.1834319526627219E-2</v>
      </c>
      <c r="O104" s="26">
        <f>(Table1[[#This Row],[Unit_Cost]]-Table1[[#This Row],[Negotiated_Cost]])/Table1[[#This Row],[Unit_Cost]]</f>
        <v>3.5616502774497592E-2</v>
      </c>
    </row>
    <row r="105" spans="1:15" x14ac:dyDescent="0.25">
      <c r="A105" t="s">
        <v>140</v>
      </c>
      <c r="B105" t="s">
        <v>20</v>
      </c>
      <c r="C105" s="14" t="s">
        <v>13</v>
      </c>
      <c r="D105" s="1">
        <v>45077</v>
      </c>
      <c r="E105" s="13">
        <v>45082</v>
      </c>
      <c r="F105" s="14" t="s">
        <v>14</v>
      </c>
      <c r="G105">
        <v>89</v>
      </c>
      <c r="H105">
        <v>3802.92</v>
      </c>
      <c r="I105">
        <v>3616.14</v>
      </c>
      <c r="J105">
        <v>3</v>
      </c>
      <c r="K105" s="14" t="s">
        <v>15</v>
      </c>
      <c r="L105" s="14">
        <f>IF(OR(Table1[[#This Row],[Order_Status]]="Delivered",Table1[[#This Row],[Delivery_Date]]&lt;&gt;"Not Yet Delivered"),Table1[[#This Row],[Delivery_Date]]-Table1[[#This Row],[Order_Date]],"Not Applicable")</f>
        <v>5</v>
      </c>
      <c r="M105" s="14">
        <f>Table1[[#This Row],[Unit_Cost]]-Table1[[#This Row],[Negotiated_Cost]]</f>
        <v>186.7800000000002</v>
      </c>
      <c r="N105" s="18">
        <f>Table1[[#This Row],[Defective_Units]]/Table1[[#This Row],[Quantity]]</f>
        <v>3.3707865168539325E-2</v>
      </c>
      <c r="O105" s="26">
        <f>(Table1[[#This Row],[Unit_Cost]]-Table1[[#This Row],[Negotiated_Cost]])/Table1[[#This Row],[Unit_Cost]]</f>
        <v>4.9114890662964303E-2</v>
      </c>
    </row>
    <row r="106" spans="1:15" x14ac:dyDescent="0.25">
      <c r="A106" t="s">
        <v>141</v>
      </c>
      <c r="B106" t="s">
        <v>27</v>
      </c>
      <c r="C106" s="14" t="s">
        <v>42</v>
      </c>
      <c r="D106" s="1">
        <v>45312</v>
      </c>
      <c r="E106" s="13">
        <v>45318</v>
      </c>
      <c r="F106" s="14" t="s">
        <v>14</v>
      </c>
      <c r="G106">
        <v>199</v>
      </c>
      <c r="H106">
        <v>12372.63</v>
      </c>
      <c r="I106">
        <v>11829.27</v>
      </c>
      <c r="J106">
        <v>2</v>
      </c>
      <c r="K106" s="14" t="s">
        <v>15</v>
      </c>
      <c r="L106" s="14">
        <f>IF(OR(Table1[[#This Row],[Order_Status]]="Delivered",Table1[[#This Row],[Delivery_Date]]&lt;&gt;"Not Yet Delivered"),Table1[[#This Row],[Delivery_Date]]-Table1[[#This Row],[Order_Date]],"Not Applicable")</f>
        <v>6</v>
      </c>
      <c r="M106" s="14">
        <f>Table1[[#This Row],[Unit_Cost]]-Table1[[#This Row],[Negotiated_Cost]]</f>
        <v>543.35999999999876</v>
      </c>
      <c r="N106" s="18">
        <f>Table1[[#This Row],[Defective_Units]]/Table1[[#This Row],[Quantity]]</f>
        <v>1.0050251256281407E-2</v>
      </c>
      <c r="O106" s="26">
        <f>(Table1[[#This Row],[Unit_Cost]]-Table1[[#This Row],[Negotiated_Cost]])/Table1[[#This Row],[Unit_Cost]]</f>
        <v>4.3916289422701461E-2</v>
      </c>
    </row>
    <row r="107" spans="1:15" x14ac:dyDescent="0.25">
      <c r="A107" t="s">
        <v>142</v>
      </c>
      <c r="B107" t="s">
        <v>12</v>
      </c>
      <c r="C107" s="14" t="s">
        <v>24</v>
      </c>
      <c r="D107" s="1">
        <v>45432</v>
      </c>
      <c r="E107" s="14" t="s">
        <v>2057</v>
      </c>
      <c r="F107" s="14" t="s">
        <v>22</v>
      </c>
      <c r="G107">
        <v>346</v>
      </c>
      <c r="H107">
        <v>13565.62</v>
      </c>
      <c r="I107">
        <v>12844.67</v>
      </c>
      <c r="J107">
        <v>2</v>
      </c>
      <c r="K107" s="14" t="s">
        <v>15</v>
      </c>
      <c r="L107" s="14" t="str">
        <f>IF(OR(Table1[[#This Row],[Order_Status]]="Delivered",Table1[[#This Row],[Delivery_Date]]&lt;&gt;"Not Yet Delivered"),Table1[[#This Row],[Delivery_Date]]-Table1[[#This Row],[Order_Date]],"Not Applicable")</f>
        <v>Not Applicable</v>
      </c>
      <c r="M107" s="14">
        <f>Table1[[#This Row],[Unit_Cost]]-Table1[[#This Row],[Negotiated_Cost]]</f>
        <v>720.95000000000073</v>
      </c>
      <c r="N107" s="18">
        <f>Table1[[#This Row],[Defective_Units]]/Table1[[#This Row],[Quantity]]</f>
        <v>5.7803468208092483E-3</v>
      </c>
      <c r="O107" s="26">
        <f>(Table1[[#This Row],[Unit_Cost]]-Table1[[#This Row],[Negotiated_Cost]])/Table1[[#This Row],[Unit_Cost]]</f>
        <v>5.3145377800646099E-2</v>
      </c>
    </row>
    <row r="108" spans="1:15" x14ac:dyDescent="0.25">
      <c r="A108" t="s">
        <v>143</v>
      </c>
      <c r="B108" t="s">
        <v>27</v>
      </c>
      <c r="C108" s="14" t="s">
        <v>50</v>
      </c>
      <c r="D108" s="1">
        <v>45041</v>
      </c>
      <c r="E108" s="13">
        <v>45055</v>
      </c>
      <c r="F108" s="14" t="s">
        <v>14</v>
      </c>
      <c r="G108">
        <v>213</v>
      </c>
      <c r="H108">
        <v>51567.68</v>
      </c>
      <c r="I108">
        <v>50149.47</v>
      </c>
      <c r="J108">
        <v>1</v>
      </c>
      <c r="K108" s="14" t="s">
        <v>15</v>
      </c>
      <c r="L108" s="14">
        <f>IF(OR(Table1[[#This Row],[Order_Status]]="Delivered",Table1[[#This Row],[Delivery_Date]]&lt;&gt;"Not Yet Delivered"),Table1[[#This Row],[Delivery_Date]]-Table1[[#This Row],[Order_Date]],"Not Applicable")</f>
        <v>14</v>
      </c>
      <c r="M108" s="14">
        <f>Table1[[#This Row],[Unit_Cost]]-Table1[[#This Row],[Negotiated_Cost]]</f>
        <v>1418.2099999999991</v>
      </c>
      <c r="N108" s="18">
        <f>Table1[[#This Row],[Defective_Units]]/Table1[[#This Row],[Quantity]]</f>
        <v>4.6948356807511738E-3</v>
      </c>
      <c r="O108" s="26">
        <f>(Table1[[#This Row],[Unit_Cost]]-Table1[[#This Row],[Negotiated_Cost]])/Table1[[#This Row],[Unit_Cost]]</f>
        <v>2.7501915928736742E-2</v>
      </c>
    </row>
    <row r="109" spans="1:15" x14ac:dyDescent="0.25">
      <c r="A109" t="s">
        <v>144</v>
      </c>
      <c r="B109" t="s">
        <v>27</v>
      </c>
      <c r="C109" s="14" t="s">
        <v>44</v>
      </c>
      <c r="D109" s="1">
        <v>44955</v>
      </c>
      <c r="E109" s="14" t="s">
        <v>2057</v>
      </c>
      <c r="F109" s="14" t="s">
        <v>33</v>
      </c>
      <c r="G109">
        <v>113</v>
      </c>
      <c r="H109">
        <v>8868.9500000000007</v>
      </c>
      <c r="I109">
        <v>8700.36</v>
      </c>
      <c r="J109">
        <v>2</v>
      </c>
      <c r="K109" s="14" t="s">
        <v>15</v>
      </c>
      <c r="L109" s="14" t="str">
        <f>IF(OR(Table1[[#This Row],[Order_Status]]="Delivered",Table1[[#This Row],[Delivery_Date]]&lt;&gt;"Not Yet Delivered"),Table1[[#This Row],[Delivery_Date]]-Table1[[#This Row],[Order_Date]],"Not Applicable")</f>
        <v>Not Applicable</v>
      </c>
      <c r="M109" s="14">
        <f>Table1[[#This Row],[Unit_Cost]]-Table1[[#This Row],[Negotiated_Cost]]</f>
        <v>168.59000000000015</v>
      </c>
      <c r="N109" s="18">
        <f>Table1[[#This Row],[Defective_Units]]/Table1[[#This Row],[Quantity]]</f>
        <v>1.7699115044247787E-2</v>
      </c>
      <c r="O109" s="26">
        <f>(Table1[[#This Row],[Unit_Cost]]-Table1[[#This Row],[Negotiated_Cost]])/Table1[[#This Row],[Unit_Cost]]</f>
        <v>1.9009014595865365E-2</v>
      </c>
    </row>
    <row r="110" spans="1:15" x14ac:dyDescent="0.25">
      <c r="A110" t="s">
        <v>145</v>
      </c>
      <c r="B110" t="s">
        <v>20</v>
      </c>
      <c r="C110" s="14" t="s">
        <v>30</v>
      </c>
      <c r="D110" s="1">
        <v>44960</v>
      </c>
      <c r="E110" s="13">
        <v>44973</v>
      </c>
      <c r="F110" s="14" t="s">
        <v>14</v>
      </c>
      <c r="G110">
        <v>21</v>
      </c>
      <c r="H110">
        <v>854.18</v>
      </c>
      <c r="I110">
        <v>828.42</v>
      </c>
      <c r="J110">
        <v>0</v>
      </c>
      <c r="K110" s="14" t="s">
        <v>15</v>
      </c>
      <c r="L110" s="14">
        <f>IF(OR(Table1[[#This Row],[Order_Status]]="Delivered",Table1[[#This Row],[Delivery_Date]]&lt;&gt;"Not Yet Delivered"),Table1[[#This Row],[Delivery_Date]]-Table1[[#This Row],[Order_Date]],"Not Applicable")</f>
        <v>13</v>
      </c>
      <c r="M110" s="14">
        <f>Table1[[#This Row],[Unit_Cost]]-Table1[[#This Row],[Negotiated_Cost]]</f>
        <v>25.759999999999991</v>
      </c>
      <c r="N110" s="18">
        <f>Table1[[#This Row],[Defective_Units]]/Table1[[#This Row],[Quantity]]</f>
        <v>0</v>
      </c>
      <c r="O110" s="26">
        <f>(Table1[[#This Row],[Unit_Cost]]-Table1[[#This Row],[Negotiated_Cost]])/Table1[[#This Row],[Unit_Cost]]</f>
        <v>3.0157578028050285E-2</v>
      </c>
    </row>
    <row r="111" spans="1:15" x14ac:dyDescent="0.25">
      <c r="A111" t="s">
        <v>146</v>
      </c>
      <c r="B111" t="s">
        <v>17</v>
      </c>
      <c r="C111" s="14" t="s">
        <v>55</v>
      </c>
      <c r="D111" s="1">
        <v>45094</v>
      </c>
      <c r="E111" s="13">
        <v>45102</v>
      </c>
      <c r="F111" s="14" t="s">
        <v>14</v>
      </c>
      <c r="G111">
        <v>102</v>
      </c>
      <c r="H111">
        <v>13794.41</v>
      </c>
      <c r="I111">
        <v>13517.17</v>
      </c>
      <c r="J111">
        <v>1</v>
      </c>
      <c r="K111" s="14" t="s">
        <v>15</v>
      </c>
      <c r="L111" s="14">
        <f>IF(OR(Table1[[#This Row],[Order_Status]]="Delivered",Table1[[#This Row],[Delivery_Date]]&lt;&gt;"Not Yet Delivered"),Table1[[#This Row],[Delivery_Date]]-Table1[[#This Row],[Order_Date]],"Not Applicable")</f>
        <v>8</v>
      </c>
      <c r="M111" s="14">
        <f>Table1[[#This Row],[Unit_Cost]]-Table1[[#This Row],[Negotiated_Cost]]</f>
        <v>277.23999999999978</v>
      </c>
      <c r="N111" s="18">
        <f>Table1[[#This Row],[Defective_Units]]/Table1[[#This Row],[Quantity]]</f>
        <v>9.8039215686274508E-3</v>
      </c>
      <c r="O111" s="26">
        <f>(Table1[[#This Row],[Unit_Cost]]-Table1[[#This Row],[Negotiated_Cost]])/Table1[[#This Row],[Unit_Cost]]</f>
        <v>2.00979962173083E-2</v>
      </c>
    </row>
    <row r="112" spans="1:15" x14ac:dyDescent="0.25">
      <c r="A112" t="s">
        <v>147</v>
      </c>
      <c r="B112" t="s">
        <v>12</v>
      </c>
      <c r="C112" s="14" t="s">
        <v>28</v>
      </c>
      <c r="D112" s="1">
        <v>45289</v>
      </c>
      <c r="E112" s="13">
        <v>45316</v>
      </c>
      <c r="F112" s="14" t="s">
        <v>14</v>
      </c>
      <c r="G112">
        <v>197</v>
      </c>
      <c r="H112">
        <v>47876.77</v>
      </c>
      <c r="I112">
        <v>46736.78</v>
      </c>
      <c r="J112">
        <v>3</v>
      </c>
      <c r="K112" s="14" t="s">
        <v>15</v>
      </c>
      <c r="L112" s="14">
        <f>IF(OR(Table1[[#This Row],[Order_Status]]="Delivered",Table1[[#This Row],[Delivery_Date]]&lt;&gt;"Not Yet Delivered"),Table1[[#This Row],[Delivery_Date]]-Table1[[#This Row],[Order_Date]],"Not Applicable")</f>
        <v>27</v>
      </c>
      <c r="M112" s="14">
        <f>Table1[[#This Row],[Unit_Cost]]-Table1[[#This Row],[Negotiated_Cost]]</f>
        <v>1139.989999999998</v>
      </c>
      <c r="N112" s="18">
        <f>Table1[[#This Row],[Defective_Units]]/Table1[[#This Row],[Quantity]]</f>
        <v>1.5228426395939087E-2</v>
      </c>
      <c r="O112" s="26">
        <f>(Table1[[#This Row],[Unit_Cost]]-Table1[[#This Row],[Negotiated_Cost]])/Table1[[#This Row],[Unit_Cost]]</f>
        <v>2.3810921246358058E-2</v>
      </c>
    </row>
    <row r="113" spans="1:15" x14ac:dyDescent="0.25">
      <c r="A113" t="s">
        <v>148</v>
      </c>
      <c r="B113" t="s">
        <v>40</v>
      </c>
      <c r="C113" s="14" t="s">
        <v>42</v>
      </c>
      <c r="D113" s="1">
        <v>45153</v>
      </c>
      <c r="E113" s="13">
        <v>45176</v>
      </c>
      <c r="F113" s="14" t="s">
        <v>14</v>
      </c>
      <c r="G113">
        <v>314</v>
      </c>
      <c r="H113">
        <v>12922.75</v>
      </c>
      <c r="I113">
        <v>12661.97</v>
      </c>
      <c r="J113">
        <v>2</v>
      </c>
      <c r="K113" s="14" t="s">
        <v>15</v>
      </c>
      <c r="L113" s="14">
        <f>IF(OR(Table1[[#This Row],[Order_Status]]="Delivered",Table1[[#This Row],[Delivery_Date]]&lt;&gt;"Not Yet Delivered"),Table1[[#This Row],[Delivery_Date]]-Table1[[#This Row],[Order_Date]],"Not Applicable")</f>
        <v>23</v>
      </c>
      <c r="M113" s="14">
        <f>Table1[[#This Row],[Unit_Cost]]-Table1[[#This Row],[Negotiated_Cost]]</f>
        <v>260.78000000000065</v>
      </c>
      <c r="N113" s="18">
        <f>Table1[[#This Row],[Defective_Units]]/Table1[[#This Row],[Quantity]]</f>
        <v>6.369426751592357E-3</v>
      </c>
      <c r="O113" s="26">
        <f>(Table1[[#This Row],[Unit_Cost]]-Table1[[#This Row],[Negotiated_Cost]])/Table1[[#This Row],[Unit_Cost]]</f>
        <v>2.0179915265713617E-2</v>
      </c>
    </row>
    <row r="114" spans="1:15" x14ac:dyDescent="0.25">
      <c r="A114" t="s">
        <v>149</v>
      </c>
      <c r="B114" t="s">
        <v>17</v>
      </c>
      <c r="C114" s="14" t="s">
        <v>24</v>
      </c>
      <c r="D114" s="1">
        <v>45170</v>
      </c>
      <c r="E114" s="13">
        <v>45182</v>
      </c>
      <c r="F114" s="14" t="s">
        <v>14</v>
      </c>
      <c r="G114">
        <v>495</v>
      </c>
      <c r="H114">
        <v>12238.44</v>
      </c>
      <c r="I114">
        <v>12205.57</v>
      </c>
      <c r="J114">
        <v>4</v>
      </c>
      <c r="K114" s="14" t="s">
        <v>15</v>
      </c>
      <c r="L114" s="14">
        <f>IF(OR(Table1[[#This Row],[Order_Status]]="Delivered",Table1[[#This Row],[Delivery_Date]]&lt;&gt;"Not Yet Delivered"),Table1[[#This Row],[Delivery_Date]]-Table1[[#This Row],[Order_Date]],"Not Applicable")</f>
        <v>12</v>
      </c>
      <c r="M114" s="14">
        <f>Table1[[#This Row],[Unit_Cost]]-Table1[[#This Row],[Negotiated_Cost]]</f>
        <v>32.8700000000008</v>
      </c>
      <c r="N114" s="18">
        <f>Table1[[#This Row],[Defective_Units]]/Table1[[#This Row],[Quantity]]</f>
        <v>8.0808080808080808E-3</v>
      </c>
      <c r="O114" s="26">
        <f>(Table1[[#This Row],[Unit_Cost]]-Table1[[#This Row],[Negotiated_Cost]])/Table1[[#This Row],[Unit_Cost]]</f>
        <v>2.6857998241606607E-3</v>
      </c>
    </row>
    <row r="115" spans="1:15" x14ac:dyDescent="0.25">
      <c r="A115" t="s">
        <v>150</v>
      </c>
      <c r="B115" t="s">
        <v>20</v>
      </c>
      <c r="C115" s="14" t="s">
        <v>50</v>
      </c>
      <c r="D115" s="1">
        <v>45143</v>
      </c>
      <c r="E115" s="13">
        <v>45151</v>
      </c>
      <c r="F115" s="14" t="s">
        <v>14</v>
      </c>
      <c r="G115">
        <v>65</v>
      </c>
      <c r="H115">
        <v>51048.61</v>
      </c>
      <c r="I115">
        <v>49317.53</v>
      </c>
      <c r="J115">
        <v>0</v>
      </c>
      <c r="K115" s="14" t="s">
        <v>25</v>
      </c>
      <c r="L115" s="14">
        <f>IF(OR(Table1[[#This Row],[Order_Status]]="Delivered",Table1[[#This Row],[Delivery_Date]]&lt;&gt;"Not Yet Delivered"),Table1[[#This Row],[Delivery_Date]]-Table1[[#This Row],[Order_Date]],"Not Applicable")</f>
        <v>8</v>
      </c>
      <c r="M115" s="14">
        <f>Table1[[#This Row],[Unit_Cost]]-Table1[[#This Row],[Negotiated_Cost]]</f>
        <v>1731.0800000000017</v>
      </c>
      <c r="N115" s="18">
        <f>Table1[[#This Row],[Defective_Units]]/Table1[[#This Row],[Quantity]]</f>
        <v>0</v>
      </c>
      <c r="O115" s="26">
        <f>(Table1[[#This Row],[Unit_Cost]]-Table1[[#This Row],[Negotiated_Cost]])/Table1[[#This Row],[Unit_Cost]]</f>
        <v>3.3910423809776637E-2</v>
      </c>
    </row>
    <row r="116" spans="1:15" x14ac:dyDescent="0.25">
      <c r="A116" t="s">
        <v>151</v>
      </c>
      <c r="B116" t="s">
        <v>27</v>
      </c>
      <c r="C116" s="14" t="s">
        <v>55</v>
      </c>
      <c r="D116" s="1">
        <v>45450</v>
      </c>
      <c r="E116" s="13">
        <v>45468</v>
      </c>
      <c r="F116" s="14" t="s">
        <v>14</v>
      </c>
      <c r="G116">
        <v>279</v>
      </c>
      <c r="H116">
        <v>14460.95</v>
      </c>
      <c r="I116">
        <v>14293.87</v>
      </c>
      <c r="J116">
        <v>5</v>
      </c>
      <c r="K116" s="14" t="s">
        <v>15</v>
      </c>
      <c r="L116" s="14">
        <f>IF(OR(Table1[[#This Row],[Order_Status]]="Delivered",Table1[[#This Row],[Delivery_Date]]&lt;&gt;"Not Yet Delivered"),Table1[[#This Row],[Delivery_Date]]-Table1[[#This Row],[Order_Date]],"Not Applicable")</f>
        <v>18</v>
      </c>
      <c r="M116" s="14">
        <f>Table1[[#This Row],[Unit_Cost]]-Table1[[#This Row],[Negotiated_Cost]]</f>
        <v>167.07999999999993</v>
      </c>
      <c r="N116" s="18">
        <f>Table1[[#This Row],[Defective_Units]]/Table1[[#This Row],[Quantity]]</f>
        <v>1.7921146953405017E-2</v>
      </c>
      <c r="O116" s="26">
        <f>(Table1[[#This Row],[Unit_Cost]]-Table1[[#This Row],[Negotiated_Cost]])/Table1[[#This Row],[Unit_Cost]]</f>
        <v>1.1553874399676364E-2</v>
      </c>
    </row>
    <row r="117" spans="1:15" x14ac:dyDescent="0.25">
      <c r="A117" t="s">
        <v>152</v>
      </c>
      <c r="B117" t="s">
        <v>17</v>
      </c>
      <c r="C117" s="14" t="s">
        <v>18</v>
      </c>
      <c r="D117" s="1">
        <v>45587</v>
      </c>
      <c r="E117" s="14" t="s">
        <v>2057</v>
      </c>
      <c r="F117" s="14" t="s">
        <v>22</v>
      </c>
      <c r="G117">
        <v>85</v>
      </c>
      <c r="H117">
        <v>4981.1400000000003</v>
      </c>
      <c r="I117">
        <v>4889.17</v>
      </c>
      <c r="J117">
        <v>2</v>
      </c>
      <c r="K117" s="14" t="s">
        <v>15</v>
      </c>
      <c r="L117" s="14" t="str">
        <f>IF(OR(Table1[[#This Row],[Order_Status]]="Delivered",Table1[[#This Row],[Delivery_Date]]&lt;&gt;"Not Yet Delivered"),Table1[[#This Row],[Delivery_Date]]-Table1[[#This Row],[Order_Date]],"Not Applicable")</f>
        <v>Not Applicable</v>
      </c>
      <c r="M117" s="14">
        <f>Table1[[#This Row],[Unit_Cost]]-Table1[[#This Row],[Negotiated_Cost]]</f>
        <v>91.970000000000255</v>
      </c>
      <c r="N117" s="18">
        <f>Table1[[#This Row],[Defective_Units]]/Table1[[#This Row],[Quantity]]</f>
        <v>2.3529411764705882E-2</v>
      </c>
      <c r="O117" s="26">
        <f>(Table1[[#This Row],[Unit_Cost]]-Table1[[#This Row],[Negotiated_Cost]])/Table1[[#This Row],[Unit_Cost]]</f>
        <v>1.8463644868443818E-2</v>
      </c>
    </row>
    <row r="118" spans="1:15" x14ac:dyDescent="0.25">
      <c r="A118" t="s">
        <v>153</v>
      </c>
      <c r="B118" t="s">
        <v>40</v>
      </c>
      <c r="C118" s="14" t="s">
        <v>21</v>
      </c>
      <c r="D118" s="1">
        <v>45497</v>
      </c>
      <c r="E118" s="13">
        <v>45508</v>
      </c>
      <c r="F118" s="14" t="s">
        <v>14</v>
      </c>
      <c r="G118">
        <v>414</v>
      </c>
      <c r="H118">
        <v>122.63</v>
      </c>
      <c r="I118">
        <v>120.2</v>
      </c>
      <c r="J118">
        <v>9</v>
      </c>
      <c r="K118" s="14" t="s">
        <v>15</v>
      </c>
      <c r="L118" s="14">
        <f>IF(OR(Table1[[#This Row],[Order_Status]]="Delivered",Table1[[#This Row],[Delivery_Date]]&lt;&gt;"Not Yet Delivered"),Table1[[#This Row],[Delivery_Date]]-Table1[[#This Row],[Order_Date]],"Not Applicable")</f>
        <v>11</v>
      </c>
      <c r="M118" s="14">
        <f>Table1[[#This Row],[Unit_Cost]]-Table1[[#This Row],[Negotiated_Cost]]</f>
        <v>2.4299999999999926</v>
      </c>
      <c r="N118" s="18">
        <f>Table1[[#This Row],[Defective_Units]]/Table1[[#This Row],[Quantity]]</f>
        <v>2.1739130434782608E-2</v>
      </c>
      <c r="O118" s="26">
        <f>(Table1[[#This Row],[Unit_Cost]]-Table1[[#This Row],[Negotiated_Cost]])/Table1[[#This Row],[Unit_Cost]]</f>
        <v>1.9815705781619446E-2</v>
      </c>
    </row>
    <row r="119" spans="1:15" x14ac:dyDescent="0.25">
      <c r="A119" t="s">
        <v>154</v>
      </c>
      <c r="B119" t="s">
        <v>32</v>
      </c>
      <c r="C119" s="14" t="s">
        <v>13</v>
      </c>
      <c r="D119" s="1">
        <v>45261</v>
      </c>
      <c r="E119" s="14" t="s">
        <v>2057</v>
      </c>
      <c r="F119" s="14" t="s">
        <v>22</v>
      </c>
      <c r="G119">
        <v>121</v>
      </c>
      <c r="H119">
        <v>3971.12</v>
      </c>
      <c r="I119">
        <v>3778.74</v>
      </c>
      <c r="J119">
        <v>2</v>
      </c>
      <c r="K119" s="14" t="s">
        <v>25</v>
      </c>
      <c r="L119" s="14" t="str">
        <f>IF(OR(Table1[[#This Row],[Order_Status]]="Delivered",Table1[[#This Row],[Delivery_Date]]&lt;&gt;"Not Yet Delivered"),Table1[[#This Row],[Delivery_Date]]-Table1[[#This Row],[Order_Date]],"Not Applicable")</f>
        <v>Not Applicable</v>
      </c>
      <c r="M119" s="14">
        <f>Table1[[#This Row],[Unit_Cost]]-Table1[[#This Row],[Negotiated_Cost]]</f>
        <v>192.38000000000011</v>
      </c>
      <c r="N119" s="18">
        <f>Table1[[#This Row],[Defective_Units]]/Table1[[#This Row],[Quantity]]</f>
        <v>1.6528925619834711E-2</v>
      </c>
      <c r="O119" s="26">
        <f>(Table1[[#This Row],[Unit_Cost]]-Table1[[#This Row],[Negotiated_Cost]])/Table1[[#This Row],[Unit_Cost]]</f>
        <v>4.8444771248413572E-2</v>
      </c>
    </row>
    <row r="120" spans="1:15" x14ac:dyDescent="0.25">
      <c r="A120" t="s">
        <v>155</v>
      </c>
      <c r="B120" t="s">
        <v>40</v>
      </c>
      <c r="C120" s="14" t="s">
        <v>28</v>
      </c>
      <c r="D120" s="1">
        <v>45298</v>
      </c>
      <c r="E120" s="13">
        <v>45306</v>
      </c>
      <c r="F120" s="14" t="s">
        <v>14</v>
      </c>
      <c r="G120">
        <v>427</v>
      </c>
      <c r="H120">
        <v>51560.959999999999</v>
      </c>
      <c r="I120">
        <v>50083.54</v>
      </c>
      <c r="J120">
        <v>4</v>
      </c>
      <c r="K120" s="14" t="s">
        <v>15</v>
      </c>
      <c r="L120" s="14">
        <f>IF(OR(Table1[[#This Row],[Order_Status]]="Delivered",Table1[[#This Row],[Delivery_Date]]&lt;&gt;"Not Yet Delivered"),Table1[[#This Row],[Delivery_Date]]-Table1[[#This Row],[Order_Date]],"Not Applicable")</f>
        <v>8</v>
      </c>
      <c r="M120" s="14">
        <f>Table1[[#This Row],[Unit_Cost]]-Table1[[#This Row],[Negotiated_Cost]]</f>
        <v>1477.4199999999983</v>
      </c>
      <c r="N120" s="18">
        <f>Table1[[#This Row],[Defective_Units]]/Table1[[#This Row],[Quantity]]</f>
        <v>9.3676814988290398E-3</v>
      </c>
      <c r="O120" s="26">
        <f>(Table1[[#This Row],[Unit_Cost]]-Table1[[#This Row],[Negotiated_Cost]])/Table1[[#This Row],[Unit_Cost]]</f>
        <v>2.8653849734372638E-2</v>
      </c>
    </row>
    <row r="121" spans="1:15" x14ac:dyDescent="0.25">
      <c r="A121" t="s">
        <v>156</v>
      </c>
      <c r="B121" t="s">
        <v>17</v>
      </c>
      <c r="C121" s="14" t="s">
        <v>28</v>
      </c>
      <c r="D121" s="1">
        <v>45097</v>
      </c>
      <c r="E121" s="13">
        <v>45105</v>
      </c>
      <c r="F121" s="14" t="s">
        <v>14</v>
      </c>
      <c r="G121">
        <v>428</v>
      </c>
      <c r="H121">
        <v>44800.72</v>
      </c>
      <c r="I121">
        <v>43199.95</v>
      </c>
      <c r="J121">
        <v>7</v>
      </c>
      <c r="K121" s="14" t="s">
        <v>15</v>
      </c>
      <c r="L121" s="14">
        <f>IF(OR(Table1[[#This Row],[Order_Status]]="Delivered",Table1[[#This Row],[Delivery_Date]]&lt;&gt;"Not Yet Delivered"),Table1[[#This Row],[Delivery_Date]]-Table1[[#This Row],[Order_Date]],"Not Applicable")</f>
        <v>8</v>
      </c>
      <c r="M121" s="14">
        <f>Table1[[#This Row],[Unit_Cost]]-Table1[[#This Row],[Negotiated_Cost]]</f>
        <v>1600.7700000000041</v>
      </c>
      <c r="N121" s="18">
        <f>Table1[[#This Row],[Defective_Units]]/Table1[[#This Row],[Quantity]]</f>
        <v>1.6355140186915886E-2</v>
      </c>
      <c r="O121" s="26">
        <f>(Table1[[#This Row],[Unit_Cost]]-Table1[[#This Row],[Negotiated_Cost]])/Table1[[#This Row],[Unit_Cost]]</f>
        <v>3.5730898967695254E-2</v>
      </c>
    </row>
    <row r="122" spans="1:15" x14ac:dyDescent="0.25">
      <c r="A122" t="s">
        <v>157</v>
      </c>
      <c r="B122" t="s">
        <v>20</v>
      </c>
      <c r="C122" s="14" t="s">
        <v>28</v>
      </c>
      <c r="D122" s="1">
        <v>44942</v>
      </c>
      <c r="E122" s="13">
        <v>44966</v>
      </c>
      <c r="F122" s="14" t="s">
        <v>14</v>
      </c>
      <c r="G122">
        <v>497</v>
      </c>
      <c r="H122">
        <v>46720.68</v>
      </c>
      <c r="I122">
        <v>44570.48</v>
      </c>
      <c r="J122">
        <v>1</v>
      </c>
      <c r="K122" s="14" t="s">
        <v>15</v>
      </c>
      <c r="L122" s="14">
        <f>IF(OR(Table1[[#This Row],[Order_Status]]="Delivered",Table1[[#This Row],[Delivery_Date]]&lt;&gt;"Not Yet Delivered"),Table1[[#This Row],[Delivery_Date]]-Table1[[#This Row],[Order_Date]],"Not Applicable")</f>
        <v>24</v>
      </c>
      <c r="M122" s="14">
        <f>Table1[[#This Row],[Unit_Cost]]-Table1[[#This Row],[Negotiated_Cost]]</f>
        <v>2150.1999999999971</v>
      </c>
      <c r="N122" s="18">
        <f>Table1[[#This Row],[Defective_Units]]/Table1[[#This Row],[Quantity]]</f>
        <v>2.012072434607646E-3</v>
      </c>
      <c r="O122" s="26">
        <f>(Table1[[#This Row],[Unit_Cost]]-Table1[[#This Row],[Negotiated_Cost]])/Table1[[#This Row],[Unit_Cost]]</f>
        <v>4.6022446591102634E-2</v>
      </c>
    </row>
    <row r="123" spans="1:15" x14ac:dyDescent="0.25">
      <c r="A123" t="s">
        <v>158</v>
      </c>
      <c r="B123" t="s">
        <v>35</v>
      </c>
      <c r="C123" s="14" t="s">
        <v>28</v>
      </c>
      <c r="D123" s="1">
        <v>45534</v>
      </c>
      <c r="E123" s="13">
        <v>45564</v>
      </c>
      <c r="F123" s="14" t="s">
        <v>37</v>
      </c>
      <c r="G123">
        <v>231</v>
      </c>
      <c r="H123">
        <v>45523.37</v>
      </c>
      <c r="I123">
        <v>42817.88</v>
      </c>
      <c r="J123">
        <v>2</v>
      </c>
      <c r="K123" s="14" t="s">
        <v>15</v>
      </c>
      <c r="L123" s="14">
        <f>IF(OR(Table1[[#This Row],[Order_Status]]="Delivered",Table1[[#This Row],[Delivery_Date]]&lt;&gt;"Not Yet Delivered"),Table1[[#This Row],[Delivery_Date]]-Table1[[#This Row],[Order_Date]],"Not Applicable")</f>
        <v>30</v>
      </c>
      <c r="M123" s="14">
        <f>Table1[[#This Row],[Unit_Cost]]-Table1[[#This Row],[Negotiated_Cost]]</f>
        <v>2705.4900000000052</v>
      </c>
      <c r="N123" s="18">
        <f>Table1[[#This Row],[Defective_Units]]/Table1[[#This Row],[Quantity]]</f>
        <v>8.658008658008658E-3</v>
      </c>
      <c r="O123" s="26">
        <f>(Table1[[#This Row],[Unit_Cost]]-Table1[[#This Row],[Negotiated_Cost]])/Table1[[#This Row],[Unit_Cost]]</f>
        <v>5.9430793458393021E-2</v>
      </c>
    </row>
    <row r="124" spans="1:15" x14ac:dyDescent="0.25">
      <c r="A124" t="s">
        <v>159</v>
      </c>
      <c r="B124" t="s">
        <v>12</v>
      </c>
      <c r="C124" s="14" t="s">
        <v>18</v>
      </c>
      <c r="D124" s="1">
        <v>45165</v>
      </c>
      <c r="E124" s="13">
        <v>45173</v>
      </c>
      <c r="F124" s="14" t="s">
        <v>14</v>
      </c>
      <c r="G124">
        <v>381</v>
      </c>
      <c r="H124">
        <v>5635.77</v>
      </c>
      <c r="I124">
        <v>5438.89</v>
      </c>
      <c r="J124">
        <v>1</v>
      </c>
      <c r="K124" s="14" t="s">
        <v>15</v>
      </c>
      <c r="L124" s="14">
        <f>IF(OR(Table1[[#This Row],[Order_Status]]="Delivered",Table1[[#This Row],[Delivery_Date]]&lt;&gt;"Not Yet Delivered"),Table1[[#This Row],[Delivery_Date]]-Table1[[#This Row],[Order_Date]],"Not Applicable")</f>
        <v>8</v>
      </c>
      <c r="M124" s="14">
        <f>Table1[[#This Row],[Unit_Cost]]-Table1[[#This Row],[Negotiated_Cost]]</f>
        <v>196.88000000000011</v>
      </c>
      <c r="N124" s="18">
        <f>Table1[[#This Row],[Defective_Units]]/Table1[[#This Row],[Quantity]]</f>
        <v>2.6246719160104987E-3</v>
      </c>
      <c r="O124" s="26">
        <f>(Table1[[#This Row],[Unit_Cost]]-Table1[[#This Row],[Negotiated_Cost]])/Table1[[#This Row],[Unit_Cost]]</f>
        <v>3.4934001919879644E-2</v>
      </c>
    </row>
    <row r="125" spans="1:15" x14ac:dyDescent="0.25">
      <c r="A125" t="s">
        <v>160</v>
      </c>
      <c r="B125" t="s">
        <v>32</v>
      </c>
      <c r="C125" s="14" t="s">
        <v>18</v>
      </c>
      <c r="D125" s="1">
        <v>45250</v>
      </c>
      <c r="E125" s="14" t="s">
        <v>2057</v>
      </c>
      <c r="F125" s="14" t="s">
        <v>33</v>
      </c>
      <c r="G125">
        <v>150</v>
      </c>
      <c r="H125">
        <v>4631.07</v>
      </c>
      <c r="I125">
        <v>4364.8999999999996</v>
      </c>
      <c r="J125">
        <v>2</v>
      </c>
      <c r="K125" s="14" t="s">
        <v>15</v>
      </c>
      <c r="L125" s="14" t="str">
        <f>IF(OR(Table1[[#This Row],[Order_Status]]="Delivered",Table1[[#This Row],[Delivery_Date]]&lt;&gt;"Not Yet Delivered"),Table1[[#This Row],[Delivery_Date]]-Table1[[#This Row],[Order_Date]],"Not Applicable")</f>
        <v>Not Applicable</v>
      </c>
      <c r="M125" s="14">
        <f>Table1[[#This Row],[Unit_Cost]]-Table1[[#This Row],[Negotiated_Cost]]</f>
        <v>266.17000000000007</v>
      </c>
      <c r="N125" s="18">
        <f>Table1[[#This Row],[Defective_Units]]/Table1[[#This Row],[Quantity]]</f>
        <v>1.3333333333333334E-2</v>
      </c>
      <c r="O125" s="26">
        <f>(Table1[[#This Row],[Unit_Cost]]-Table1[[#This Row],[Negotiated_Cost]])/Table1[[#This Row],[Unit_Cost]]</f>
        <v>5.747483842826822E-2</v>
      </c>
    </row>
    <row r="126" spans="1:15" x14ac:dyDescent="0.25">
      <c r="A126" t="s">
        <v>161</v>
      </c>
      <c r="B126" t="s">
        <v>20</v>
      </c>
      <c r="C126" s="14" t="s">
        <v>50</v>
      </c>
      <c r="D126" s="1">
        <v>45270</v>
      </c>
      <c r="E126" s="13">
        <v>45300</v>
      </c>
      <c r="F126" s="14" t="s">
        <v>14</v>
      </c>
      <c r="G126">
        <v>456</v>
      </c>
      <c r="H126">
        <v>48232.23</v>
      </c>
      <c r="I126">
        <v>48087.42</v>
      </c>
      <c r="J126">
        <v>11</v>
      </c>
      <c r="K126" s="14" t="s">
        <v>15</v>
      </c>
      <c r="L126" s="14">
        <f>IF(OR(Table1[[#This Row],[Order_Status]]="Delivered",Table1[[#This Row],[Delivery_Date]]&lt;&gt;"Not Yet Delivered"),Table1[[#This Row],[Delivery_Date]]-Table1[[#This Row],[Order_Date]],"Not Applicable")</f>
        <v>30</v>
      </c>
      <c r="M126" s="14">
        <f>Table1[[#This Row],[Unit_Cost]]-Table1[[#This Row],[Negotiated_Cost]]</f>
        <v>144.81000000000495</v>
      </c>
      <c r="N126" s="18">
        <f>Table1[[#This Row],[Defective_Units]]/Table1[[#This Row],[Quantity]]</f>
        <v>2.4122807017543858E-2</v>
      </c>
      <c r="O126" s="26">
        <f>(Table1[[#This Row],[Unit_Cost]]-Table1[[#This Row],[Negotiated_Cost]])/Table1[[#This Row],[Unit_Cost]]</f>
        <v>3.0023492589914447E-3</v>
      </c>
    </row>
    <row r="127" spans="1:15" x14ac:dyDescent="0.25">
      <c r="A127" t="s">
        <v>162</v>
      </c>
      <c r="B127" t="s">
        <v>17</v>
      </c>
      <c r="C127" s="14" t="s">
        <v>18</v>
      </c>
      <c r="D127" s="1">
        <v>44988</v>
      </c>
      <c r="E127" s="13">
        <v>44993</v>
      </c>
      <c r="F127" s="14" t="s">
        <v>14</v>
      </c>
      <c r="G127">
        <v>337</v>
      </c>
      <c r="H127">
        <v>5174.9399999999996</v>
      </c>
      <c r="I127">
        <v>5095.25</v>
      </c>
      <c r="J127">
        <v>7</v>
      </c>
      <c r="K127" s="14" t="s">
        <v>15</v>
      </c>
      <c r="L127" s="14">
        <f>IF(OR(Table1[[#This Row],[Order_Status]]="Delivered",Table1[[#This Row],[Delivery_Date]]&lt;&gt;"Not Yet Delivered"),Table1[[#This Row],[Delivery_Date]]-Table1[[#This Row],[Order_Date]],"Not Applicable")</f>
        <v>5</v>
      </c>
      <c r="M127" s="14">
        <f>Table1[[#This Row],[Unit_Cost]]-Table1[[#This Row],[Negotiated_Cost]]</f>
        <v>79.6899999999996</v>
      </c>
      <c r="N127" s="18">
        <f>Table1[[#This Row],[Defective_Units]]/Table1[[#This Row],[Quantity]]</f>
        <v>2.0771513353115726E-2</v>
      </c>
      <c r="O127" s="26">
        <f>(Table1[[#This Row],[Unit_Cost]]-Table1[[#This Row],[Negotiated_Cost]])/Table1[[#This Row],[Unit_Cost]]</f>
        <v>1.5399212358017601E-2</v>
      </c>
    </row>
    <row r="128" spans="1:15" x14ac:dyDescent="0.25">
      <c r="A128" t="s">
        <v>163</v>
      </c>
      <c r="B128" t="s">
        <v>17</v>
      </c>
      <c r="C128" s="14" t="s">
        <v>44</v>
      </c>
      <c r="D128" s="1">
        <v>45152</v>
      </c>
      <c r="E128" s="13">
        <v>45156</v>
      </c>
      <c r="F128" s="14" t="s">
        <v>37</v>
      </c>
      <c r="G128">
        <v>317</v>
      </c>
      <c r="H128">
        <v>7722</v>
      </c>
      <c r="I128">
        <v>7345.06</v>
      </c>
      <c r="J128">
        <v>6</v>
      </c>
      <c r="K128" s="14" t="s">
        <v>15</v>
      </c>
      <c r="L128" s="14">
        <f>IF(OR(Table1[[#This Row],[Order_Status]]="Delivered",Table1[[#This Row],[Delivery_Date]]&lt;&gt;"Not Yet Delivered"),Table1[[#This Row],[Delivery_Date]]-Table1[[#This Row],[Order_Date]],"Not Applicable")</f>
        <v>4</v>
      </c>
      <c r="M128" s="14">
        <f>Table1[[#This Row],[Unit_Cost]]-Table1[[#This Row],[Negotiated_Cost]]</f>
        <v>376.9399999999996</v>
      </c>
      <c r="N128" s="18">
        <f>Table1[[#This Row],[Defective_Units]]/Table1[[#This Row],[Quantity]]</f>
        <v>1.8927444794952682E-2</v>
      </c>
      <c r="O128" s="26">
        <f>(Table1[[#This Row],[Unit_Cost]]-Table1[[#This Row],[Negotiated_Cost]])/Table1[[#This Row],[Unit_Cost]]</f>
        <v>4.8813778813778762E-2</v>
      </c>
    </row>
    <row r="129" spans="1:15" x14ac:dyDescent="0.25">
      <c r="A129" t="s">
        <v>164</v>
      </c>
      <c r="B129" t="s">
        <v>17</v>
      </c>
      <c r="C129" s="14" t="s">
        <v>48</v>
      </c>
      <c r="D129" s="1">
        <v>44946</v>
      </c>
      <c r="E129" s="13">
        <v>44950</v>
      </c>
      <c r="F129" s="14" t="s">
        <v>37</v>
      </c>
      <c r="G129">
        <v>382</v>
      </c>
      <c r="H129">
        <v>6128.35</v>
      </c>
      <c r="I129">
        <v>5856.34</v>
      </c>
      <c r="J129">
        <v>3</v>
      </c>
      <c r="K129" s="14" t="s">
        <v>15</v>
      </c>
      <c r="L129" s="14">
        <f>IF(OR(Table1[[#This Row],[Order_Status]]="Delivered",Table1[[#This Row],[Delivery_Date]]&lt;&gt;"Not Yet Delivered"),Table1[[#This Row],[Delivery_Date]]-Table1[[#This Row],[Order_Date]],"Not Applicable")</f>
        <v>4</v>
      </c>
      <c r="M129" s="14">
        <f>Table1[[#This Row],[Unit_Cost]]-Table1[[#This Row],[Negotiated_Cost]]</f>
        <v>272.01000000000022</v>
      </c>
      <c r="N129" s="18">
        <f>Table1[[#This Row],[Defective_Units]]/Table1[[#This Row],[Quantity]]</f>
        <v>7.8534031413612562E-3</v>
      </c>
      <c r="O129" s="26">
        <f>(Table1[[#This Row],[Unit_Cost]]-Table1[[#This Row],[Negotiated_Cost]])/Table1[[#This Row],[Unit_Cost]]</f>
        <v>4.4385519756541356E-2</v>
      </c>
    </row>
    <row r="130" spans="1:15" x14ac:dyDescent="0.25">
      <c r="A130" t="s">
        <v>165</v>
      </c>
      <c r="B130" t="s">
        <v>46</v>
      </c>
      <c r="C130" s="14" t="s">
        <v>55</v>
      </c>
      <c r="D130" s="1">
        <v>45046</v>
      </c>
      <c r="E130" s="14" t="s">
        <v>2057</v>
      </c>
      <c r="F130" s="14" t="s">
        <v>33</v>
      </c>
      <c r="G130">
        <v>385</v>
      </c>
      <c r="H130">
        <v>14418.69</v>
      </c>
      <c r="I130">
        <v>14066.53</v>
      </c>
      <c r="J130">
        <v>2</v>
      </c>
      <c r="K130" s="14" t="s">
        <v>15</v>
      </c>
      <c r="L130" s="14" t="str">
        <f>IF(OR(Table1[[#This Row],[Order_Status]]="Delivered",Table1[[#This Row],[Delivery_Date]]&lt;&gt;"Not Yet Delivered"),Table1[[#This Row],[Delivery_Date]]-Table1[[#This Row],[Order_Date]],"Not Applicable")</f>
        <v>Not Applicable</v>
      </c>
      <c r="M130" s="14">
        <f>Table1[[#This Row],[Unit_Cost]]-Table1[[#This Row],[Negotiated_Cost]]</f>
        <v>352.15999999999985</v>
      </c>
      <c r="N130" s="18">
        <f>Table1[[#This Row],[Defective_Units]]/Table1[[#This Row],[Quantity]]</f>
        <v>5.1948051948051948E-3</v>
      </c>
      <c r="O130" s="26">
        <f>(Table1[[#This Row],[Unit_Cost]]-Table1[[#This Row],[Negotiated_Cost]])/Table1[[#This Row],[Unit_Cost]]</f>
        <v>2.4423855426533189E-2</v>
      </c>
    </row>
    <row r="131" spans="1:15" x14ac:dyDescent="0.25">
      <c r="A131" t="s">
        <v>166</v>
      </c>
      <c r="B131" t="s">
        <v>17</v>
      </c>
      <c r="C131" s="14" t="s">
        <v>18</v>
      </c>
      <c r="D131" s="1">
        <v>45561</v>
      </c>
      <c r="E131" s="14" t="s">
        <v>2057</v>
      </c>
      <c r="F131" s="14" t="s">
        <v>33</v>
      </c>
      <c r="G131">
        <v>480</v>
      </c>
      <c r="H131">
        <v>4874.32</v>
      </c>
      <c r="I131">
        <v>4594.84</v>
      </c>
      <c r="J131">
        <v>2</v>
      </c>
      <c r="K131" s="14" t="s">
        <v>15</v>
      </c>
      <c r="L131" s="14" t="str">
        <f>IF(OR(Table1[[#This Row],[Order_Status]]="Delivered",Table1[[#This Row],[Delivery_Date]]&lt;&gt;"Not Yet Delivered"),Table1[[#This Row],[Delivery_Date]]-Table1[[#This Row],[Order_Date]],"Not Applicable")</f>
        <v>Not Applicable</v>
      </c>
      <c r="M131" s="14">
        <f>Table1[[#This Row],[Unit_Cost]]-Table1[[#This Row],[Negotiated_Cost]]</f>
        <v>279.47999999999956</v>
      </c>
      <c r="N131" s="18">
        <f>Table1[[#This Row],[Defective_Units]]/Table1[[#This Row],[Quantity]]</f>
        <v>4.1666666666666666E-3</v>
      </c>
      <c r="O131" s="26">
        <f>(Table1[[#This Row],[Unit_Cost]]-Table1[[#This Row],[Negotiated_Cost]])/Table1[[#This Row],[Unit_Cost]]</f>
        <v>5.7337228577524574E-2</v>
      </c>
    </row>
    <row r="132" spans="1:15" x14ac:dyDescent="0.25">
      <c r="A132" t="s">
        <v>167</v>
      </c>
      <c r="B132" t="s">
        <v>20</v>
      </c>
      <c r="C132" s="14" t="s">
        <v>18</v>
      </c>
      <c r="D132" s="1">
        <v>45187</v>
      </c>
      <c r="E132" s="13">
        <v>45203</v>
      </c>
      <c r="F132" s="14" t="s">
        <v>14</v>
      </c>
      <c r="G132">
        <v>399</v>
      </c>
      <c r="H132">
        <v>4744.59</v>
      </c>
      <c r="I132">
        <v>4576.1899999999996</v>
      </c>
      <c r="J132">
        <v>2</v>
      </c>
      <c r="K132" s="14" t="s">
        <v>15</v>
      </c>
      <c r="L132" s="14">
        <f>IF(OR(Table1[[#This Row],[Order_Status]]="Delivered",Table1[[#This Row],[Delivery_Date]]&lt;&gt;"Not Yet Delivered"),Table1[[#This Row],[Delivery_Date]]-Table1[[#This Row],[Order_Date]],"Not Applicable")</f>
        <v>16</v>
      </c>
      <c r="M132" s="14">
        <f>Table1[[#This Row],[Unit_Cost]]-Table1[[#This Row],[Negotiated_Cost]]</f>
        <v>168.40000000000055</v>
      </c>
      <c r="N132" s="18">
        <f>Table1[[#This Row],[Defective_Units]]/Table1[[#This Row],[Quantity]]</f>
        <v>5.0125313283208017E-3</v>
      </c>
      <c r="O132" s="26">
        <f>(Table1[[#This Row],[Unit_Cost]]-Table1[[#This Row],[Negotiated_Cost]])/Table1[[#This Row],[Unit_Cost]]</f>
        <v>3.549305630201989E-2</v>
      </c>
    </row>
    <row r="133" spans="1:15" x14ac:dyDescent="0.25">
      <c r="A133" t="s">
        <v>168</v>
      </c>
      <c r="B133" t="s">
        <v>12</v>
      </c>
      <c r="C133" s="14" t="s">
        <v>36</v>
      </c>
      <c r="D133" s="1">
        <v>45614</v>
      </c>
      <c r="E133" s="13">
        <v>45633</v>
      </c>
      <c r="F133" s="14" t="s">
        <v>14</v>
      </c>
      <c r="G133">
        <v>465</v>
      </c>
      <c r="H133">
        <v>604.84</v>
      </c>
      <c r="I133">
        <v>604.53</v>
      </c>
      <c r="J133">
        <v>5</v>
      </c>
      <c r="K133" s="14" t="s">
        <v>15</v>
      </c>
      <c r="L133" s="14">
        <f>IF(OR(Table1[[#This Row],[Order_Status]]="Delivered",Table1[[#This Row],[Delivery_Date]]&lt;&gt;"Not Yet Delivered"),Table1[[#This Row],[Delivery_Date]]-Table1[[#This Row],[Order_Date]],"Not Applicable")</f>
        <v>19</v>
      </c>
      <c r="M133" s="14">
        <f>Table1[[#This Row],[Unit_Cost]]-Table1[[#This Row],[Negotiated_Cost]]</f>
        <v>0.31000000000005912</v>
      </c>
      <c r="N133" s="18">
        <f>Table1[[#This Row],[Defective_Units]]/Table1[[#This Row],[Quantity]]</f>
        <v>1.0752688172043012E-2</v>
      </c>
      <c r="O133" s="26">
        <f>(Table1[[#This Row],[Unit_Cost]]-Table1[[#This Row],[Negotiated_Cost]])/Table1[[#This Row],[Unit_Cost]]</f>
        <v>5.1253223993131918E-4</v>
      </c>
    </row>
    <row r="134" spans="1:15" x14ac:dyDescent="0.25">
      <c r="A134" t="s">
        <v>169</v>
      </c>
      <c r="B134" t="s">
        <v>35</v>
      </c>
      <c r="C134" s="14" t="s">
        <v>18</v>
      </c>
      <c r="D134" s="1">
        <v>44966</v>
      </c>
      <c r="E134" s="13">
        <v>44991</v>
      </c>
      <c r="F134" s="14" t="s">
        <v>37</v>
      </c>
      <c r="G134">
        <v>351</v>
      </c>
      <c r="H134">
        <v>5427.44</v>
      </c>
      <c r="I134">
        <v>5340.79</v>
      </c>
      <c r="J134">
        <v>7</v>
      </c>
      <c r="K134" s="14" t="s">
        <v>15</v>
      </c>
      <c r="L134" s="14">
        <f>IF(OR(Table1[[#This Row],[Order_Status]]="Delivered",Table1[[#This Row],[Delivery_Date]]&lt;&gt;"Not Yet Delivered"),Table1[[#This Row],[Delivery_Date]]-Table1[[#This Row],[Order_Date]],"Not Applicable")</f>
        <v>25</v>
      </c>
      <c r="M134" s="14">
        <f>Table1[[#This Row],[Unit_Cost]]-Table1[[#This Row],[Negotiated_Cost]]</f>
        <v>86.649999999999636</v>
      </c>
      <c r="N134" s="18">
        <f>Table1[[#This Row],[Defective_Units]]/Table1[[#This Row],[Quantity]]</f>
        <v>1.9943019943019943E-2</v>
      </c>
      <c r="O134" s="26">
        <f>(Table1[[#This Row],[Unit_Cost]]-Table1[[#This Row],[Negotiated_Cost]])/Table1[[#This Row],[Unit_Cost]]</f>
        <v>1.5965169582712962E-2</v>
      </c>
    </row>
    <row r="135" spans="1:15" x14ac:dyDescent="0.25">
      <c r="A135" t="s">
        <v>170</v>
      </c>
      <c r="B135" t="s">
        <v>46</v>
      </c>
      <c r="C135" s="14" t="s">
        <v>48</v>
      </c>
      <c r="D135" s="1">
        <v>45289</v>
      </c>
      <c r="E135" s="13">
        <v>45317</v>
      </c>
      <c r="F135" s="14" t="s">
        <v>37</v>
      </c>
      <c r="G135">
        <v>49</v>
      </c>
      <c r="H135">
        <v>6587.49</v>
      </c>
      <c r="I135">
        <v>6461.07</v>
      </c>
      <c r="J135">
        <v>1</v>
      </c>
      <c r="K135" s="14" t="s">
        <v>15</v>
      </c>
      <c r="L135" s="14">
        <f>IF(OR(Table1[[#This Row],[Order_Status]]="Delivered",Table1[[#This Row],[Delivery_Date]]&lt;&gt;"Not Yet Delivered"),Table1[[#This Row],[Delivery_Date]]-Table1[[#This Row],[Order_Date]],"Not Applicable")</f>
        <v>28</v>
      </c>
      <c r="M135" s="14">
        <f>Table1[[#This Row],[Unit_Cost]]-Table1[[#This Row],[Negotiated_Cost]]</f>
        <v>126.42000000000007</v>
      </c>
      <c r="N135" s="18">
        <f>Table1[[#This Row],[Defective_Units]]/Table1[[#This Row],[Quantity]]</f>
        <v>2.0408163265306121E-2</v>
      </c>
      <c r="O135" s="26">
        <f>(Table1[[#This Row],[Unit_Cost]]-Table1[[#This Row],[Negotiated_Cost]])/Table1[[#This Row],[Unit_Cost]]</f>
        <v>1.9190920972935076E-2</v>
      </c>
    </row>
    <row r="136" spans="1:15" x14ac:dyDescent="0.25">
      <c r="A136" t="s">
        <v>171</v>
      </c>
      <c r="B136" t="s">
        <v>40</v>
      </c>
      <c r="C136" s="14" t="s">
        <v>24</v>
      </c>
      <c r="D136" s="1">
        <v>45461</v>
      </c>
      <c r="E136" s="13">
        <v>45469</v>
      </c>
      <c r="F136" s="14" t="s">
        <v>14</v>
      </c>
      <c r="G136">
        <v>430</v>
      </c>
      <c r="H136">
        <v>12898.77</v>
      </c>
      <c r="I136">
        <v>12384.2</v>
      </c>
      <c r="J136">
        <v>10</v>
      </c>
      <c r="K136" s="14" t="s">
        <v>15</v>
      </c>
      <c r="L136" s="14">
        <f>IF(OR(Table1[[#This Row],[Order_Status]]="Delivered",Table1[[#This Row],[Delivery_Date]]&lt;&gt;"Not Yet Delivered"),Table1[[#This Row],[Delivery_Date]]-Table1[[#This Row],[Order_Date]],"Not Applicable")</f>
        <v>8</v>
      </c>
      <c r="M136" s="14">
        <f>Table1[[#This Row],[Unit_Cost]]-Table1[[#This Row],[Negotiated_Cost]]</f>
        <v>514.56999999999971</v>
      </c>
      <c r="N136" s="18">
        <f>Table1[[#This Row],[Defective_Units]]/Table1[[#This Row],[Quantity]]</f>
        <v>2.3255813953488372E-2</v>
      </c>
      <c r="O136" s="26">
        <f>(Table1[[#This Row],[Unit_Cost]]-Table1[[#This Row],[Negotiated_Cost]])/Table1[[#This Row],[Unit_Cost]]</f>
        <v>3.9892951033315555E-2</v>
      </c>
    </row>
    <row r="137" spans="1:15" x14ac:dyDescent="0.25">
      <c r="A137" t="s">
        <v>172</v>
      </c>
      <c r="B137" t="s">
        <v>27</v>
      </c>
      <c r="C137" s="14" t="s">
        <v>13</v>
      </c>
      <c r="D137" s="1">
        <v>45150</v>
      </c>
      <c r="E137" s="13">
        <v>45168</v>
      </c>
      <c r="F137" s="14" t="s">
        <v>14</v>
      </c>
      <c r="G137">
        <v>17</v>
      </c>
      <c r="H137">
        <v>4344.1099999999997</v>
      </c>
      <c r="I137">
        <v>4339.21</v>
      </c>
      <c r="J137">
        <v>0</v>
      </c>
      <c r="K137" s="14" t="s">
        <v>15</v>
      </c>
      <c r="L137" s="14">
        <f>IF(OR(Table1[[#This Row],[Order_Status]]="Delivered",Table1[[#This Row],[Delivery_Date]]&lt;&gt;"Not Yet Delivered"),Table1[[#This Row],[Delivery_Date]]-Table1[[#This Row],[Order_Date]],"Not Applicable")</f>
        <v>18</v>
      </c>
      <c r="M137" s="14">
        <f>Table1[[#This Row],[Unit_Cost]]-Table1[[#This Row],[Negotiated_Cost]]</f>
        <v>4.8999999999996362</v>
      </c>
      <c r="N137" s="18">
        <f>Table1[[#This Row],[Defective_Units]]/Table1[[#This Row],[Quantity]]</f>
        <v>0</v>
      </c>
      <c r="O137" s="26">
        <f>(Table1[[#This Row],[Unit_Cost]]-Table1[[#This Row],[Negotiated_Cost]])/Table1[[#This Row],[Unit_Cost]]</f>
        <v>1.1279640708913071E-3</v>
      </c>
    </row>
    <row r="138" spans="1:15" x14ac:dyDescent="0.25">
      <c r="A138" t="s">
        <v>173</v>
      </c>
      <c r="B138" t="s">
        <v>17</v>
      </c>
      <c r="C138" s="14" t="s">
        <v>55</v>
      </c>
      <c r="D138" s="1">
        <v>45340</v>
      </c>
      <c r="E138" s="13">
        <v>45369</v>
      </c>
      <c r="F138" s="14" t="s">
        <v>14</v>
      </c>
      <c r="G138">
        <v>459</v>
      </c>
      <c r="H138">
        <v>13697.5</v>
      </c>
      <c r="I138">
        <v>13667.08</v>
      </c>
      <c r="J138">
        <v>5</v>
      </c>
      <c r="K138" s="14" t="s">
        <v>25</v>
      </c>
      <c r="L138" s="14">
        <f>IF(OR(Table1[[#This Row],[Order_Status]]="Delivered",Table1[[#This Row],[Delivery_Date]]&lt;&gt;"Not Yet Delivered"),Table1[[#This Row],[Delivery_Date]]-Table1[[#This Row],[Order_Date]],"Not Applicable")</f>
        <v>29</v>
      </c>
      <c r="M138" s="14">
        <f>Table1[[#This Row],[Unit_Cost]]-Table1[[#This Row],[Negotiated_Cost]]</f>
        <v>30.420000000000073</v>
      </c>
      <c r="N138" s="18">
        <f>Table1[[#This Row],[Defective_Units]]/Table1[[#This Row],[Quantity]]</f>
        <v>1.0893246187363835E-2</v>
      </c>
      <c r="O138" s="26">
        <f>(Table1[[#This Row],[Unit_Cost]]-Table1[[#This Row],[Negotiated_Cost]])/Table1[[#This Row],[Unit_Cost]]</f>
        <v>2.2208432195656193E-3</v>
      </c>
    </row>
    <row r="139" spans="1:15" x14ac:dyDescent="0.25">
      <c r="A139" t="s">
        <v>174</v>
      </c>
      <c r="B139" t="s">
        <v>27</v>
      </c>
      <c r="C139" s="14" t="s">
        <v>30</v>
      </c>
      <c r="D139" s="1">
        <v>45250</v>
      </c>
      <c r="E139" s="13">
        <v>45268</v>
      </c>
      <c r="F139" s="14" t="s">
        <v>14</v>
      </c>
      <c r="G139">
        <v>223</v>
      </c>
      <c r="H139">
        <v>881.25</v>
      </c>
      <c r="I139">
        <v>869.14</v>
      </c>
      <c r="J139">
        <v>2</v>
      </c>
      <c r="K139" s="14" t="s">
        <v>15</v>
      </c>
      <c r="L139" s="14">
        <f>IF(OR(Table1[[#This Row],[Order_Status]]="Delivered",Table1[[#This Row],[Delivery_Date]]&lt;&gt;"Not Yet Delivered"),Table1[[#This Row],[Delivery_Date]]-Table1[[#This Row],[Order_Date]],"Not Applicable")</f>
        <v>18</v>
      </c>
      <c r="M139" s="14">
        <f>Table1[[#This Row],[Unit_Cost]]-Table1[[#This Row],[Negotiated_Cost]]</f>
        <v>12.110000000000014</v>
      </c>
      <c r="N139" s="18">
        <f>Table1[[#This Row],[Defective_Units]]/Table1[[#This Row],[Quantity]]</f>
        <v>8.9686098654708519E-3</v>
      </c>
      <c r="O139" s="26">
        <f>(Table1[[#This Row],[Unit_Cost]]-Table1[[#This Row],[Negotiated_Cost]])/Table1[[#This Row],[Unit_Cost]]</f>
        <v>1.3741843971631222E-2</v>
      </c>
    </row>
    <row r="140" spans="1:15" x14ac:dyDescent="0.25">
      <c r="A140" t="s">
        <v>175</v>
      </c>
      <c r="B140" t="s">
        <v>32</v>
      </c>
      <c r="C140" s="14" t="s">
        <v>28</v>
      </c>
      <c r="D140" s="1">
        <v>45630</v>
      </c>
      <c r="E140" s="13">
        <v>45634</v>
      </c>
      <c r="F140" s="14" t="s">
        <v>14</v>
      </c>
      <c r="G140">
        <v>179</v>
      </c>
      <c r="H140">
        <v>46644.68</v>
      </c>
      <c r="I140">
        <v>45944.04</v>
      </c>
      <c r="J140">
        <v>0</v>
      </c>
      <c r="K140" s="14" t="s">
        <v>15</v>
      </c>
      <c r="L140" s="14">
        <f>IF(OR(Table1[[#This Row],[Order_Status]]="Delivered",Table1[[#This Row],[Delivery_Date]]&lt;&gt;"Not Yet Delivered"),Table1[[#This Row],[Delivery_Date]]-Table1[[#This Row],[Order_Date]],"Not Applicable")</f>
        <v>4</v>
      </c>
      <c r="M140" s="14">
        <f>Table1[[#This Row],[Unit_Cost]]-Table1[[#This Row],[Negotiated_Cost]]</f>
        <v>700.63999999999942</v>
      </c>
      <c r="N140" s="18">
        <f>Table1[[#This Row],[Defective_Units]]/Table1[[#This Row],[Quantity]]</f>
        <v>0</v>
      </c>
      <c r="O140" s="26">
        <f>(Table1[[#This Row],[Unit_Cost]]-Table1[[#This Row],[Negotiated_Cost]])/Table1[[#This Row],[Unit_Cost]]</f>
        <v>1.5020791224208192E-2</v>
      </c>
    </row>
    <row r="141" spans="1:15" x14ac:dyDescent="0.25">
      <c r="A141" t="s">
        <v>176</v>
      </c>
      <c r="B141" t="s">
        <v>17</v>
      </c>
      <c r="C141" s="14" t="s">
        <v>24</v>
      </c>
      <c r="D141" s="1">
        <v>45496</v>
      </c>
      <c r="E141" s="14" t="s">
        <v>2057</v>
      </c>
      <c r="F141" s="14" t="s">
        <v>22</v>
      </c>
      <c r="G141">
        <v>475</v>
      </c>
      <c r="H141">
        <v>11673.72</v>
      </c>
      <c r="I141">
        <v>11164.95</v>
      </c>
      <c r="J141">
        <v>2</v>
      </c>
      <c r="K141" s="14" t="s">
        <v>15</v>
      </c>
      <c r="L141" s="14" t="str">
        <f>IF(OR(Table1[[#This Row],[Order_Status]]="Delivered",Table1[[#This Row],[Delivery_Date]]&lt;&gt;"Not Yet Delivered"),Table1[[#This Row],[Delivery_Date]]-Table1[[#This Row],[Order_Date]],"Not Applicable")</f>
        <v>Not Applicable</v>
      </c>
      <c r="M141" s="14">
        <f>Table1[[#This Row],[Unit_Cost]]-Table1[[#This Row],[Negotiated_Cost]]</f>
        <v>508.76999999999862</v>
      </c>
      <c r="N141" s="18">
        <f>Table1[[#This Row],[Defective_Units]]/Table1[[#This Row],[Quantity]]</f>
        <v>4.2105263157894736E-3</v>
      </c>
      <c r="O141" s="26">
        <f>(Table1[[#This Row],[Unit_Cost]]-Table1[[#This Row],[Negotiated_Cost]])/Table1[[#This Row],[Unit_Cost]]</f>
        <v>4.3582508403490802E-2</v>
      </c>
    </row>
    <row r="142" spans="1:15" x14ac:dyDescent="0.25">
      <c r="A142" t="s">
        <v>177</v>
      </c>
      <c r="B142" t="s">
        <v>40</v>
      </c>
      <c r="C142" s="14" t="s">
        <v>48</v>
      </c>
      <c r="D142" s="1">
        <v>45197</v>
      </c>
      <c r="E142" s="13">
        <v>45200</v>
      </c>
      <c r="F142" s="14" t="s">
        <v>37</v>
      </c>
      <c r="G142">
        <v>379</v>
      </c>
      <c r="H142">
        <v>7294.56</v>
      </c>
      <c r="I142">
        <v>6987.48</v>
      </c>
      <c r="J142">
        <v>1</v>
      </c>
      <c r="K142" s="14" t="s">
        <v>15</v>
      </c>
      <c r="L142" s="14">
        <f>IF(OR(Table1[[#This Row],[Order_Status]]="Delivered",Table1[[#This Row],[Delivery_Date]]&lt;&gt;"Not Yet Delivered"),Table1[[#This Row],[Delivery_Date]]-Table1[[#This Row],[Order_Date]],"Not Applicable")</f>
        <v>3</v>
      </c>
      <c r="M142" s="14">
        <f>Table1[[#This Row],[Unit_Cost]]-Table1[[#This Row],[Negotiated_Cost]]</f>
        <v>307.08000000000084</v>
      </c>
      <c r="N142" s="18">
        <f>Table1[[#This Row],[Defective_Units]]/Table1[[#This Row],[Quantity]]</f>
        <v>2.6385224274406332E-3</v>
      </c>
      <c r="O142" s="26">
        <f>(Table1[[#This Row],[Unit_Cost]]-Table1[[#This Row],[Negotiated_Cost]])/Table1[[#This Row],[Unit_Cost]]</f>
        <v>4.2097124432453885E-2</v>
      </c>
    </row>
    <row r="143" spans="1:15" x14ac:dyDescent="0.25">
      <c r="A143" t="s">
        <v>178</v>
      </c>
      <c r="B143" t="s">
        <v>35</v>
      </c>
      <c r="C143" s="14" t="s">
        <v>21</v>
      </c>
      <c r="D143" s="1">
        <v>45530</v>
      </c>
      <c r="E143" s="14" t="s">
        <v>2057</v>
      </c>
      <c r="F143" s="14" t="s">
        <v>22</v>
      </c>
      <c r="G143">
        <v>481</v>
      </c>
      <c r="H143">
        <v>126.39</v>
      </c>
      <c r="I143">
        <v>121.99</v>
      </c>
      <c r="J143">
        <v>2</v>
      </c>
      <c r="K143" s="14" t="s">
        <v>15</v>
      </c>
      <c r="L143" s="14" t="str">
        <f>IF(OR(Table1[[#This Row],[Order_Status]]="Delivered",Table1[[#This Row],[Delivery_Date]]&lt;&gt;"Not Yet Delivered"),Table1[[#This Row],[Delivery_Date]]-Table1[[#This Row],[Order_Date]],"Not Applicable")</f>
        <v>Not Applicable</v>
      </c>
      <c r="M143" s="14">
        <f>Table1[[#This Row],[Unit_Cost]]-Table1[[#This Row],[Negotiated_Cost]]</f>
        <v>4.4000000000000057</v>
      </c>
      <c r="N143" s="18">
        <f>Table1[[#This Row],[Defective_Units]]/Table1[[#This Row],[Quantity]]</f>
        <v>4.1580041580041582E-3</v>
      </c>
      <c r="O143" s="26">
        <f>(Table1[[#This Row],[Unit_Cost]]-Table1[[#This Row],[Negotiated_Cost]])/Table1[[#This Row],[Unit_Cost]]</f>
        <v>3.4812880765883424E-2</v>
      </c>
    </row>
    <row r="144" spans="1:15" x14ac:dyDescent="0.25">
      <c r="A144" t="s">
        <v>179</v>
      </c>
      <c r="B144" t="s">
        <v>17</v>
      </c>
      <c r="C144" s="14" t="s">
        <v>36</v>
      </c>
      <c r="D144" s="1">
        <v>45433</v>
      </c>
      <c r="E144" s="13">
        <v>45436</v>
      </c>
      <c r="F144" s="14" t="s">
        <v>14</v>
      </c>
      <c r="G144">
        <v>261</v>
      </c>
      <c r="H144">
        <v>505.88</v>
      </c>
      <c r="I144">
        <v>497.52</v>
      </c>
      <c r="J144">
        <v>0</v>
      </c>
      <c r="K144" s="14" t="s">
        <v>15</v>
      </c>
      <c r="L144" s="14">
        <f>IF(OR(Table1[[#This Row],[Order_Status]]="Delivered",Table1[[#This Row],[Delivery_Date]]&lt;&gt;"Not Yet Delivered"),Table1[[#This Row],[Delivery_Date]]-Table1[[#This Row],[Order_Date]],"Not Applicable")</f>
        <v>3</v>
      </c>
      <c r="M144" s="14">
        <f>Table1[[#This Row],[Unit_Cost]]-Table1[[#This Row],[Negotiated_Cost]]</f>
        <v>8.3600000000000136</v>
      </c>
      <c r="N144" s="18">
        <f>Table1[[#This Row],[Defective_Units]]/Table1[[#This Row],[Quantity]]</f>
        <v>0</v>
      </c>
      <c r="O144" s="26">
        <f>(Table1[[#This Row],[Unit_Cost]]-Table1[[#This Row],[Negotiated_Cost]])/Table1[[#This Row],[Unit_Cost]]</f>
        <v>1.6525658258875649E-2</v>
      </c>
    </row>
    <row r="145" spans="1:15" x14ac:dyDescent="0.25">
      <c r="A145" t="s">
        <v>180</v>
      </c>
      <c r="B145" t="s">
        <v>35</v>
      </c>
      <c r="C145" s="14" t="s">
        <v>21</v>
      </c>
      <c r="D145" s="1">
        <v>45465</v>
      </c>
      <c r="E145" s="13">
        <v>45495</v>
      </c>
      <c r="F145" s="14" t="s">
        <v>37</v>
      </c>
      <c r="G145">
        <v>76</v>
      </c>
      <c r="H145">
        <v>115.09</v>
      </c>
      <c r="I145">
        <v>109.59</v>
      </c>
      <c r="J145">
        <v>2</v>
      </c>
      <c r="K145" s="14" t="s">
        <v>15</v>
      </c>
      <c r="L145" s="14">
        <f>IF(OR(Table1[[#This Row],[Order_Status]]="Delivered",Table1[[#This Row],[Delivery_Date]]&lt;&gt;"Not Yet Delivered"),Table1[[#This Row],[Delivery_Date]]-Table1[[#This Row],[Order_Date]],"Not Applicable")</f>
        <v>30</v>
      </c>
      <c r="M145" s="14">
        <f>Table1[[#This Row],[Unit_Cost]]-Table1[[#This Row],[Negotiated_Cost]]</f>
        <v>5.5</v>
      </c>
      <c r="N145" s="18">
        <f>Table1[[#This Row],[Defective_Units]]/Table1[[#This Row],[Quantity]]</f>
        <v>2.6315789473684209E-2</v>
      </c>
      <c r="O145" s="26">
        <f>(Table1[[#This Row],[Unit_Cost]]-Table1[[#This Row],[Negotiated_Cost]])/Table1[[#This Row],[Unit_Cost]]</f>
        <v>4.7788687114432182E-2</v>
      </c>
    </row>
    <row r="146" spans="1:15" x14ac:dyDescent="0.25">
      <c r="A146" t="s">
        <v>181</v>
      </c>
      <c r="B146" t="s">
        <v>46</v>
      </c>
      <c r="C146" s="14" t="s">
        <v>24</v>
      </c>
      <c r="D146" s="1">
        <v>45619</v>
      </c>
      <c r="E146" s="13">
        <v>45634</v>
      </c>
      <c r="F146" s="14" t="s">
        <v>14</v>
      </c>
      <c r="G146">
        <v>28</v>
      </c>
      <c r="H146">
        <v>12999.96</v>
      </c>
      <c r="I146">
        <v>12700.95</v>
      </c>
      <c r="J146">
        <v>0</v>
      </c>
      <c r="K146" s="14" t="s">
        <v>15</v>
      </c>
      <c r="L146" s="14">
        <f>IF(OR(Table1[[#This Row],[Order_Status]]="Delivered",Table1[[#This Row],[Delivery_Date]]&lt;&gt;"Not Yet Delivered"),Table1[[#This Row],[Delivery_Date]]-Table1[[#This Row],[Order_Date]],"Not Applicable")</f>
        <v>15</v>
      </c>
      <c r="M146" s="14">
        <f>Table1[[#This Row],[Unit_Cost]]-Table1[[#This Row],[Negotiated_Cost]]</f>
        <v>299.0099999999984</v>
      </c>
      <c r="N146" s="18">
        <f>Table1[[#This Row],[Defective_Units]]/Table1[[#This Row],[Quantity]]</f>
        <v>0</v>
      </c>
      <c r="O146" s="26">
        <f>(Table1[[#This Row],[Unit_Cost]]-Table1[[#This Row],[Negotiated_Cost]])/Table1[[#This Row],[Unit_Cost]]</f>
        <v>2.30008400025845E-2</v>
      </c>
    </row>
    <row r="147" spans="1:15" x14ac:dyDescent="0.25">
      <c r="A147" t="s">
        <v>182</v>
      </c>
      <c r="B147" t="s">
        <v>12</v>
      </c>
      <c r="C147" s="14" t="s">
        <v>30</v>
      </c>
      <c r="D147" s="1">
        <v>45447</v>
      </c>
      <c r="E147" s="13">
        <v>45470</v>
      </c>
      <c r="F147" s="14" t="s">
        <v>14</v>
      </c>
      <c r="G147">
        <v>170</v>
      </c>
      <c r="H147">
        <v>913.88</v>
      </c>
      <c r="I147">
        <v>867.87</v>
      </c>
      <c r="J147">
        <v>2</v>
      </c>
      <c r="K147" s="14" t="s">
        <v>15</v>
      </c>
      <c r="L147" s="14">
        <f>IF(OR(Table1[[#This Row],[Order_Status]]="Delivered",Table1[[#This Row],[Delivery_Date]]&lt;&gt;"Not Yet Delivered"),Table1[[#This Row],[Delivery_Date]]-Table1[[#This Row],[Order_Date]],"Not Applicable")</f>
        <v>23</v>
      </c>
      <c r="M147" s="14">
        <f>Table1[[#This Row],[Unit_Cost]]-Table1[[#This Row],[Negotiated_Cost]]</f>
        <v>46.009999999999991</v>
      </c>
      <c r="N147" s="18">
        <f>Table1[[#This Row],[Defective_Units]]/Table1[[#This Row],[Quantity]]</f>
        <v>1.1764705882352941E-2</v>
      </c>
      <c r="O147" s="26">
        <f>(Table1[[#This Row],[Unit_Cost]]-Table1[[#This Row],[Negotiated_Cost]])/Table1[[#This Row],[Unit_Cost]]</f>
        <v>5.0345778439182379E-2</v>
      </c>
    </row>
    <row r="148" spans="1:15" x14ac:dyDescent="0.25">
      <c r="A148" t="s">
        <v>183</v>
      </c>
      <c r="B148" t="s">
        <v>35</v>
      </c>
      <c r="C148" s="14" t="s">
        <v>50</v>
      </c>
      <c r="D148" s="1">
        <v>45200</v>
      </c>
      <c r="E148" s="13">
        <v>45207</v>
      </c>
      <c r="F148" s="14" t="s">
        <v>14</v>
      </c>
      <c r="G148">
        <v>482</v>
      </c>
      <c r="H148">
        <v>51329.16</v>
      </c>
      <c r="I148">
        <v>49727.5</v>
      </c>
      <c r="J148">
        <v>10</v>
      </c>
      <c r="K148" s="14" t="s">
        <v>15</v>
      </c>
      <c r="L148" s="14">
        <f>IF(OR(Table1[[#This Row],[Order_Status]]="Delivered",Table1[[#This Row],[Delivery_Date]]&lt;&gt;"Not Yet Delivered"),Table1[[#This Row],[Delivery_Date]]-Table1[[#This Row],[Order_Date]],"Not Applicable")</f>
        <v>7</v>
      </c>
      <c r="M148" s="14">
        <f>Table1[[#This Row],[Unit_Cost]]-Table1[[#This Row],[Negotiated_Cost]]</f>
        <v>1601.6600000000035</v>
      </c>
      <c r="N148" s="18">
        <f>Table1[[#This Row],[Defective_Units]]/Table1[[#This Row],[Quantity]]</f>
        <v>2.0746887966804978E-2</v>
      </c>
      <c r="O148" s="26">
        <f>(Table1[[#This Row],[Unit_Cost]]-Table1[[#This Row],[Negotiated_Cost]])/Table1[[#This Row],[Unit_Cost]]</f>
        <v>3.1203705651914104E-2</v>
      </c>
    </row>
    <row r="149" spans="1:15" x14ac:dyDescent="0.25">
      <c r="A149" t="s">
        <v>184</v>
      </c>
      <c r="B149" t="s">
        <v>17</v>
      </c>
      <c r="C149" s="14" t="s">
        <v>18</v>
      </c>
      <c r="D149" s="1">
        <v>45140</v>
      </c>
      <c r="E149" s="13">
        <v>45166</v>
      </c>
      <c r="F149" s="14" t="s">
        <v>14</v>
      </c>
      <c r="G149">
        <v>183</v>
      </c>
      <c r="H149">
        <v>4656.2700000000004</v>
      </c>
      <c r="I149">
        <v>4444.5200000000004</v>
      </c>
      <c r="J149">
        <v>0</v>
      </c>
      <c r="K149" s="14" t="s">
        <v>15</v>
      </c>
      <c r="L149" s="14">
        <f>IF(OR(Table1[[#This Row],[Order_Status]]="Delivered",Table1[[#This Row],[Delivery_Date]]&lt;&gt;"Not Yet Delivered"),Table1[[#This Row],[Delivery_Date]]-Table1[[#This Row],[Order_Date]],"Not Applicable")</f>
        <v>26</v>
      </c>
      <c r="M149" s="14">
        <f>Table1[[#This Row],[Unit_Cost]]-Table1[[#This Row],[Negotiated_Cost]]</f>
        <v>211.75</v>
      </c>
      <c r="N149" s="18">
        <f>Table1[[#This Row],[Defective_Units]]/Table1[[#This Row],[Quantity]]</f>
        <v>0</v>
      </c>
      <c r="O149" s="26">
        <f>(Table1[[#This Row],[Unit_Cost]]-Table1[[#This Row],[Negotiated_Cost]])/Table1[[#This Row],[Unit_Cost]]</f>
        <v>4.5476314732607853E-2</v>
      </c>
    </row>
    <row r="150" spans="1:15" x14ac:dyDescent="0.25">
      <c r="A150" t="s">
        <v>185</v>
      </c>
      <c r="B150" t="s">
        <v>27</v>
      </c>
      <c r="C150" s="14" t="s">
        <v>50</v>
      </c>
      <c r="D150" s="1">
        <v>45168</v>
      </c>
      <c r="E150" s="13">
        <v>45182</v>
      </c>
      <c r="F150" s="14" t="s">
        <v>14</v>
      </c>
      <c r="G150">
        <v>357</v>
      </c>
      <c r="H150">
        <v>53152.73</v>
      </c>
      <c r="I150">
        <v>50243.79</v>
      </c>
      <c r="J150">
        <v>5</v>
      </c>
      <c r="K150" s="14" t="s">
        <v>15</v>
      </c>
      <c r="L150" s="14">
        <f>IF(OR(Table1[[#This Row],[Order_Status]]="Delivered",Table1[[#This Row],[Delivery_Date]]&lt;&gt;"Not Yet Delivered"),Table1[[#This Row],[Delivery_Date]]-Table1[[#This Row],[Order_Date]],"Not Applicable")</f>
        <v>14</v>
      </c>
      <c r="M150" s="14">
        <f>Table1[[#This Row],[Unit_Cost]]-Table1[[#This Row],[Negotiated_Cost]]</f>
        <v>2908.9400000000023</v>
      </c>
      <c r="N150" s="18">
        <f>Table1[[#This Row],[Defective_Units]]/Table1[[#This Row],[Quantity]]</f>
        <v>1.4005602240896359E-2</v>
      </c>
      <c r="O150" s="26">
        <f>(Table1[[#This Row],[Unit_Cost]]-Table1[[#This Row],[Negotiated_Cost]])/Table1[[#This Row],[Unit_Cost]]</f>
        <v>5.4727950944382389E-2</v>
      </c>
    </row>
    <row r="151" spans="1:15" x14ac:dyDescent="0.25">
      <c r="A151" t="s">
        <v>186</v>
      </c>
      <c r="B151" t="s">
        <v>40</v>
      </c>
      <c r="C151" s="14" t="s">
        <v>55</v>
      </c>
      <c r="D151" s="1">
        <v>45016</v>
      </c>
      <c r="E151" s="13">
        <v>45027</v>
      </c>
      <c r="F151" s="14" t="s">
        <v>14</v>
      </c>
      <c r="G151">
        <v>178</v>
      </c>
      <c r="H151">
        <v>16023.05</v>
      </c>
      <c r="I151">
        <v>15851.39</v>
      </c>
      <c r="J151">
        <v>1</v>
      </c>
      <c r="K151" s="14" t="s">
        <v>15</v>
      </c>
      <c r="L151" s="14">
        <f>IF(OR(Table1[[#This Row],[Order_Status]]="Delivered",Table1[[#This Row],[Delivery_Date]]&lt;&gt;"Not Yet Delivered"),Table1[[#This Row],[Delivery_Date]]-Table1[[#This Row],[Order_Date]],"Not Applicable")</f>
        <v>11</v>
      </c>
      <c r="M151" s="14">
        <f>Table1[[#This Row],[Unit_Cost]]-Table1[[#This Row],[Negotiated_Cost]]</f>
        <v>171.65999999999985</v>
      </c>
      <c r="N151" s="18">
        <f>Table1[[#This Row],[Defective_Units]]/Table1[[#This Row],[Quantity]]</f>
        <v>5.6179775280898875E-3</v>
      </c>
      <c r="O151" s="26">
        <f>(Table1[[#This Row],[Unit_Cost]]-Table1[[#This Row],[Negotiated_Cost]])/Table1[[#This Row],[Unit_Cost]]</f>
        <v>1.071331612895172E-2</v>
      </c>
    </row>
    <row r="152" spans="1:15" x14ac:dyDescent="0.25">
      <c r="A152" t="s">
        <v>187</v>
      </c>
      <c r="B152" t="s">
        <v>20</v>
      </c>
      <c r="C152" s="14" t="s">
        <v>55</v>
      </c>
      <c r="D152" s="1">
        <v>44999</v>
      </c>
      <c r="E152" s="14" t="s">
        <v>2057</v>
      </c>
      <c r="F152" s="14" t="s">
        <v>33</v>
      </c>
      <c r="G152">
        <v>363</v>
      </c>
      <c r="H152">
        <v>14108.66</v>
      </c>
      <c r="I152">
        <v>13515.11</v>
      </c>
      <c r="J152">
        <v>2</v>
      </c>
      <c r="K152" s="14" t="s">
        <v>15</v>
      </c>
      <c r="L152" s="14" t="str">
        <f>IF(OR(Table1[[#This Row],[Order_Status]]="Delivered",Table1[[#This Row],[Delivery_Date]]&lt;&gt;"Not Yet Delivered"),Table1[[#This Row],[Delivery_Date]]-Table1[[#This Row],[Order_Date]],"Not Applicable")</f>
        <v>Not Applicable</v>
      </c>
      <c r="M152" s="14">
        <f>Table1[[#This Row],[Unit_Cost]]-Table1[[#This Row],[Negotiated_Cost]]</f>
        <v>593.54999999999927</v>
      </c>
      <c r="N152" s="18">
        <f>Table1[[#This Row],[Defective_Units]]/Table1[[#This Row],[Quantity]]</f>
        <v>5.5096418732782371E-3</v>
      </c>
      <c r="O152" s="26">
        <f>(Table1[[#This Row],[Unit_Cost]]-Table1[[#This Row],[Negotiated_Cost]])/Table1[[#This Row],[Unit_Cost]]</f>
        <v>4.2069906000995083E-2</v>
      </c>
    </row>
    <row r="153" spans="1:15" x14ac:dyDescent="0.25">
      <c r="A153" t="s">
        <v>188</v>
      </c>
      <c r="B153" t="s">
        <v>32</v>
      </c>
      <c r="C153" s="14" t="s">
        <v>30</v>
      </c>
      <c r="D153" s="1">
        <v>45037</v>
      </c>
      <c r="E153" s="13">
        <v>45054</v>
      </c>
      <c r="F153" s="14" t="s">
        <v>14</v>
      </c>
      <c r="G153">
        <v>255</v>
      </c>
      <c r="H153">
        <v>826.45</v>
      </c>
      <c r="I153">
        <v>809.63</v>
      </c>
      <c r="J153">
        <v>4</v>
      </c>
      <c r="K153" s="14" t="s">
        <v>15</v>
      </c>
      <c r="L153" s="14">
        <f>IF(OR(Table1[[#This Row],[Order_Status]]="Delivered",Table1[[#This Row],[Delivery_Date]]&lt;&gt;"Not Yet Delivered"),Table1[[#This Row],[Delivery_Date]]-Table1[[#This Row],[Order_Date]],"Not Applicable")</f>
        <v>17</v>
      </c>
      <c r="M153" s="14">
        <f>Table1[[#This Row],[Unit_Cost]]-Table1[[#This Row],[Negotiated_Cost]]</f>
        <v>16.82000000000005</v>
      </c>
      <c r="N153" s="18">
        <f>Table1[[#This Row],[Defective_Units]]/Table1[[#This Row],[Quantity]]</f>
        <v>1.5686274509803921E-2</v>
      </c>
      <c r="O153" s="26">
        <f>(Table1[[#This Row],[Unit_Cost]]-Table1[[#This Row],[Negotiated_Cost]])/Table1[[#This Row],[Unit_Cost]]</f>
        <v>2.0352108415512191E-2</v>
      </c>
    </row>
    <row r="154" spans="1:15" x14ac:dyDescent="0.25">
      <c r="A154" t="s">
        <v>189</v>
      </c>
      <c r="B154" t="s">
        <v>12</v>
      </c>
      <c r="C154" s="14" t="s">
        <v>48</v>
      </c>
      <c r="D154" s="1">
        <v>44940</v>
      </c>
      <c r="E154" s="13">
        <v>44953</v>
      </c>
      <c r="F154" s="14" t="s">
        <v>14</v>
      </c>
      <c r="G154">
        <v>463</v>
      </c>
      <c r="H154">
        <v>7009.13</v>
      </c>
      <c r="I154">
        <v>6838.08</v>
      </c>
      <c r="J154">
        <v>6</v>
      </c>
      <c r="K154" s="14" t="s">
        <v>25</v>
      </c>
      <c r="L154" s="14">
        <f>IF(OR(Table1[[#This Row],[Order_Status]]="Delivered",Table1[[#This Row],[Delivery_Date]]&lt;&gt;"Not Yet Delivered"),Table1[[#This Row],[Delivery_Date]]-Table1[[#This Row],[Order_Date]],"Not Applicable")</f>
        <v>13</v>
      </c>
      <c r="M154" s="14">
        <f>Table1[[#This Row],[Unit_Cost]]-Table1[[#This Row],[Negotiated_Cost]]</f>
        <v>171.05000000000018</v>
      </c>
      <c r="N154" s="18">
        <f>Table1[[#This Row],[Defective_Units]]/Table1[[#This Row],[Quantity]]</f>
        <v>1.2958963282937365E-2</v>
      </c>
      <c r="O154" s="26">
        <f>(Table1[[#This Row],[Unit_Cost]]-Table1[[#This Row],[Negotiated_Cost]])/Table1[[#This Row],[Unit_Cost]]</f>
        <v>2.4403884647595377E-2</v>
      </c>
    </row>
    <row r="155" spans="1:15" x14ac:dyDescent="0.25">
      <c r="A155" t="s">
        <v>190</v>
      </c>
      <c r="B155" t="s">
        <v>46</v>
      </c>
      <c r="C155" s="14" t="s">
        <v>30</v>
      </c>
      <c r="D155" s="1">
        <v>45557</v>
      </c>
      <c r="E155" s="13">
        <v>45576</v>
      </c>
      <c r="F155" s="14" t="s">
        <v>14</v>
      </c>
      <c r="G155">
        <v>313</v>
      </c>
      <c r="H155">
        <v>907.97</v>
      </c>
      <c r="I155">
        <v>880.63</v>
      </c>
      <c r="J155">
        <v>3</v>
      </c>
      <c r="K155" s="14" t="s">
        <v>15</v>
      </c>
      <c r="L155" s="14">
        <f>IF(OR(Table1[[#This Row],[Order_Status]]="Delivered",Table1[[#This Row],[Delivery_Date]]&lt;&gt;"Not Yet Delivered"),Table1[[#This Row],[Delivery_Date]]-Table1[[#This Row],[Order_Date]],"Not Applicable")</f>
        <v>19</v>
      </c>
      <c r="M155" s="14">
        <f>Table1[[#This Row],[Unit_Cost]]-Table1[[#This Row],[Negotiated_Cost]]</f>
        <v>27.340000000000032</v>
      </c>
      <c r="N155" s="18">
        <f>Table1[[#This Row],[Defective_Units]]/Table1[[#This Row],[Quantity]]</f>
        <v>9.5846645367412137E-3</v>
      </c>
      <c r="O155" s="26">
        <f>(Table1[[#This Row],[Unit_Cost]]-Table1[[#This Row],[Negotiated_Cost]])/Table1[[#This Row],[Unit_Cost]]</f>
        <v>3.0111127019615221E-2</v>
      </c>
    </row>
    <row r="156" spans="1:15" x14ac:dyDescent="0.25">
      <c r="A156" t="s">
        <v>191</v>
      </c>
      <c r="B156" t="s">
        <v>17</v>
      </c>
      <c r="C156" s="14" t="s">
        <v>42</v>
      </c>
      <c r="D156" s="1">
        <v>45640</v>
      </c>
      <c r="E156" s="13">
        <v>45656</v>
      </c>
      <c r="F156" s="14" t="s">
        <v>14</v>
      </c>
      <c r="G156">
        <v>247</v>
      </c>
      <c r="H156">
        <v>11523.96</v>
      </c>
      <c r="I156">
        <v>10882.44</v>
      </c>
      <c r="J156">
        <v>4</v>
      </c>
      <c r="K156" s="14" t="s">
        <v>15</v>
      </c>
      <c r="L156" s="14">
        <f>IF(OR(Table1[[#This Row],[Order_Status]]="Delivered",Table1[[#This Row],[Delivery_Date]]&lt;&gt;"Not Yet Delivered"),Table1[[#This Row],[Delivery_Date]]-Table1[[#This Row],[Order_Date]],"Not Applicable")</f>
        <v>16</v>
      </c>
      <c r="M156" s="14">
        <f>Table1[[#This Row],[Unit_Cost]]-Table1[[#This Row],[Negotiated_Cost]]</f>
        <v>641.51999999999862</v>
      </c>
      <c r="N156" s="18">
        <f>Table1[[#This Row],[Defective_Units]]/Table1[[#This Row],[Quantity]]</f>
        <v>1.6194331983805668E-2</v>
      </c>
      <c r="O156" s="26">
        <f>(Table1[[#This Row],[Unit_Cost]]-Table1[[#This Row],[Negotiated_Cost]])/Table1[[#This Row],[Unit_Cost]]</f>
        <v>5.5668363999874924E-2</v>
      </c>
    </row>
    <row r="157" spans="1:15" x14ac:dyDescent="0.25">
      <c r="A157" t="s">
        <v>192</v>
      </c>
      <c r="B157" t="s">
        <v>12</v>
      </c>
      <c r="C157" s="14" t="s">
        <v>18</v>
      </c>
      <c r="D157" s="1">
        <v>45442</v>
      </c>
      <c r="E157" s="13">
        <v>45467</v>
      </c>
      <c r="F157" s="14" t="s">
        <v>14</v>
      </c>
      <c r="G157">
        <v>224</v>
      </c>
      <c r="H157">
        <v>5375.5</v>
      </c>
      <c r="I157">
        <v>5371.52</v>
      </c>
      <c r="J157">
        <v>3</v>
      </c>
      <c r="K157" s="14" t="s">
        <v>15</v>
      </c>
      <c r="L157" s="14">
        <f>IF(OR(Table1[[#This Row],[Order_Status]]="Delivered",Table1[[#This Row],[Delivery_Date]]&lt;&gt;"Not Yet Delivered"),Table1[[#This Row],[Delivery_Date]]-Table1[[#This Row],[Order_Date]],"Not Applicable")</f>
        <v>25</v>
      </c>
      <c r="M157" s="14">
        <f>Table1[[#This Row],[Unit_Cost]]-Table1[[#This Row],[Negotiated_Cost]]</f>
        <v>3.9799999999995634</v>
      </c>
      <c r="N157" s="18">
        <f>Table1[[#This Row],[Defective_Units]]/Table1[[#This Row],[Quantity]]</f>
        <v>1.3392857142857142E-2</v>
      </c>
      <c r="O157" s="26">
        <f>(Table1[[#This Row],[Unit_Cost]]-Table1[[#This Row],[Negotiated_Cost]])/Table1[[#This Row],[Unit_Cost]]</f>
        <v>7.4039624220994572E-4</v>
      </c>
    </row>
    <row r="158" spans="1:15" x14ac:dyDescent="0.25">
      <c r="A158" t="s">
        <v>193</v>
      </c>
      <c r="B158" t="s">
        <v>35</v>
      </c>
      <c r="C158" s="14" t="s">
        <v>28</v>
      </c>
      <c r="D158" s="1">
        <v>45504</v>
      </c>
      <c r="E158" s="14" t="s">
        <v>2057</v>
      </c>
      <c r="F158" s="14" t="s">
        <v>22</v>
      </c>
      <c r="G158">
        <v>339</v>
      </c>
      <c r="H158">
        <v>50308.04</v>
      </c>
      <c r="I158">
        <v>48562.51</v>
      </c>
      <c r="J158">
        <v>2</v>
      </c>
      <c r="K158" s="14" t="s">
        <v>15</v>
      </c>
      <c r="L158" s="14" t="str">
        <f>IF(OR(Table1[[#This Row],[Order_Status]]="Delivered",Table1[[#This Row],[Delivery_Date]]&lt;&gt;"Not Yet Delivered"),Table1[[#This Row],[Delivery_Date]]-Table1[[#This Row],[Order_Date]],"Not Applicable")</f>
        <v>Not Applicable</v>
      </c>
      <c r="M158" s="14">
        <f>Table1[[#This Row],[Unit_Cost]]-Table1[[#This Row],[Negotiated_Cost]]</f>
        <v>1745.5299999999988</v>
      </c>
      <c r="N158" s="18">
        <f>Table1[[#This Row],[Defective_Units]]/Table1[[#This Row],[Quantity]]</f>
        <v>5.8997050147492625E-3</v>
      </c>
      <c r="O158" s="26">
        <f>(Table1[[#This Row],[Unit_Cost]]-Table1[[#This Row],[Negotiated_Cost]])/Table1[[#This Row],[Unit_Cost]]</f>
        <v>3.4696839709915134E-2</v>
      </c>
    </row>
    <row r="159" spans="1:15" x14ac:dyDescent="0.25">
      <c r="A159" t="s">
        <v>194</v>
      </c>
      <c r="B159" t="s">
        <v>17</v>
      </c>
      <c r="C159" s="14" t="s">
        <v>21</v>
      </c>
      <c r="D159" s="1">
        <v>45163</v>
      </c>
      <c r="E159" s="13">
        <v>45167</v>
      </c>
      <c r="F159" s="14" t="s">
        <v>37</v>
      </c>
      <c r="G159">
        <v>22</v>
      </c>
      <c r="H159">
        <v>114.58</v>
      </c>
      <c r="I159">
        <v>112.75</v>
      </c>
      <c r="J159">
        <v>0</v>
      </c>
      <c r="K159" s="14" t="s">
        <v>15</v>
      </c>
      <c r="L159" s="14">
        <f>IF(OR(Table1[[#This Row],[Order_Status]]="Delivered",Table1[[#This Row],[Delivery_Date]]&lt;&gt;"Not Yet Delivered"),Table1[[#This Row],[Delivery_Date]]-Table1[[#This Row],[Order_Date]],"Not Applicable")</f>
        <v>4</v>
      </c>
      <c r="M159" s="14">
        <f>Table1[[#This Row],[Unit_Cost]]-Table1[[#This Row],[Negotiated_Cost]]</f>
        <v>1.8299999999999983</v>
      </c>
      <c r="N159" s="18">
        <f>Table1[[#This Row],[Defective_Units]]/Table1[[#This Row],[Quantity]]</f>
        <v>0</v>
      </c>
      <c r="O159" s="26">
        <f>(Table1[[#This Row],[Unit_Cost]]-Table1[[#This Row],[Negotiated_Cost]])/Table1[[#This Row],[Unit_Cost]]</f>
        <v>1.597137371268981E-2</v>
      </c>
    </row>
    <row r="160" spans="1:15" x14ac:dyDescent="0.25">
      <c r="A160" t="s">
        <v>195</v>
      </c>
      <c r="B160" t="s">
        <v>40</v>
      </c>
      <c r="C160" s="14" t="s">
        <v>28</v>
      </c>
      <c r="D160" s="1">
        <v>45219</v>
      </c>
      <c r="E160" s="14" t="s">
        <v>2057</v>
      </c>
      <c r="F160" s="14" t="s">
        <v>33</v>
      </c>
      <c r="G160">
        <v>329</v>
      </c>
      <c r="H160">
        <v>49159.66</v>
      </c>
      <c r="I160">
        <v>47499.53</v>
      </c>
      <c r="J160">
        <v>2</v>
      </c>
      <c r="K160" s="14" t="s">
        <v>15</v>
      </c>
      <c r="L160" s="14" t="str">
        <f>IF(OR(Table1[[#This Row],[Order_Status]]="Delivered",Table1[[#This Row],[Delivery_Date]]&lt;&gt;"Not Yet Delivered"),Table1[[#This Row],[Delivery_Date]]-Table1[[#This Row],[Order_Date]],"Not Applicable")</f>
        <v>Not Applicable</v>
      </c>
      <c r="M160" s="14">
        <f>Table1[[#This Row],[Unit_Cost]]-Table1[[#This Row],[Negotiated_Cost]]</f>
        <v>1660.1300000000047</v>
      </c>
      <c r="N160" s="18">
        <f>Table1[[#This Row],[Defective_Units]]/Table1[[#This Row],[Quantity]]</f>
        <v>6.0790273556231003E-3</v>
      </c>
      <c r="O160" s="26">
        <f>(Table1[[#This Row],[Unit_Cost]]-Table1[[#This Row],[Negotiated_Cost]])/Table1[[#This Row],[Unit_Cost]]</f>
        <v>3.3770168467397957E-2</v>
      </c>
    </row>
    <row r="161" spans="1:15" x14ac:dyDescent="0.25">
      <c r="A161" t="s">
        <v>196</v>
      </c>
      <c r="B161" t="s">
        <v>40</v>
      </c>
      <c r="C161" s="14" t="s">
        <v>18</v>
      </c>
      <c r="D161" s="1">
        <v>45010</v>
      </c>
      <c r="E161" s="14" t="s">
        <v>2057</v>
      </c>
      <c r="F161" s="14" t="s">
        <v>22</v>
      </c>
      <c r="G161">
        <v>134</v>
      </c>
      <c r="H161">
        <v>5343.24</v>
      </c>
      <c r="I161">
        <v>5231.71</v>
      </c>
      <c r="J161">
        <v>2</v>
      </c>
      <c r="K161" s="14" t="s">
        <v>15</v>
      </c>
      <c r="L161" s="14" t="str">
        <f>IF(OR(Table1[[#This Row],[Order_Status]]="Delivered",Table1[[#This Row],[Delivery_Date]]&lt;&gt;"Not Yet Delivered"),Table1[[#This Row],[Delivery_Date]]-Table1[[#This Row],[Order_Date]],"Not Applicable")</f>
        <v>Not Applicable</v>
      </c>
      <c r="M161" s="14">
        <f>Table1[[#This Row],[Unit_Cost]]-Table1[[#This Row],[Negotiated_Cost]]</f>
        <v>111.52999999999975</v>
      </c>
      <c r="N161" s="18">
        <f>Table1[[#This Row],[Defective_Units]]/Table1[[#This Row],[Quantity]]</f>
        <v>1.4925373134328358E-2</v>
      </c>
      <c r="O161" s="26">
        <f>(Table1[[#This Row],[Unit_Cost]]-Table1[[#This Row],[Negotiated_Cost]])/Table1[[#This Row],[Unit_Cost]]</f>
        <v>2.0873103210785917E-2</v>
      </c>
    </row>
    <row r="162" spans="1:15" x14ac:dyDescent="0.25">
      <c r="A162" t="s">
        <v>197</v>
      </c>
      <c r="B162" t="s">
        <v>46</v>
      </c>
      <c r="C162" s="14" t="s">
        <v>36</v>
      </c>
      <c r="D162" s="1">
        <v>45375</v>
      </c>
      <c r="E162" s="13">
        <v>45399</v>
      </c>
      <c r="F162" s="14" t="s">
        <v>14</v>
      </c>
      <c r="G162">
        <v>428</v>
      </c>
      <c r="H162">
        <v>550.95000000000005</v>
      </c>
      <c r="I162">
        <v>531.01</v>
      </c>
      <c r="J162">
        <v>0</v>
      </c>
      <c r="K162" s="14" t="s">
        <v>15</v>
      </c>
      <c r="L162" s="14">
        <f>IF(OR(Table1[[#This Row],[Order_Status]]="Delivered",Table1[[#This Row],[Delivery_Date]]&lt;&gt;"Not Yet Delivered"),Table1[[#This Row],[Delivery_Date]]-Table1[[#This Row],[Order_Date]],"Not Applicable")</f>
        <v>24</v>
      </c>
      <c r="M162" s="14">
        <f>Table1[[#This Row],[Unit_Cost]]-Table1[[#This Row],[Negotiated_Cost]]</f>
        <v>19.940000000000055</v>
      </c>
      <c r="N162" s="18">
        <f>Table1[[#This Row],[Defective_Units]]/Table1[[#This Row],[Quantity]]</f>
        <v>0</v>
      </c>
      <c r="O162" s="26">
        <f>(Table1[[#This Row],[Unit_Cost]]-Table1[[#This Row],[Negotiated_Cost]])/Table1[[#This Row],[Unit_Cost]]</f>
        <v>3.6192031944822678E-2</v>
      </c>
    </row>
    <row r="163" spans="1:15" x14ac:dyDescent="0.25">
      <c r="A163" t="s">
        <v>198</v>
      </c>
      <c r="B163" t="s">
        <v>46</v>
      </c>
      <c r="C163" s="14" t="s">
        <v>44</v>
      </c>
      <c r="D163" s="1">
        <v>45287</v>
      </c>
      <c r="E163" s="13">
        <v>45300</v>
      </c>
      <c r="F163" s="14" t="s">
        <v>14</v>
      </c>
      <c r="G163">
        <v>261</v>
      </c>
      <c r="H163">
        <v>8363.94</v>
      </c>
      <c r="I163">
        <v>8157.13</v>
      </c>
      <c r="J163">
        <v>0</v>
      </c>
      <c r="K163" s="14" t="s">
        <v>15</v>
      </c>
      <c r="L163" s="14">
        <f>IF(OR(Table1[[#This Row],[Order_Status]]="Delivered",Table1[[#This Row],[Delivery_Date]]&lt;&gt;"Not Yet Delivered"),Table1[[#This Row],[Delivery_Date]]-Table1[[#This Row],[Order_Date]],"Not Applicable")</f>
        <v>13</v>
      </c>
      <c r="M163" s="14">
        <f>Table1[[#This Row],[Unit_Cost]]-Table1[[#This Row],[Negotiated_Cost]]</f>
        <v>206.8100000000004</v>
      </c>
      <c r="N163" s="18">
        <f>Table1[[#This Row],[Defective_Units]]/Table1[[#This Row],[Quantity]]</f>
        <v>0</v>
      </c>
      <c r="O163" s="26">
        <f>(Table1[[#This Row],[Unit_Cost]]-Table1[[#This Row],[Negotiated_Cost]])/Table1[[#This Row],[Unit_Cost]]</f>
        <v>2.4726384933416595E-2</v>
      </c>
    </row>
    <row r="164" spans="1:15" x14ac:dyDescent="0.25">
      <c r="A164" t="s">
        <v>199</v>
      </c>
      <c r="B164" t="s">
        <v>40</v>
      </c>
      <c r="C164" s="14" t="s">
        <v>36</v>
      </c>
      <c r="D164" s="1">
        <v>45130</v>
      </c>
      <c r="E164" s="13">
        <v>45155</v>
      </c>
      <c r="F164" s="14" t="s">
        <v>14</v>
      </c>
      <c r="G164">
        <v>169</v>
      </c>
      <c r="H164">
        <v>614.09</v>
      </c>
      <c r="I164">
        <v>603.23</v>
      </c>
      <c r="J164">
        <v>2</v>
      </c>
      <c r="K164" s="14" t="s">
        <v>15</v>
      </c>
      <c r="L164" s="14">
        <f>IF(OR(Table1[[#This Row],[Order_Status]]="Delivered",Table1[[#This Row],[Delivery_Date]]&lt;&gt;"Not Yet Delivered"),Table1[[#This Row],[Delivery_Date]]-Table1[[#This Row],[Order_Date]],"Not Applicable")</f>
        <v>25</v>
      </c>
      <c r="M164" s="14">
        <f>Table1[[#This Row],[Unit_Cost]]-Table1[[#This Row],[Negotiated_Cost]]</f>
        <v>10.860000000000014</v>
      </c>
      <c r="N164" s="18">
        <f>Table1[[#This Row],[Defective_Units]]/Table1[[#This Row],[Quantity]]</f>
        <v>1.1834319526627219E-2</v>
      </c>
      <c r="O164" s="26">
        <f>(Table1[[#This Row],[Unit_Cost]]-Table1[[#This Row],[Negotiated_Cost]])/Table1[[#This Row],[Unit_Cost]]</f>
        <v>1.7684704196453311E-2</v>
      </c>
    </row>
    <row r="165" spans="1:15" x14ac:dyDescent="0.25">
      <c r="A165" t="s">
        <v>200</v>
      </c>
      <c r="B165" t="s">
        <v>32</v>
      </c>
      <c r="C165" s="14" t="s">
        <v>28</v>
      </c>
      <c r="D165" s="1">
        <v>45568</v>
      </c>
      <c r="E165" s="13">
        <v>45598</v>
      </c>
      <c r="F165" s="14" t="s">
        <v>14</v>
      </c>
      <c r="G165">
        <v>461</v>
      </c>
      <c r="H165">
        <v>44325.17</v>
      </c>
      <c r="I165">
        <v>44156.57</v>
      </c>
      <c r="J165">
        <v>1</v>
      </c>
      <c r="K165" s="14" t="s">
        <v>15</v>
      </c>
      <c r="L165" s="14">
        <f>IF(OR(Table1[[#This Row],[Order_Status]]="Delivered",Table1[[#This Row],[Delivery_Date]]&lt;&gt;"Not Yet Delivered"),Table1[[#This Row],[Delivery_Date]]-Table1[[#This Row],[Order_Date]],"Not Applicable")</f>
        <v>30</v>
      </c>
      <c r="M165" s="14">
        <f>Table1[[#This Row],[Unit_Cost]]-Table1[[#This Row],[Negotiated_Cost]]</f>
        <v>168.59999999999854</v>
      </c>
      <c r="N165" s="18">
        <f>Table1[[#This Row],[Defective_Units]]/Table1[[#This Row],[Quantity]]</f>
        <v>2.1691973969631237E-3</v>
      </c>
      <c r="O165" s="26">
        <f>(Table1[[#This Row],[Unit_Cost]]-Table1[[#This Row],[Negotiated_Cost]])/Table1[[#This Row],[Unit_Cost]]</f>
        <v>3.8037079158410119E-3</v>
      </c>
    </row>
    <row r="166" spans="1:15" x14ac:dyDescent="0.25">
      <c r="A166" t="s">
        <v>201</v>
      </c>
      <c r="B166" t="s">
        <v>20</v>
      </c>
      <c r="C166" s="14" t="s">
        <v>50</v>
      </c>
      <c r="D166" s="1">
        <v>45617</v>
      </c>
      <c r="E166" s="14" t="s">
        <v>2057</v>
      </c>
      <c r="F166" s="14" t="s">
        <v>22</v>
      </c>
      <c r="G166">
        <v>210</v>
      </c>
      <c r="H166">
        <v>51047.44</v>
      </c>
      <c r="I166">
        <v>49201.7</v>
      </c>
      <c r="J166">
        <v>2</v>
      </c>
      <c r="K166" s="14" t="s">
        <v>15</v>
      </c>
      <c r="L166" s="14" t="str">
        <f>IF(OR(Table1[[#This Row],[Order_Status]]="Delivered",Table1[[#This Row],[Delivery_Date]]&lt;&gt;"Not Yet Delivered"),Table1[[#This Row],[Delivery_Date]]-Table1[[#This Row],[Order_Date]],"Not Applicable")</f>
        <v>Not Applicable</v>
      </c>
      <c r="M166" s="14">
        <f>Table1[[#This Row],[Unit_Cost]]-Table1[[#This Row],[Negotiated_Cost]]</f>
        <v>1845.7400000000052</v>
      </c>
      <c r="N166" s="18">
        <f>Table1[[#This Row],[Defective_Units]]/Table1[[#This Row],[Quantity]]</f>
        <v>9.5238095238095247E-3</v>
      </c>
      <c r="O166" s="26">
        <f>(Table1[[#This Row],[Unit_Cost]]-Table1[[#This Row],[Negotiated_Cost]])/Table1[[#This Row],[Unit_Cost]]</f>
        <v>3.6157346969799171E-2</v>
      </c>
    </row>
    <row r="167" spans="1:15" x14ac:dyDescent="0.25">
      <c r="A167" t="s">
        <v>202</v>
      </c>
      <c r="B167" t="s">
        <v>20</v>
      </c>
      <c r="C167" s="14" t="s">
        <v>28</v>
      </c>
      <c r="D167" s="1">
        <v>45232</v>
      </c>
      <c r="E167" s="13">
        <v>45248</v>
      </c>
      <c r="F167" s="14" t="s">
        <v>14</v>
      </c>
      <c r="G167">
        <v>289</v>
      </c>
      <c r="H167">
        <v>48114.44</v>
      </c>
      <c r="I167">
        <v>46540.35</v>
      </c>
      <c r="J167">
        <v>2</v>
      </c>
      <c r="K167" s="14" t="s">
        <v>15</v>
      </c>
      <c r="L167" s="14">
        <f>IF(OR(Table1[[#This Row],[Order_Status]]="Delivered",Table1[[#This Row],[Delivery_Date]]&lt;&gt;"Not Yet Delivered"),Table1[[#This Row],[Delivery_Date]]-Table1[[#This Row],[Order_Date]],"Not Applicable")</f>
        <v>16</v>
      </c>
      <c r="M167" s="14">
        <f>Table1[[#This Row],[Unit_Cost]]-Table1[[#This Row],[Negotiated_Cost]]</f>
        <v>1574.0900000000038</v>
      </c>
      <c r="N167" s="18">
        <f>Table1[[#This Row],[Defective_Units]]/Table1[[#This Row],[Quantity]]</f>
        <v>6.920415224913495E-3</v>
      </c>
      <c r="O167" s="26">
        <f>(Table1[[#This Row],[Unit_Cost]]-Table1[[#This Row],[Negotiated_Cost]])/Table1[[#This Row],[Unit_Cost]]</f>
        <v>3.2715542361087514E-2</v>
      </c>
    </row>
    <row r="168" spans="1:15" x14ac:dyDescent="0.25">
      <c r="A168" t="s">
        <v>203</v>
      </c>
      <c r="B168" t="s">
        <v>35</v>
      </c>
      <c r="C168" s="14" t="s">
        <v>30</v>
      </c>
      <c r="D168" s="1">
        <v>45301</v>
      </c>
      <c r="E168" s="13">
        <v>45310</v>
      </c>
      <c r="F168" s="14" t="s">
        <v>14</v>
      </c>
      <c r="G168">
        <v>12</v>
      </c>
      <c r="H168">
        <v>950.75</v>
      </c>
      <c r="I168">
        <v>899.06</v>
      </c>
      <c r="J168">
        <v>1</v>
      </c>
      <c r="K168" s="14" t="s">
        <v>15</v>
      </c>
      <c r="L168" s="14">
        <f>IF(OR(Table1[[#This Row],[Order_Status]]="Delivered",Table1[[#This Row],[Delivery_Date]]&lt;&gt;"Not Yet Delivered"),Table1[[#This Row],[Delivery_Date]]-Table1[[#This Row],[Order_Date]],"Not Applicable")</f>
        <v>9</v>
      </c>
      <c r="M168" s="14">
        <f>Table1[[#This Row],[Unit_Cost]]-Table1[[#This Row],[Negotiated_Cost]]</f>
        <v>51.690000000000055</v>
      </c>
      <c r="N168" s="18">
        <f>Table1[[#This Row],[Defective_Units]]/Table1[[#This Row],[Quantity]]</f>
        <v>8.3333333333333329E-2</v>
      </c>
      <c r="O168" s="26">
        <f>(Table1[[#This Row],[Unit_Cost]]-Table1[[#This Row],[Negotiated_Cost]])/Table1[[#This Row],[Unit_Cost]]</f>
        <v>5.4367604522745257E-2</v>
      </c>
    </row>
    <row r="169" spans="1:15" x14ac:dyDescent="0.25">
      <c r="A169" t="s">
        <v>204</v>
      </c>
      <c r="B169" t="s">
        <v>40</v>
      </c>
      <c r="C169" s="14" t="s">
        <v>50</v>
      </c>
      <c r="D169" s="1">
        <v>45045</v>
      </c>
      <c r="E169" s="13">
        <v>45064</v>
      </c>
      <c r="F169" s="14" t="s">
        <v>14</v>
      </c>
      <c r="G169">
        <v>222</v>
      </c>
      <c r="H169">
        <v>55312.86</v>
      </c>
      <c r="I169">
        <v>52052.22</v>
      </c>
      <c r="J169">
        <v>4</v>
      </c>
      <c r="K169" s="14" t="s">
        <v>15</v>
      </c>
      <c r="L169" s="14">
        <f>IF(OR(Table1[[#This Row],[Order_Status]]="Delivered",Table1[[#This Row],[Delivery_Date]]&lt;&gt;"Not Yet Delivered"),Table1[[#This Row],[Delivery_Date]]-Table1[[#This Row],[Order_Date]],"Not Applicable")</f>
        <v>19</v>
      </c>
      <c r="M169" s="14">
        <f>Table1[[#This Row],[Unit_Cost]]-Table1[[#This Row],[Negotiated_Cost]]</f>
        <v>3260.6399999999994</v>
      </c>
      <c r="N169" s="18">
        <f>Table1[[#This Row],[Defective_Units]]/Table1[[#This Row],[Quantity]]</f>
        <v>1.8018018018018018E-2</v>
      </c>
      <c r="O169" s="26">
        <f>(Table1[[#This Row],[Unit_Cost]]-Table1[[#This Row],[Negotiated_Cost]])/Table1[[#This Row],[Unit_Cost]]</f>
        <v>5.8949040060485021E-2</v>
      </c>
    </row>
    <row r="170" spans="1:15" x14ac:dyDescent="0.25">
      <c r="A170" t="s">
        <v>205</v>
      </c>
      <c r="B170" t="s">
        <v>20</v>
      </c>
      <c r="C170" s="14" t="s">
        <v>18</v>
      </c>
      <c r="D170" s="1">
        <v>44927</v>
      </c>
      <c r="E170" s="13">
        <v>44944</v>
      </c>
      <c r="F170" s="14" t="s">
        <v>14</v>
      </c>
      <c r="G170">
        <v>151</v>
      </c>
      <c r="H170">
        <v>5256.1</v>
      </c>
      <c r="I170">
        <v>5201.49</v>
      </c>
      <c r="J170">
        <v>1</v>
      </c>
      <c r="K170" s="14" t="s">
        <v>25</v>
      </c>
      <c r="L170" s="14">
        <f>IF(OR(Table1[[#This Row],[Order_Status]]="Delivered",Table1[[#This Row],[Delivery_Date]]&lt;&gt;"Not Yet Delivered"),Table1[[#This Row],[Delivery_Date]]-Table1[[#This Row],[Order_Date]],"Not Applicable")</f>
        <v>17</v>
      </c>
      <c r="M170" s="14">
        <f>Table1[[#This Row],[Unit_Cost]]-Table1[[#This Row],[Negotiated_Cost]]</f>
        <v>54.610000000000582</v>
      </c>
      <c r="N170" s="18">
        <f>Table1[[#This Row],[Defective_Units]]/Table1[[#This Row],[Quantity]]</f>
        <v>6.6225165562913907E-3</v>
      </c>
      <c r="O170" s="26">
        <f>(Table1[[#This Row],[Unit_Cost]]-Table1[[#This Row],[Negotiated_Cost]])/Table1[[#This Row],[Unit_Cost]]</f>
        <v>1.0389832765738965E-2</v>
      </c>
    </row>
    <row r="171" spans="1:15" x14ac:dyDescent="0.25">
      <c r="A171" t="s">
        <v>206</v>
      </c>
      <c r="B171" t="s">
        <v>40</v>
      </c>
      <c r="C171" s="14" t="s">
        <v>55</v>
      </c>
      <c r="D171" s="1">
        <v>45511</v>
      </c>
      <c r="E171" s="13">
        <v>45521</v>
      </c>
      <c r="F171" s="14" t="s">
        <v>14</v>
      </c>
      <c r="G171">
        <v>165</v>
      </c>
      <c r="H171">
        <v>15485.06</v>
      </c>
      <c r="I171">
        <v>15364.98</v>
      </c>
      <c r="J171">
        <v>0</v>
      </c>
      <c r="K171" s="14" t="s">
        <v>15</v>
      </c>
      <c r="L171" s="14">
        <f>IF(OR(Table1[[#This Row],[Order_Status]]="Delivered",Table1[[#This Row],[Delivery_Date]]&lt;&gt;"Not Yet Delivered"),Table1[[#This Row],[Delivery_Date]]-Table1[[#This Row],[Order_Date]],"Not Applicable")</f>
        <v>10</v>
      </c>
      <c r="M171" s="14">
        <f>Table1[[#This Row],[Unit_Cost]]-Table1[[#This Row],[Negotiated_Cost]]</f>
        <v>120.07999999999993</v>
      </c>
      <c r="N171" s="18">
        <f>Table1[[#This Row],[Defective_Units]]/Table1[[#This Row],[Quantity]]</f>
        <v>0</v>
      </c>
      <c r="O171" s="26">
        <f>(Table1[[#This Row],[Unit_Cost]]-Table1[[#This Row],[Negotiated_Cost]])/Table1[[#This Row],[Unit_Cost]]</f>
        <v>7.754571180221448E-3</v>
      </c>
    </row>
    <row r="172" spans="1:15" x14ac:dyDescent="0.25">
      <c r="A172" t="s">
        <v>207</v>
      </c>
      <c r="B172" t="s">
        <v>32</v>
      </c>
      <c r="C172" s="14" t="s">
        <v>55</v>
      </c>
      <c r="D172" s="1">
        <v>45570</v>
      </c>
      <c r="E172" s="13">
        <v>45584</v>
      </c>
      <c r="F172" s="14" t="s">
        <v>37</v>
      </c>
      <c r="G172">
        <v>106</v>
      </c>
      <c r="H172">
        <v>13241.03</v>
      </c>
      <c r="I172">
        <v>13162.68</v>
      </c>
      <c r="J172">
        <v>2</v>
      </c>
      <c r="K172" s="14" t="s">
        <v>15</v>
      </c>
      <c r="L172" s="14">
        <f>IF(OR(Table1[[#This Row],[Order_Status]]="Delivered",Table1[[#This Row],[Delivery_Date]]&lt;&gt;"Not Yet Delivered"),Table1[[#This Row],[Delivery_Date]]-Table1[[#This Row],[Order_Date]],"Not Applicable")</f>
        <v>14</v>
      </c>
      <c r="M172" s="14">
        <f>Table1[[#This Row],[Unit_Cost]]-Table1[[#This Row],[Negotiated_Cost]]</f>
        <v>78.350000000000364</v>
      </c>
      <c r="N172" s="18">
        <f>Table1[[#This Row],[Defective_Units]]/Table1[[#This Row],[Quantity]]</f>
        <v>1.8867924528301886E-2</v>
      </c>
      <c r="O172" s="26">
        <f>(Table1[[#This Row],[Unit_Cost]]-Table1[[#This Row],[Negotiated_Cost]])/Table1[[#This Row],[Unit_Cost]]</f>
        <v>5.9172133889886479E-3</v>
      </c>
    </row>
    <row r="173" spans="1:15" x14ac:dyDescent="0.25">
      <c r="A173" t="s">
        <v>208</v>
      </c>
      <c r="B173" t="s">
        <v>40</v>
      </c>
      <c r="C173" s="14" t="s">
        <v>55</v>
      </c>
      <c r="D173" s="1">
        <v>45527</v>
      </c>
      <c r="E173" s="13">
        <v>45535</v>
      </c>
      <c r="F173" s="14" t="s">
        <v>14</v>
      </c>
      <c r="G173">
        <v>217</v>
      </c>
      <c r="H173">
        <v>15330.36</v>
      </c>
      <c r="I173">
        <v>14747.62</v>
      </c>
      <c r="J173">
        <v>2</v>
      </c>
      <c r="K173" s="14" t="s">
        <v>15</v>
      </c>
      <c r="L173" s="14">
        <f>IF(OR(Table1[[#This Row],[Order_Status]]="Delivered",Table1[[#This Row],[Delivery_Date]]&lt;&gt;"Not Yet Delivered"),Table1[[#This Row],[Delivery_Date]]-Table1[[#This Row],[Order_Date]],"Not Applicable")</f>
        <v>8</v>
      </c>
      <c r="M173" s="14">
        <f>Table1[[#This Row],[Unit_Cost]]-Table1[[#This Row],[Negotiated_Cost]]</f>
        <v>582.73999999999978</v>
      </c>
      <c r="N173" s="18">
        <f>Table1[[#This Row],[Defective_Units]]/Table1[[#This Row],[Quantity]]</f>
        <v>9.2165898617511521E-3</v>
      </c>
      <c r="O173" s="26">
        <f>(Table1[[#This Row],[Unit_Cost]]-Table1[[#This Row],[Negotiated_Cost]])/Table1[[#This Row],[Unit_Cost]]</f>
        <v>3.8012153661101222E-2</v>
      </c>
    </row>
    <row r="174" spans="1:15" x14ac:dyDescent="0.25">
      <c r="A174" t="s">
        <v>209</v>
      </c>
      <c r="B174" t="s">
        <v>17</v>
      </c>
      <c r="C174" s="14" t="s">
        <v>50</v>
      </c>
      <c r="D174" s="1">
        <v>45028</v>
      </c>
      <c r="E174" s="13">
        <v>45043</v>
      </c>
      <c r="F174" s="14" t="s">
        <v>14</v>
      </c>
      <c r="G174">
        <v>478</v>
      </c>
      <c r="H174">
        <v>49390.67</v>
      </c>
      <c r="I174">
        <v>46926.400000000001</v>
      </c>
      <c r="J174">
        <v>4</v>
      </c>
      <c r="K174" s="14" t="s">
        <v>15</v>
      </c>
      <c r="L174" s="14">
        <f>IF(OR(Table1[[#This Row],[Order_Status]]="Delivered",Table1[[#This Row],[Delivery_Date]]&lt;&gt;"Not Yet Delivered"),Table1[[#This Row],[Delivery_Date]]-Table1[[#This Row],[Order_Date]],"Not Applicable")</f>
        <v>15</v>
      </c>
      <c r="M174" s="14">
        <f>Table1[[#This Row],[Unit_Cost]]-Table1[[#This Row],[Negotiated_Cost]]</f>
        <v>2464.2699999999968</v>
      </c>
      <c r="N174" s="18">
        <f>Table1[[#This Row],[Defective_Units]]/Table1[[#This Row],[Quantity]]</f>
        <v>8.368200836820083E-3</v>
      </c>
      <c r="O174" s="26">
        <f>(Table1[[#This Row],[Unit_Cost]]-Table1[[#This Row],[Negotiated_Cost]])/Table1[[#This Row],[Unit_Cost]]</f>
        <v>4.9893431289755673E-2</v>
      </c>
    </row>
    <row r="175" spans="1:15" x14ac:dyDescent="0.25">
      <c r="A175" t="s">
        <v>210</v>
      </c>
      <c r="B175" t="s">
        <v>32</v>
      </c>
      <c r="C175" s="14" t="s">
        <v>28</v>
      </c>
      <c r="D175" s="1">
        <v>45555</v>
      </c>
      <c r="E175" s="13">
        <v>45558</v>
      </c>
      <c r="F175" s="14" t="s">
        <v>14</v>
      </c>
      <c r="G175">
        <v>225</v>
      </c>
      <c r="H175">
        <v>43318.74</v>
      </c>
      <c r="I175">
        <v>41707.79</v>
      </c>
      <c r="J175">
        <v>1</v>
      </c>
      <c r="K175" s="14" t="s">
        <v>15</v>
      </c>
      <c r="L175" s="14">
        <f>IF(OR(Table1[[#This Row],[Order_Status]]="Delivered",Table1[[#This Row],[Delivery_Date]]&lt;&gt;"Not Yet Delivered"),Table1[[#This Row],[Delivery_Date]]-Table1[[#This Row],[Order_Date]],"Not Applicable")</f>
        <v>3</v>
      </c>
      <c r="M175" s="14">
        <f>Table1[[#This Row],[Unit_Cost]]-Table1[[#This Row],[Negotiated_Cost]]</f>
        <v>1610.9499999999971</v>
      </c>
      <c r="N175" s="18">
        <f>Table1[[#This Row],[Defective_Units]]/Table1[[#This Row],[Quantity]]</f>
        <v>4.4444444444444444E-3</v>
      </c>
      <c r="O175" s="26">
        <f>(Table1[[#This Row],[Unit_Cost]]-Table1[[#This Row],[Negotiated_Cost]])/Table1[[#This Row],[Unit_Cost]]</f>
        <v>3.7188293103631295E-2</v>
      </c>
    </row>
    <row r="176" spans="1:15" x14ac:dyDescent="0.25">
      <c r="A176" t="s">
        <v>211</v>
      </c>
      <c r="B176" t="s">
        <v>32</v>
      </c>
      <c r="C176" s="14" t="s">
        <v>13</v>
      </c>
      <c r="D176" s="1">
        <v>45424</v>
      </c>
      <c r="E176" s="13">
        <v>45448</v>
      </c>
      <c r="F176" s="14" t="s">
        <v>14</v>
      </c>
      <c r="G176">
        <v>368</v>
      </c>
      <c r="H176">
        <v>4075.22</v>
      </c>
      <c r="I176">
        <v>3835.16</v>
      </c>
      <c r="J176">
        <v>3</v>
      </c>
      <c r="K176" s="14" t="s">
        <v>25</v>
      </c>
      <c r="L176" s="14">
        <f>IF(OR(Table1[[#This Row],[Order_Status]]="Delivered",Table1[[#This Row],[Delivery_Date]]&lt;&gt;"Not Yet Delivered"),Table1[[#This Row],[Delivery_Date]]-Table1[[#This Row],[Order_Date]],"Not Applicable")</f>
        <v>24</v>
      </c>
      <c r="M176" s="14">
        <f>Table1[[#This Row],[Unit_Cost]]-Table1[[#This Row],[Negotiated_Cost]]</f>
        <v>240.05999999999995</v>
      </c>
      <c r="N176" s="18">
        <f>Table1[[#This Row],[Defective_Units]]/Table1[[#This Row],[Quantity]]</f>
        <v>8.152173913043478E-3</v>
      </c>
      <c r="O176" s="26">
        <f>(Table1[[#This Row],[Unit_Cost]]-Table1[[#This Row],[Negotiated_Cost]])/Table1[[#This Row],[Unit_Cost]]</f>
        <v>5.8907249179185404E-2</v>
      </c>
    </row>
    <row r="177" spans="1:15" x14ac:dyDescent="0.25">
      <c r="A177" t="s">
        <v>212</v>
      </c>
      <c r="B177" t="s">
        <v>17</v>
      </c>
      <c r="C177" s="14" t="s">
        <v>30</v>
      </c>
      <c r="D177" s="1">
        <v>44977</v>
      </c>
      <c r="E177" s="13">
        <v>44997</v>
      </c>
      <c r="F177" s="14" t="s">
        <v>14</v>
      </c>
      <c r="G177">
        <v>275</v>
      </c>
      <c r="H177">
        <v>815.26</v>
      </c>
      <c r="I177">
        <v>789.78</v>
      </c>
      <c r="J177">
        <v>2</v>
      </c>
      <c r="K177" s="14" t="s">
        <v>15</v>
      </c>
      <c r="L177" s="14">
        <f>IF(OR(Table1[[#This Row],[Order_Status]]="Delivered",Table1[[#This Row],[Delivery_Date]]&lt;&gt;"Not Yet Delivered"),Table1[[#This Row],[Delivery_Date]]-Table1[[#This Row],[Order_Date]],"Not Applicable")</f>
        <v>20</v>
      </c>
      <c r="M177" s="14">
        <f>Table1[[#This Row],[Unit_Cost]]-Table1[[#This Row],[Negotiated_Cost]]</f>
        <v>25.480000000000018</v>
      </c>
      <c r="N177" s="18">
        <f>Table1[[#This Row],[Defective_Units]]/Table1[[#This Row],[Quantity]]</f>
        <v>7.2727272727272727E-3</v>
      </c>
      <c r="O177" s="26">
        <f>(Table1[[#This Row],[Unit_Cost]]-Table1[[#This Row],[Negotiated_Cost]])/Table1[[#This Row],[Unit_Cost]]</f>
        <v>3.1253833132988275E-2</v>
      </c>
    </row>
    <row r="178" spans="1:15" x14ac:dyDescent="0.25">
      <c r="A178" t="s">
        <v>213</v>
      </c>
      <c r="B178" t="s">
        <v>46</v>
      </c>
      <c r="C178" s="14" t="s">
        <v>42</v>
      </c>
      <c r="D178" s="1">
        <v>45082</v>
      </c>
      <c r="E178" s="13">
        <v>45101</v>
      </c>
      <c r="F178" s="14" t="s">
        <v>14</v>
      </c>
      <c r="G178">
        <v>295</v>
      </c>
      <c r="H178">
        <v>11995.38</v>
      </c>
      <c r="I178">
        <v>11340.16</v>
      </c>
      <c r="J178">
        <v>8</v>
      </c>
      <c r="K178" s="14" t="s">
        <v>15</v>
      </c>
      <c r="L178" s="14">
        <f>IF(OR(Table1[[#This Row],[Order_Status]]="Delivered",Table1[[#This Row],[Delivery_Date]]&lt;&gt;"Not Yet Delivered"),Table1[[#This Row],[Delivery_Date]]-Table1[[#This Row],[Order_Date]],"Not Applicable")</f>
        <v>19</v>
      </c>
      <c r="M178" s="14">
        <f>Table1[[#This Row],[Unit_Cost]]-Table1[[#This Row],[Negotiated_Cost]]</f>
        <v>655.21999999999935</v>
      </c>
      <c r="N178" s="18">
        <f>Table1[[#This Row],[Defective_Units]]/Table1[[#This Row],[Quantity]]</f>
        <v>2.7118644067796609E-2</v>
      </c>
      <c r="O178" s="26">
        <f>(Table1[[#This Row],[Unit_Cost]]-Table1[[#This Row],[Negotiated_Cost]])/Table1[[#This Row],[Unit_Cost]]</f>
        <v>5.4622696404782456E-2</v>
      </c>
    </row>
    <row r="179" spans="1:15" x14ac:dyDescent="0.25">
      <c r="A179" t="s">
        <v>214</v>
      </c>
      <c r="B179" t="s">
        <v>40</v>
      </c>
      <c r="C179" s="14" t="s">
        <v>13</v>
      </c>
      <c r="D179" s="1">
        <v>45034</v>
      </c>
      <c r="E179" s="13">
        <v>45059</v>
      </c>
      <c r="F179" s="14" t="s">
        <v>37</v>
      </c>
      <c r="G179">
        <v>78</v>
      </c>
      <c r="H179">
        <v>4699.18</v>
      </c>
      <c r="I179">
        <v>4469.2700000000004</v>
      </c>
      <c r="J179">
        <v>1</v>
      </c>
      <c r="K179" s="14" t="s">
        <v>15</v>
      </c>
      <c r="L179" s="14">
        <f>IF(OR(Table1[[#This Row],[Order_Status]]="Delivered",Table1[[#This Row],[Delivery_Date]]&lt;&gt;"Not Yet Delivered"),Table1[[#This Row],[Delivery_Date]]-Table1[[#This Row],[Order_Date]],"Not Applicable")</f>
        <v>25</v>
      </c>
      <c r="M179" s="14">
        <f>Table1[[#This Row],[Unit_Cost]]-Table1[[#This Row],[Negotiated_Cost]]</f>
        <v>229.90999999999985</v>
      </c>
      <c r="N179" s="18">
        <f>Table1[[#This Row],[Defective_Units]]/Table1[[#This Row],[Quantity]]</f>
        <v>1.282051282051282E-2</v>
      </c>
      <c r="O179" s="26">
        <f>(Table1[[#This Row],[Unit_Cost]]-Table1[[#This Row],[Negotiated_Cost]])/Table1[[#This Row],[Unit_Cost]]</f>
        <v>4.89255572248775E-2</v>
      </c>
    </row>
    <row r="180" spans="1:15" x14ac:dyDescent="0.25">
      <c r="A180" t="s">
        <v>215</v>
      </c>
      <c r="B180" t="s">
        <v>40</v>
      </c>
      <c r="C180" s="14" t="s">
        <v>55</v>
      </c>
      <c r="D180" s="1">
        <v>45311</v>
      </c>
      <c r="E180" s="13">
        <v>45339</v>
      </c>
      <c r="F180" s="14" t="s">
        <v>14</v>
      </c>
      <c r="G180">
        <v>176</v>
      </c>
      <c r="H180">
        <v>14801.98</v>
      </c>
      <c r="I180">
        <v>14476.17</v>
      </c>
      <c r="J180">
        <v>2</v>
      </c>
      <c r="K180" s="14" t="s">
        <v>15</v>
      </c>
      <c r="L180" s="14">
        <f>IF(OR(Table1[[#This Row],[Order_Status]]="Delivered",Table1[[#This Row],[Delivery_Date]]&lt;&gt;"Not Yet Delivered"),Table1[[#This Row],[Delivery_Date]]-Table1[[#This Row],[Order_Date]],"Not Applicable")</f>
        <v>28</v>
      </c>
      <c r="M180" s="14">
        <f>Table1[[#This Row],[Unit_Cost]]-Table1[[#This Row],[Negotiated_Cost]]</f>
        <v>325.80999999999949</v>
      </c>
      <c r="N180" s="18">
        <f>Table1[[#This Row],[Defective_Units]]/Table1[[#This Row],[Quantity]]</f>
        <v>1.1363636363636364E-2</v>
      </c>
      <c r="O180" s="26">
        <f>(Table1[[#This Row],[Unit_Cost]]-Table1[[#This Row],[Negotiated_Cost]])/Table1[[#This Row],[Unit_Cost]]</f>
        <v>2.2011244441621964E-2</v>
      </c>
    </row>
    <row r="181" spans="1:15" x14ac:dyDescent="0.25">
      <c r="A181" t="s">
        <v>216</v>
      </c>
      <c r="B181" t="s">
        <v>20</v>
      </c>
      <c r="C181" s="14" t="s">
        <v>44</v>
      </c>
      <c r="D181" s="1">
        <v>44936</v>
      </c>
      <c r="E181" s="13">
        <v>44945</v>
      </c>
      <c r="F181" s="14" t="s">
        <v>37</v>
      </c>
      <c r="G181">
        <v>476</v>
      </c>
      <c r="H181">
        <v>8072.88</v>
      </c>
      <c r="I181">
        <v>7995.31</v>
      </c>
      <c r="J181">
        <v>4</v>
      </c>
      <c r="K181" s="14" t="s">
        <v>15</v>
      </c>
      <c r="L181" s="14">
        <f>IF(OR(Table1[[#This Row],[Order_Status]]="Delivered",Table1[[#This Row],[Delivery_Date]]&lt;&gt;"Not Yet Delivered"),Table1[[#This Row],[Delivery_Date]]-Table1[[#This Row],[Order_Date]],"Not Applicable")</f>
        <v>9</v>
      </c>
      <c r="M181" s="14">
        <f>Table1[[#This Row],[Unit_Cost]]-Table1[[#This Row],[Negotiated_Cost]]</f>
        <v>77.569999999999709</v>
      </c>
      <c r="N181" s="18">
        <f>Table1[[#This Row],[Defective_Units]]/Table1[[#This Row],[Quantity]]</f>
        <v>8.4033613445378148E-3</v>
      </c>
      <c r="O181" s="26">
        <f>(Table1[[#This Row],[Unit_Cost]]-Table1[[#This Row],[Negotiated_Cost]])/Table1[[#This Row],[Unit_Cost]]</f>
        <v>9.6087146099037412E-3</v>
      </c>
    </row>
    <row r="182" spans="1:15" x14ac:dyDescent="0.25">
      <c r="A182" t="s">
        <v>217</v>
      </c>
      <c r="B182" t="s">
        <v>17</v>
      </c>
      <c r="C182" s="14" t="s">
        <v>18</v>
      </c>
      <c r="D182" s="1">
        <v>45538</v>
      </c>
      <c r="E182" s="13">
        <v>45558</v>
      </c>
      <c r="F182" s="14" t="s">
        <v>14</v>
      </c>
      <c r="G182">
        <v>64</v>
      </c>
      <c r="H182">
        <v>4988.55</v>
      </c>
      <c r="I182">
        <v>4931.54</v>
      </c>
      <c r="J182">
        <v>1</v>
      </c>
      <c r="K182" s="14" t="s">
        <v>15</v>
      </c>
      <c r="L182" s="14">
        <f>IF(OR(Table1[[#This Row],[Order_Status]]="Delivered",Table1[[#This Row],[Delivery_Date]]&lt;&gt;"Not Yet Delivered"),Table1[[#This Row],[Delivery_Date]]-Table1[[#This Row],[Order_Date]],"Not Applicable")</f>
        <v>20</v>
      </c>
      <c r="M182" s="14">
        <f>Table1[[#This Row],[Unit_Cost]]-Table1[[#This Row],[Negotiated_Cost]]</f>
        <v>57.010000000000218</v>
      </c>
      <c r="N182" s="18">
        <f>Table1[[#This Row],[Defective_Units]]/Table1[[#This Row],[Quantity]]</f>
        <v>1.5625E-2</v>
      </c>
      <c r="O182" s="26">
        <f>(Table1[[#This Row],[Unit_Cost]]-Table1[[#This Row],[Negotiated_Cost]])/Table1[[#This Row],[Unit_Cost]]</f>
        <v>1.1428170510469017E-2</v>
      </c>
    </row>
    <row r="183" spans="1:15" x14ac:dyDescent="0.25">
      <c r="A183" t="s">
        <v>218</v>
      </c>
      <c r="B183" t="s">
        <v>12</v>
      </c>
      <c r="C183" s="14" t="s">
        <v>24</v>
      </c>
      <c r="D183" s="1">
        <v>45152</v>
      </c>
      <c r="E183" s="13">
        <v>45169</v>
      </c>
      <c r="F183" s="14" t="s">
        <v>14</v>
      </c>
      <c r="G183">
        <v>165</v>
      </c>
      <c r="H183">
        <v>12678.87</v>
      </c>
      <c r="I183">
        <v>11990.95</v>
      </c>
      <c r="J183">
        <v>0</v>
      </c>
      <c r="K183" s="14" t="s">
        <v>15</v>
      </c>
      <c r="L183" s="14">
        <f>IF(OR(Table1[[#This Row],[Order_Status]]="Delivered",Table1[[#This Row],[Delivery_Date]]&lt;&gt;"Not Yet Delivered"),Table1[[#This Row],[Delivery_Date]]-Table1[[#This Row],[Order_Date]],"Not Applicable")</f>
        <v>17</v>
      </c>
      <c r="M183" s="14">
        <f>Table1[[#This Row],[Unit_Cost]]-Table1[[#This Row],[Negotiated_Cost]]</f>
        <v>687.92000000000007</v>
      </c>
      <c r="N183" s="18">
        <f>Table1[[#This Row],[Defective_Units]]/Table1[[#This Row],[Quantity]]</f>
        <v>0</v>
      </c>
      <c r="O183" s="26">
        <f>(Table1[[#This Row],[Unit_Cost]]-Table1[[#This Row],[Negotiated_Cost]])/Table1[[#This Row],[Unit_Cost]]</f>
        <v>5.4257201154361549E-2</v>
      </c>
    </row>
    <row r="184" spans="1:15" x14ac:dyDescent="0.25">
      <c r="A184" t="s">
        <v>219</v>
      </c>
      <c r="B184" t="s">
        <v>32</v>
      </c>
      <c r="C184" s="14" t="s">
        <v>48</v>
      </c>
      <c r="D184" s="1">
        <v>45003</v>
      </c>
      <c r="E184" s="13">
        <v>45007</v>
      </c>
      <c r="F184" s="14" t="s">
        <v>14</v>
      </c>
      <c r="G184">
        <v>445</v>
      </c>
      <c r="H184">
        <v>5977.68</v>
      </c>
      <c r="I184">
        <v>5973.3</v>
      </c>
      <c r="J184">
        <v>6</v>
      </c>
      <c r="K184" s="14" t="s">
        <v>15</v>
      </c>
      <c r="L184" s="14">
        <f>IF(OR(Table1[[#This Row],[Order_Status]]="Delivered",Table1[[#This Row],[Delivery_Date]]&lt;&gt;"Not Yet Delivered"),Table1[[#This Row],[Delivery_Date]]-Table1[[#This Row],[Order_Date]],"Not Applicable")</f>
        <v>4</v>
      </c>
      <c r="M184" s="14">
        <f>Table1[[#This Row],[Unit_Cost]]-Table1[[#This Row],[Negotiated_Cost]]</f>
        <v>4.3800000000001091</v>
      </c>
      <c r="N184" s="18">
        <f>Table1[[#This Row],[Defective_Units]]/Table1[[#This Row],[Quantity]]</f>
        <v>1.3483146067415731E-2</v>
      </c>
      <c r="O184" s="26">
        <f>(Table1[[#This Row],[Unit_Cost]]-Table1[[#This Row],[Negotiated_Cost]])/Table1[[#This Row],[Unit_Cost]]</f>
        <v>7.327257397518952E-4</v>
      </c>
    </row>
    <row r="185" spans="1:15" x14ac:dyDescent="0.25">
      <c r="A185" t="s">
        <v>220</v>
      </c>
      <c r="B185" t="s">
        <v>20</v>
      </c>
      <c r="C185" s="14" t="s">
        <v>48</v>
      </c>
      <c r="D185" s="1">
        <v>45385</v>
      </c>
      <c r="E185" s="13">
        <v>45390</v>
      </c>
      <c r="F185" s="14" t="s">
        <v>37</v>
      </c>
      <c r="G185">
        <v>491</v>
      </c>
      <c r="H185">
        <v>6121.01</v>
      </c>
      <c r="I185">
        <v>6054.43</v>
      </c>
      <c r="J185">
        <v>4</v>
      </c>
      <c r="K185" s="14" t="s">
        <v>15</v>
      </c>
      <c r="L185" s="14">
        <f>IF(OR(Table1[[#This Row],[Order_Status]]="Delivered",Table1[[#This Row],[Delivery_Date]]&lt;&gt;"Not Yet Delivered"),Table1[[#This Row],[Delivery_Date]]-Table1[[#This Row],[Order_Date]],"Not Applicable")</f>
        <v>5</v>
      </c>
      <c r="M185" s="14">
        <f>Table1[[#This Row],[Unit_Cost]]-Table1[[#This Row],[Negotiated_Cost]]</f>
        <v>66.579999999999927</v>
      </c>
      <c r="N185" s="18">
        <f>Table1[[#This Row],[Defective_Units]]/Table1[[#This Row],[Quantity]]</f>
        <v>8.1466395112016286E-3</v>
      </c>
      <c r="O185" s="26">
        <f>(Table1[[#This Row],[Unit_Cost]]-Table1[[#This Row],[Negotiated_Cost]])/Table1[[#This Row],[Unit_Cost]]</f>
        <v>1.087728985902652E-2</v>
      </c>
    </row>
    <row r="186" spans="1:15" x14ac:dyDescent="0.25">
      <c r="A186" t="s">
        <v>221</v>
      </c>
      <c r="B186" t="s">
        <v>46</v>
      </c>
      <c r="C186" s="14" t="s">
        <v>18</v>
      </c>
      <c r="D186" s="1">
        <v>45279</v>
      </c>
      <c r="E186" s="13">
        <v>45307</v>
      </c>
      <c r="F186" s="14" t="s">
        <v>14</v>
      </c>
      <c r="G186">
        <v>168</v>
      </c>
      <c r="H186">
        <v>4957.6499999999996</v>
      </c>
      <c r="I186">
        <v>4756.38</v>
      </c>
      <c r="J186">
        <v>2</v>
      </c>
      <c r="K186" s="14" t="s">
        <v>15</v>
      </c>
      <c r="L186" s="14">
        <f>IF(OR(Table1[[#This Row],[Order_Status]]="Delivered",Table1[[#This Row],[Delivery_Date]]&lt;&gt;"Not Yet Delivered"),Table1[[#This Row],[Delivery_Date]]-Table1[[#This Row],[Order_Date]],"Not Applicable")</f>
        <v>28</v>
      </c>
      <c r="M186" s="14">
        <f>Table1[[#This Row],[Unit_Cost]]-Table1[[#This Row],[Negotiated_Cost]]</f>
        <v>201.26999999999953</v>
      </c>
      <c r="N186" s="18">
        <f>Table1[[#This Row],[Defective_Units]]/Table1[[#This Row],[Quantity]]</f>
        <v>1.1904761904761904E-2</v>
      </c>
      <c r="O186" s="26">
        <f>(Table1[[#This Row],[Unit_Cost]]-Table1[[#This Row],[Negotiated_Cost]])/Table1[[#This Row],[Unit_Cost]]</f>
        <v>4.0597863907294696E-2</v>
      </c>
    </row>
    <row r="187" spans="1:15" x14ac:dyDescent="0.25">
      <c r="A187" t="s">
        <v>222</v>
      </c>
      <c r="B187" t="s">
        <v>46</v>
      </c>
      <c r="C187" s="14" t="s">
        <v>21</v>
      </c>
      <c r="D187" s="1">
        <v>45354</v>
      </c>
      <c r="E187" s="13">
        <v>45363</v>
      </c>
      <c r="F187" s="14" t="s">
        <v>14</v>
      </c>
      <c r="G187">
        <v>31</v>
      </c>
      <c r="H187">
        <v>120.8</v>
      </c>
      <c r="I187">
        <v>115.52</v>
      </c>
      <c r="J187">
        <v>0</v>
      </c>
      <c r="K187" s="14" t="s">
        <v>15</v>
      </c>
      <c r="L187" s="14">
        <f>IF(OR(Table1[[#This Row],[Order_Status]]="Delivered",Table1[[#This Row],[Delivery_Date]]&lt;&gt;"Not Yet Delivered"),Table1[[#This Row],[Delivery_Date]]-Table1[[#This Row],[Order_Date]],"Not Applicable")</f>
        <v>9</v>
      </c>
      <c r="M187" s="14">
        <f>Table1[[#This Row],[Unit_Cost]]-Table1[[#This Row],[Negotiated_Cost]]</f>
        <v>5.2800000000000011</v>
      </c>
      <c r="N187" s="18">
        <f>Table1[[#This Row],[Defective_Units]]/Table1[[#This Row],[Quantity]]</f>
        <v>0</v>
      </c>
      <c r="O187" s="26">
        <f>(Table1[[#This Row],[Unit_Cost]]-Table1[[#This Row],[Negotiated_Cost]])/Table1[[#This Row],[Unit_Cost]]</f>
        <v>4.3708609271523188E-2</v>
      </c>
    </row>
    <row r="188" spans="1:15" x14ac:dyDescent="0.25">
      <c r="A188" t="s">
        <v>223</v>
      </c>
      <c r="B188" t="s">
        <v>27</v>
      </c>
      <c r="C188" s="14" t="s">
        <v>55</v>
      </c>
      <c r="D188" s="1">
        <v>45653</v>
      </c>
      <c r="E188" s="13">
        <v>45656</v>
      </c>
      <c r="F188" s="14" t="s">
        <v>14</v>
      </c>
      <c r="G188">
        <v>176</v>
      </c>
      <c r="H188">
        <v>15077.23</v>
      </c>
      <c r="I188">
        <v>14677.19</v>
      </c>
      <c r="J188">
        <v>1</v>
      </c>
      <c r="K188" s="14" t="s">
        <v>15</v>
      </c>
      <c r="L188" s="14">
        <f>IF(OR(Table1[[#This Row],[Order_Status]]="Delivered",Table1[[#This Row],[Delivery_Date]]&lt;&gt;"Not Yet Delivered"),Table1[[#This Row],[Delivery_Date]]-Table1[[#This Row],[Order_Date]],"Not Applicable")</f>
        <v>3</v>
      </c>
      <c r="M188" s="14">
        <f>Table1[[#This Row],[Unit_Cost]]-Table1[[#This Row],[Negotiated_Cost]]</f>
        <v>400.03999999999905</v>
      </c>
      <c r="N188" s="18">
        <f>Table1[[#This Row],[Defective_Units]]/Table1[[#This Row],[Quantity]]</f>
        <v>5.681818181818182E-3</v>
      </c>
      <c r="O188" s="26">
        <f>(Table1[[#This Row],[Unit_Cost]]-Table1[[#This Row],[Negotiated_Cost]])/Table1[[#This Row],[Unit_Cost]]</f>
        <v>2.6532725175645595E-2</v>
      </c>
    </row>
    <row r="189" spans="1:15" x14ac:dyDescent="0.25">
      <c r="A189" t="s">
        <v>224</v>
      </c>
      <c r="B189" t="s">
        <v>46</v>
      </c>
      <c r="C189" s="14" t="s">
        <v>36</v>
      </c>
      <c r="D189" s="1">
        <v>45403</v>
      </c>
      <c r="E189" s="13">
        <v>45414</v>
      </c>
      <c r="F189" s="14" t="s">
        <v>14</v>
      </c>
      <c r="G189">
        <v>291</v>
      </c>
      <c r="H189">
        <v>561.15</v>
      </c>
      <c r="I189">
        <v>533.22</v>
      </c>
      <c r="J189">
        <v>4</v>
      </c>
      <c r="K189" s="14" t="s">
        <v>15</v>
      </c>
      <c r="L189" s="14">
        <f>IF(OR(Table1[[#This Row],[Order_Status]]="Delivered",Table1[[#This Row],[Delivery_Date]]&lt;&gt;"Not Yet Delivered"),Table1[[#This Row],[Delivery_Date]]-Table1[[#This Row],[Order_Date]],"Not Applicable")</f>
        <v>11</v>
      </c>
      <c r="M189" s="14">
        <f>Table1[[#This Row],[Unit_Cost]]-Table1[[#This Row],[Negotiated_Cost]]</f>
        <v>27.92999999999995</v>
      </c>
      <c r="N189" s="18">
        <f>Table1[[#This Row],[Defective_Units]]/Table1[[#This Row],[Quantity]]</f>
        <v>1.3745704467353952E-2</v>
      </c>
      <c r="O189" s="26">
        <f>(Table1[[#This Row],[Unit_Cost]]-Table1[[#This Row],[Negotiated_Cost]])/Table1[[#This Row],[Unit_Cost]]</f>
        <v>4.9772788024592271E-2</v>
      </c>
    </row>
    <row r="190" spans="1:15" x14ac:dyDescent="0.25">
      <c r="A190" t="s">
        <v>225</v>
      </c>
      <c r="B190" t="s">
        <v>35</v>
      </c>
      <c r="C190" s="14" t="s">
        <v>21</v>
      </c>
      <c r="D190" s="1">
        <v>45441</v>
      </c>
      <c r="E190" s="13">
        <v>45461</v>
      </c>
      <c r="F190" s="14" t="s">
        <v>14</v>
      </c>
      <c r="G190">
        <v>148</v>
      </c>
      <c r="H190">
        <v>118.31</v>
      </c>
      <c r="I190">
        <v>112.06</v>
      </c>
      <c r="J190">
        <v>6</v>
      </c>
      <c r="K190" s="14" t="s">
        <v>15</v>
      </c>
      <c r="L190" s="14">
        <f>IF(OR(Table1[[#This Row],[Order_Status]]="Delivered",Table1[[#This Row],[Delivery_Date]]&lt;&gt;"Not Yet Delivered"),Table1[[#This Row],[Delivery_Date]]-Table1[[#This Row],[Order_Date]],"Not Applicable")</f>
        <v>20</v>
      </c>
      <c r="M190" s="14">
        <f>Table1[[#This Row],[Unit_Cost]]-Table1[[#This Row],[Negotiated_Cost]]</f>
        <v>6.25</v>
      </c>
      <c r="N190" s="18">
        <f>Table1[[#This Row],[Defective_Units]]/Table1[[#This Row],[Quantity]]</f>
        <v>4.0540540540540543E-2</v>
      </c>
      <c r="O190" s="26">
        <f>(Table1[[#This Row],[Unit_Cost]]-Table1[[#This Row],[Negotiated_Cost]])/Table1[[#This Row],[Unit_Cost]]</f>
        <v>5.2827318062716594E-2</v>
      </c>
    </row>
    <row r="191" spans="1:15" x14ac:dyDescent="0.25">
      <c r="A191" t="s">
        <v>226</v>
      </c>
      <c r="B191" t="s">
        <v>32</v>
      </c>
      <c r="C191" s="14" t="s">
        <v>48</v>
      </c>
      <c r="D191" s="1">
        <v>45075</v>
      </c>
      <c r="E191" s="14" t="s">
        <v>2057</v>
      </c>
      <c r="F191" s="14" t="s">
        <v>33</v>
      </c>
      <c r="G191">
        <v>88</v>
      </c>
      <c r="H191">
        <v>6068.69</v>
      </c>
      <c r="I191">
        <v>5737.02</v>
      </c>
      <c r="J191">
        <v>2</v>
      </c>
      <c r="K191" s="14" t="s">
        <v>15</v>
      </c>
      <c r="L191" s="14" t="str">
        <f>IF(OR(Table1[[#This Row],[Order_Status]]="Delivered",Table1[[#This Row],[Delivery_Date]]&lt;&gt;"Not Yet Delivered"),Table1[[#This Row],[Delivery_Date]]-Table1[[#This Row],[Order_Date]],"Not Applicable")</f>
        <v>Not Applicable</v>
      </c>
      <c r="M191" s="14">
        <f>Table1[[#This Row],[Unit_Cost]]-Table1[[#This Row],[Negotiated_Cost]]</f>
        <v>331.66999999999916</v>
      </c>
      <c r="N191" s="18">
        <f>Table1[[#This Row],[Defective_Units]]/Table1[[#This Row],[Quantity]]</f>
        <v>2.2727272727272728E-2</v>
      </c>
      <c r="O191" s="26">
        <f>(Table1[[#This Row],[Unit_Cost]]-Table1[[#This Row],[Negotiated_Cost]])/Table1[[#This Row],[Unit_Cost]]</f>
        <v>5.4652651560715602E-2</v>
      </c>
    </row>
    <row r="192" spans="1:15" x14ac:dyDescent="0.25">
      <c r="A192" t="s">
        <v>227</v>
      </c>
      <c r="B192" t="s">
        <v>32</v>
      </c>
      <c r="C192" s="14" t="s">
        <v>21</v>
      </c>
      <c r="D192" s="1">
        <v>45426</v>
      </c>
      <c r="E192" s="13">
        <v>45450</v>
      </c>
      <c r="F192" s="14" t="s">
        <v>14</v>
      </c>
      <c r="G192">
        <v>230</v>
      </c>
      <c r="H192">
        <v>104.61</v>
      </c>
      <c r="I192">
        <v>99.07</v>
      </c>
      <c r="J192">
        <v>0</v>
      </c>
      <c r="K192" s="14" t="s">
        <v>25</v>
      </c>
      <c r="L192" s="14">
        <f>IF(OR(Table1[[#This Row],[Order_Status]]="Delivered",Table1[[#This Row],[Delivery_Date]]&lt;&gt;"Not Yet Delivered"),Table1[[#This Row],[Delivery_Date]]-Table1[[#This Row],[Order_Date]],"Not Applicable")</f>
        <v>24</v>
      </c>
      <c r="M192" s="14">
        <f>Table1[[#This Row],[Unit_Cost]]-Table1[[#This Row],[Negotiated_Cost]]</f>
        <v>5.5400000000000063</v>
      </c>
      <c r="N192" s="18">
        <f>Table1[[#This Row],[Defective_Units]]/Table1[[#This Row],[Quantity]]</f>
        <v>0</v>
      </c>
      <c r="O192" s="26">
        <f>(Table1[[#This Row],[Unit_Cost]]-Table1[[#This Row],[Negotiated_Cost]])/Table1[[#This Row],[Unit_Cost]]</f>
        <v>5.2958608163655545E-2</v>
      </c>
    </row>
    <row r="193" spans="1:15" x14ac:dyDescent="0.25">
      <c r="A193" t="s">
        <v>228</v>
      </c>
      <c r="B193" t="s">
        <v>20</v>
      </c>
      <c r="C193" s="14" t="s">
        <v>48</v>
      </c>
      <c r="D193" s="1">
        <v>45106</v>
      </c>
      <c r="E193" s="13">
        <v>45130</v>
      </c>
      <c r="F193" s="14" t="s">
        <v>14</v>
      </c>
      <c r="G193">
        <v>194</v>
      </c>
      <c r="H193">
        <v>6200.47</v>
      </c>
      <c r="I193">
        <v>6051.88</v>
      </c>
      <c r="J193">
        <v>3</v>
      </c>
      <c r="K193" s="14" t="s">
        <v>15</v>
      </c>
      <c r="L193" s="14">
        <f>IF(OR(Table1[[#This Row],[Order_Status]]="Delivered",Table1[[#This Row],[Delivery_Date]]&lt;&gt;"Not Yet Delivered"),Table1[[#This Row],[Delivery_Date]]-Table1[[#This Row],[Order_Date]],"Not Applicable")</f>
        <v>24</v>
      </c>
      <c r="M193" s="14">
        <f>Table1[[#This Row],[Unit_Cost]]-Table1[[#This Row],[Negotiated_Cost]]</f>
        <v>148.59000000000015</v>
      </c>
      <c r="N193" s="18">
        <f>Table1[[#This Row],[Defective_Units]]/Table1[[#This Row],[Quantity]]</f>
        <v>1.5463917525773196E-2</v>
      </c>
      <c r="O193" s="26">
        <f>(Table1[[#This Row],[Unit_Cost]]-Table1[[#This Row],[Negotiated_Cost]])/Table1[[#This Row],[Unit_Cost]]</f>
        <v>2.3964312382771007E-2</v>
      </c>
    </row>
    <row r="194" spans="1:15" x14ac:dyDescent="0.25">
      <c r="A194" t="s">
        <v>229</v>
      </c>
      <c r="B194" t="s">
        <v>27</v>
      </c>
      <c r="C194" s="14" t="s">
        <v>30</v>
      </c>
      <c r="D194" s="1">
        <v>44938</v>
      </c>
      <c r="E194" s="13">
        <v>44952</v>
      </c>
      <c r="F194" s="14" t="s">
        <v>14</v>
      </c>
      <c r="G194">
        <v>243</v>
      </c>
      <c r="H194">
        <v>906.67</v>
      </c>
      <c r="I194">
        <v>881.63</v>
      </c>
      <c r="J194">
        <v>7</v>
      </c>
      <c r="K194" s="14" t="s">
        <v>15</v>
      </c>
      <c r="L194" s="14">
        <f>IF(OR(Table1[[#This Row],[Order_Status]]="Delivered",Table1[[#This Row],[Delivery_Date]]&lt;&gt;"Not Yet Delivered"),Table1[[#This Row],[Delivery_Date]]-Table1[[#This Row],[Order_Date]],"Not Applicable")</f>
        <v>14</v>
      </c>
      <c r="M194" s="14">
        <f>Table1[[#This Row],[Unit_Cost]]-Table1[[#This Row],[Negotiated_Cost]]</f>
        <v>25.039999999999964</v>
      </c>
      <c r="N194" s="18">
        <f>Table1[[#This Row],[Defective_Units]]/Table1[[#This Row],[Quantity]]</f>
        <v>2.8806584362139918E-2</v>
      </c>
      <c r="O194" s="26">
        <f>(Table1[[#This Row],[Unit_Cost]]-Table1[[#This Row],[Negotiated_Cost]])/Table1[[#This Row],[Unit_Cost]]</f>
        <v>2.7617545523729654E-2</v>
      </c>
    </row>
    <row r="195" spans="1:15" x14ac:dyDescent="0.25">
      <c r="A195" t="s">
        <v>230</v>
      </c>
      <c r="B195" t="s">
        <v>12</v>
      </c>
      <c r="C195" s="14" t="s">
        <v>13</v>
      </c>
      <c r="D195" s="1">
        <v>45452</v>
      </c>
      <c r="E195" s="13">
        <v>45480</v>
      </c>
      <c r="F195" s="14" t="s">
        <v>14</v>
      </c>
      <c r="G195">
        <v>77</v>
      </c>
      <c r="H195">
        <v>4316.08</v>
      </c>
      <c r="I195">
        <v>4063.04</v>
      </c>
      <c r="J195">
        <v>2</v>
      </c>
      <c r="K195" s="14" t="s">
        <v>15</v>
      </c>
      <c r="L195" s="14">
        <f>IF(OR(Table1[[#This Row],[Order_Status]]="Delivered",Table1[[#This Row],[Delivery_Date]]&lt;&gt;"Not Yet Delivered"),Table1[[#This Row],[Delivery_Date]]-Table1[[#This Row],[Order_Date]],"Not Applicable")</f>
        <v>28</v>
      </c>
      <c r="M195" s="14">
        <f>Table1[[#This Row],[Unit_Cost]]-Table1[[#This Row],[Negotiated_Cost]]</f>
        <v>253.03999999999996</v>
      </c>
      <c r="N195" s="18">
        <f>Table1[[#This Row],[Defective_Units]]/Table1[[#This Row],[Quantity]]</f>
        <v>2.5974025974025976E-2</v>
      </c>
      <c r="O195" s="26">
        <f>(Table1[[#This Row],[Unit_Cost]]-Table1[[#This Row],[Negotiated_Cost]])/Table1[[#This Row],[Unit_Cost]]</f>
        <v>5.8627272895775788E-2</v>
      </c>
    </row>
    <row r="196" spans="1:15" x14ac:dyDescent="0.25">
      <c r="A196" t="s">
        <v>231</v>
      </c>
      <c r="B196" t="s">
        <v>27</v>
      </c>
      <c r="C196" s="14" t="s">
        <v>48</v>
      </c>
      <c r="D196" s="1">
        <v>45179</v>
      </c>
      <c r="E196" s="13">
        <v>45181</v>
      </c>
      <c r="F196" s="14" t="s">
        <v>14</v>
      </c>
      <c r="G196">
        <v>314</v>
      </c>
      <c r="H196">
        <v>6481.8</v>
      </c>
      <c r="I196">
        <v>6328.71</v>
      </c>
      <c r="J196">
        <v>3</v>
      </c>
      <c r="K196" s="14" t="s">
        <v>15</v>
      </c>
      <c r="L196" s="14">
        <f>IF(OR(Table1[[#This Row],[Order_Status]]="Delivered",Table1[[#This Row],[Delivery_Date]]&lt;&gt;"Not Yet Delivered"),Table1[[#This Row],[Delivery_Date]]-Table1[[#This Row],[Order_Date]],"Not Applicable")</f>
        <v>2</v>
      </c>
      <c r="M196" s="14">
        <f>Table1[[#This Row],[Unit_Cost]]-Table1[[#This Row],[Negotiated_Cost]]</f>
        <v>153.09000000000015</v>
      </c>
      <c r="N196" s="18">
        <f>Table1[[#This Row],[Defective_Units]]/Table1[[#This Row],[Quantity]]</f>
        <v>9.5541401273885346E-3</v>
      </c>
      <c r="O196" s="26">
        <f>(Table1[[#This Row],[Unit_Cost]]-Table1[[#This Row],[Negotiated_Cost]])/Table1[[#This Row],[Unit_Cost]]</f>
        <v>2.3618439322410464E-2</v>
      </c>
    </row>
    <row r="197" spans="1:15" x14ac:dyDescent="0.25">
      <c r="A197" t="s">
        <v>232</v>
      </c>
      <c r="B197" t="s">
        <v>32</v>
      </c>
      <c r="C197" s="14" t="s">
        <v>48</v>
      </c>
      <c r="D197" s="1">
        <v>44951</v>
      </c>
      <c r="E197" s="13">
        <v>44954</v>
      </c>
      <c r="F197" s="14" t="s">
        <v>14</v>
      </c>
      <c r="G197">
        <v>145</v>
      </c>
      <c r="H197">
        <v>5884.94</v>
      </c>
      <c r="I197">
        <v>5555.91</v>
      </c>
      <c r="J197">
        <v>0</v>
      </c>
      <c r="K197" s="14" t="s">
        <v>15</v>
      </c>
      <c r="L197" s="14">
        <f>IF(OR(Table1[[#This Row],[Order_Status]]="Delivered",Table1[[#This Row],[Delivery_Date]]&lt;&gt;"Not Yet Delivered"),Table1[[#This Row],[Delivery_Date]]-Table1[[#This Row],[Order_Date]],"Not Applicable")</f>
        <v>3</v>
      </c>
      <c r="M197" s="14">
        <f>Table1[[#This Row],[Unit_Cost]]-Table1[[#This Row],[Negotiated_Cost]]</f>
        <v>329.02999999999975</v>
      </c>
      <c r="N197" s="18">
        <f>Table1[[#This Row],[Defective_Units]]/Table1[[#This Row],[Quantity]]</f>
        <v>0</v>
      </c>
      <c r="O197" s="26">
        <f>(Table1[[#This Row],[Unit_Cost]]-Table1[[#This Row],[Negotiated_Cost]])/Table1[[#This Row],[Unit_Cost]]</f>
        <v>5.5910510557456793E-2</v>
      </c>
    </row>
    <row r="198" spans="1:15" x14ac:dyDescent="0.25">
      <c r="A198" t="s">
        <v>233</v>
      </c>
      <c r="B198" t="s">
        <v>46</v>
      </c>
      <c r="C198" s="14" t="s">
        <v>21</v>
      </c>
      <c r="D198" s="1">
        <v>45469</v>
      </c>
      <c r="E198" s="13">
        <v>45476</v>
      </c>
      <c r="F198" s="14" t="s">
        <v>14</v>
      </c>
      <c r="G198">
        <v>338</v>
      </c>
      <c r="H198">
        <v>124.16</v>
      </c>
      <c r="J198">
        <v>0</v>
      </c>
      <c r="K198" s="14" t="s">
        <v>15</v>
      </c>
      <c r="L198" s="14">
        <f>IF(OR(Table1[[#This Row],[Order_Status]]="Delivered",Table1[[#This Row],[Delivery_Date]]&lt;&gt;"Not Yet Delivered"),Table1[[#This Row],[Delivery_Date]]-Table1[[#This Row],[Order_Date]],"Not Applicable")</f>
        <v>7</v>
      </c>
      <c r="M198" s="14">
        <f>Table1[[#This Row],[Unit_Cost]]-Table1[[#This Row],[Negotiated_Cost]]</f>
        <v>124.16</v>
      </c>
      <c r="N198" s="18">
        <f>Table1[[#This Row],[Defective_Units]]/Table1[[#This Row],[Quantity]]</f>
        <v>0</v>
      </c>
      <c r="O198" s="26">
        <f>(Table1[[#This Row],[Unit_Cost]]-Table1[[#This Row],[Negotiated_Cost]])/Table1[[#This Row],[Unit_Cost]]</f>
        <v>1</v>
      </c>
    </row>
    <row r="199" spans="1:15" x14ac:dyDescent="0.25">
      <c r="A199" t="s">
        <v>234</v>
      </c>
      <c r="B199" t="s">
        <v>46</v>
      </c>
      <c r="C199" s="14" t="s">
        <v>24</v>
      </c>
      <c r="D199" s="1">
        <v>45393</v>
      </c>
      <c r="E199" s="13">
        <v>45405</v>
      </c>
      <c r="F199" s="14" t="s">
        <v>37</v>
      </c>
      <c r="G199">
        <v>422</v>
      </c>
      <c r="H199">
        <v>12315.3</v>
      </c>
      <c r="I199">
        <v>11619.36</v>
      </c>
      <c r="J199">
        <v>4</v>
      </c>
      <c r="K199" s="14" t="s">
        <v>15</v>
      </c>
      <c r="L199" s="14">
        <f>IF(OR(Table1[[#This Row],[Order_Status]]="Delivered",Table1[[#This Row],[Delivery_Date]]&lt;&gt;"Not Yet Delivered"),Table1[[#This Row],[Delivery_Date]]-Table1[[#This Row],[Order_Date]],"Not Applicable")</f>
        <v>12</v>
      </c>
      <c r="M199" s="14">
        <f>Table1[[#This Row],[Unit_Cost]]-Table1[[#This Row],[Negotiated_Cost]]</f>
        <v>695.93999999999869</v>
      </c>
      <c r="N199" s="18">
        <f>Table1[[#This Row],[Defective_Units]]/Table1[[#This Row],[Quantity]]</f>
        <v>9.4786729857819912E-3</v>
      </c>
      <c r="O199" s="26">
        <f>(Table1[[#This Row],[Unit_Cost]]-Table1[[#This Row],[Negotiated_Cost]])/Table1[[#This Row],[Unit_Cost]]</f>
        <v>5.6510194635940557E-2</v>
      </c>
    </row>
    <row r="200" spans="1:15" x14ac:dyDescent="0.25">
      <c r="A200" t="s">
        <v>235</v>
      </c>
      <c r="B200" t="s">
        <v>17</v>
      </c>
      <c r="C200" s="14" t="s">
        <v>48</v>
      </c>
      <c r="D200" s="1">
        <v>45075</v>
      </c>
      <c r="E200" s="13">
        <v>45083</v>
      </c>
      <c r="F200" s="14" t="s">
        <v>14</v>
      </c>
      <c r="G200">
        <v>333</v>
      </c>
      <c r="H200">
        <v>6317.27</v>
      </c>
      <c r="I200">
        <v>6038.83</v>
      </c>
      <c r="J200">
        <v>1</v>
      </c>
      <c r="K200" s="14" t="s">
        <v>25</v>
      </c>
      <c r="L200" s="14">
        <f>IF(OR(Table1[[#This Row],[Order_Status]]="Delivered",Table1[[#This Row],[Delivery_Date]]&lt;&gt;"Not Yet Delivered"),Table1[[#This Row],[Delivery_Date]]-Table1[[#This Row],[Order_Date]],"Not Applicable")</f>
        <v>8</v>
      </c>
      <c r="M200" s="14">
        <f>Table1[[#This Row],[Unit_Cost]]-Table1[[#This Row],[Negotiated_Cost]]</f>
        <v>278.44000000000051</v>
      </c>
      <c r="N200" s="18">
        <f>Table1[[#This Row],[Defective_Units]]/Table1[[#This Row],[Quantity]]</f>
        <v>3.003003003003003E-3</v>
      </c>
      <c r="O200" s="26">
        <f>(Table1[[#This Row],[Unit_Cost]]-Table1[[#This Row],[Negotiated_Cost]])/Table1[[#This Row],[Unit_Cost]]</f>
        <v>4.407600118405585E-2</v>
      </c>
    </row>
    <row r="201" spans="1:15" x14ac:dyDescent="0.25">
      <c r="A201" t="s">
        <v>236</v>
      </c>
      <c r="B201" t="s">
        <v>46</v>
      </c>
      <c r="C201" s="14" t="s">
        <v>50</v>
      </c>
      <c r="D201" s="1">
        <v>45285</v>
      </c>
      <c r="E201" s="14" t="s">
        <v>2057</v>
      </c>
      <c r="F201" s="14" t="s">
        <v>33</v>
      </c>
      <c r="G201">
        <v>384</v>
      </c>
      <c r="H201">
        <v>50283.11</v>
      </c>
      <c r="I201">
        <v>49148.41</v>
      </c>
      <c r="J201">
        <v>2</v>
      </c>
      <c r="K201" s="14" t="s">
        <v>15</v>
      </c>
      <c r="L201" s="14" t="str">
        <f>IF(OR(Table1[[#This Row],[Order_Status]]="Delivered",Table1[[#This Row],[Delivery_Date]]&lt;&gt;"Not Yet Delivered"),Table1[[#This Row],[Delivery_Date]]-Table1[[#This Row],[Order_Date]],"Not Applicable")</f>
        <v>Not Applicable</v>
      </c>
      <c r="M201" s="14">
        <f>Table1[[#This Row],[Unit_Cost]]-Table1[[#This Row],[Negotiated_Cost]]</f>
        <v>1134.6999999999971</v>
      </c>
      <c r="N201" s="18">
        <f>Table1[[#This Row],[Defective_Units]]/Table1[[#This Row],[Quantity]]</f>
        <v>5.208333333333333E-3</v>
      </c>
      <c r="O201" s="26">
        <f>(Table1[[#This Row],[Unit_Cost]]-Table1[[#This Row],[Negotiated_Cost]])/Table1[[#This Row],[Unit_Cost]]</f>
        <v>2.2566225517872643E-2</v>
      </c>
    </row>
    <row r="202" spans="1:15" x14ac:dyDescent="0.25">
      <c r="A202" t="s">
        <v>237</v>
      </c>
      <c r="B202" t="s">
        <v>12</v>
      </c>
      <c r="C202" s="14" t="s">
        <v>36</v>
      </c>
      <c r="D202" s="1">
        <v>45629</v>
      </c>
      <c r="E202" s="13">
        <v>45657</v>
      </c>
      <c r="F202" s="14" t="s">
        <v>14</v>
      </c>
      <c r="G202">
        <v>66</v>
      </c>
      <c r="H202">
        <v>588.17999999999995</v>
      </c>
      <c r="I202">
        <v>565.39</v>
      </c>
      <c r="J202">
        <v>2</v>
      </c>
      <c r="K202" s="14" t="s">
        <v>15</v>
      </c>
      <c r="L202" s="14">
        <f>IF(OR(Table1[[#This Row],[Order_Status]]="Delivered",Table1[[#This Row],[Delivery_Date]]&lt;&gt;"Not Yet Delivered"),Table1[[#This Row],[Delivery_Date]]-Table1[[#This Row],[Order_Date]],"Not Applicable")</f>
        <v>28</v>
      </c>
      <c r="M202" s="14">
        <f>Table1[[#This Row],[Unit_Cost]]-Table1[[#This Row],[Negotiated_Cost]]</f>
        <v>22.789999999999964</v>
      </c>
      <c r="N202" s="18">
        <f>Table1[[#This Row],[Defective_Units]]/Table1[[#This Row],[Quantity]]</f>
        <v>3.0303030303030304E-2</v>
      </c>
      <c r="O202" s="26">
        <f>(Table1[[#This Row],[Unit_Cost]]-Table1[[#This Row],[Negotiated_Cost]])/Table1[[#This Row],[Unit_Cost]]</f>
        <v>3.8746642184365271E-2</v>
      </c>
    </row>
    <row r="203" spans="1:15" x14ac:dyDescent="0.25">
      <c r="A203" t="s">
        <v>238</v>
      </c>
      <c r="B203" t="s">
        <v>27</v>
      </c>
      <c r="C203" s="14" t="s">
        <v>13</v>
      </c>
      <c r="D203" s="1">
        <v>45500</v>
      </c>
      <c r="E203" s="13">
        <v>45522</v>
      </c>
      <c r="F203" s="14" t="s">
        <v>37</v>
      </c>
      <c r="G203">
        <v>223</v>
      </c>
      <c r="H203">
        <v>4242.1400000000003</v>
      </c>
      <c r="I203">
        <v>4188.7700000000004</v>
      </c>
      <c r="J203">
        <v>1</v>
      </c>
      <c r="K203" s="14" t="s">
        <v>15</v>
      </c>
      <c r="L203" s="14">
        <f>IF(OR(Table1[[#This Row],[Order_Status]]="Delivered",Table1[[#This Row],[Delivery_Date]]&lt;&gt;"Not Yet Delivered"),Table1[[#This Row],[Delivery_Date]]-Table1[[#This Row],[Order_Date]],"Not Applicable")</f>
        <v>22</v>
      </c>
      <c r="M203" s="14">
        <f>Table1[[#This Row],[Unit_Cost]]-Table1[[#This Row],[Negotiated_Cost]]</f>
        <v>53.369999999999891</v>
      </c>
      <c r="N203" s="18">
        <f>Table1[[#This Row],[Defective_Units]]/Table1[[#This Row],[Quantity]]</f>
        <v>4.4843049327354259E-3</v>
      </c>
      <c r="O203" s="26">
        <f>(Table1[[#This Row],[Unit_Cost]]-Table1[[#This Row],[Negotiated_Cost]])/Table1[[#This Row],[Unit_Cost]]</f>
        <v>1.258091434983284E-2</v>
      </c>
    </row>
    <row r="204" spans="1:15" x14ac:dyDescent="0.25">
      <c r="A204" t="s">
        <v>239</v>
      </c>
      <c r="B204" t="s">
        <v>27</v>
      </c>
      <c r="C204" s="14" t="s">
        <v>36</v>
      </c>
      <c r="D204" s="1">
        <v>45168</v>
      </c>
      <c r="E204" s="13">
        <v>45182</v>
      </c>
      <c r="F204" s="14" t="s">
        <v>14</v>
      </c>
      <c r="G204">
        <v>497</v>
      </c>
      <c r="H204">
        <v>593.04</v>
      </c>
      <c r="I204">
        <v>585.98</v>
      </c>
      <c r="J204">
        <v>3</v>
      </c>
      <c r="K204" s="14" t="s">
        <v>15</v>
      </c>
      <c r="L204" s="14">
        <f>IF(OR(Table1[[#This Row],[Order_Status]]="Delivered",Table1[[#This Row],[Delivery_Date]]&lt;&gt;"Not Yet Delivered"),Table1[[#This Row],[Delivery_Date]]-Table1[[#This Row],[Order_Date]],"Not Applicable")</f>
        <v>14</v>
      </c>
      <c r="M204" s="14">
        <f>Table1[[#This Row],[Unit_Cost]]-Table1[[#This Row],[Negotiated_Cost]]</f>
        <v>7.0599999999999454</v>
      </c>
      <c r="N204" s="18">
        <f>Table1[[#This Row],[Defective_Units]]/Table1[[#This Row],[Quantity]]</f>
        <v>6.0362173038229373E-3</v>
      </c>
      <c r="O204" s="26">
        <f>(Table1[[#This Row],[Unit_Cost]]-Table1[[#This Row],[Negotiated_Cost]])/Table1[[#This Row],[Unit_Cost]]</f>
        <v>1.1904761904761814E-2</v>
      </c>
    </row>
    <row r="205" spans="1:15" x14ac:dyDescent="0.25">
      <c r="A205" t="s">
        <v>240</v>
      </c>
      <c r="B205" t="s">
        <v>12</v>
      </c>
      <c r="C205" s="14" t="s">
        <v>36</v>
      </c>
      <c r="D205" s="1">
        <v>45109</v>
      </c>
      <c r="E205" s="13">
        <v>45130</v>
      </c>
      <c r="F205" s="14" t="s">
        <v>14</v>
      </c>
      <c r="G205">
        <v>121</v>
      </c>
      <c r="H205">
        <v>576.69000000000005</v>
      </c>
      <c r="I205">
        <v>547.28</v>
      </c>
      <c r="J205">
        <v>3</v>
      </c>
      <c r="K205" s="14" t="s">
        <v>15</v>
      </c>
      <c r="L205" s="14">
        <f>IF(OR(Table1[[#This Row],[Order_Status]]="Delivered",Table1[[#This Row],[Delivery_Date]]&lt;&gt;"Not Yet Delivered"),Table1[[#This Row],[Delivery_Date]]-Table1[[#This Row],[Order_Date]],"Not Applicable")</f>
        <v>21</v>
      </c>
      <c r="M205" s="14">
        <f>Table1[[#This Row],[Unit_Cost]]-Table1[[#This Row],[Negotiated_Cost]]</f>
        <v>29.410000000000082</v>
      </c>
      <c r="N205" s="18">
        <f>Table1[[#This Row],[Defective_Units]]/Table1[[#This Row],[Quantity]]</f>
        <v>2.4793388429752067E-2</v>
      </c>
      <c r="O205" s="26">
        <f>(Table1[[#This Row],[Unit_Cost]]-Table1[[#This Row],[Negotiated_Cost]])/Table1[[#This Row],[Unit_Cost]]</f>
        <v>5.099793649967934E-2</v>
      </c>
    </row>
    <row r="206" spans="1:15" x14ac:dyDescent="0.25">
      <c r="A206" t="s">
        <v>241</v>
      </c>
      <c r="B206" t="s">
        <v>27</v>
      </c>
      <c r="C206" s="14" t="s">
        <v>55</v>
      </c>
      <c r="D206" s="1">
        <v>44947</v>
      </c>
      <c r="E206" s="13">
        <v>44965</v>
      </c>
      <c r="F206" s="14" t="s">
        <v>14</v>
      </c>
      <c r="G206">
        <v>46</v>
      </c>
      <c r="H206">
        <v>15485.87</v>
      </c>
      <c r="I206">
        <v>15444.37</v>
      </c>
      <c r="J206">
        <v>2</v>
      </c>
      <c r="K206" s="14" t="s">
        <v>15</v>
      </c>
      <c r="L206" s="14">
        <f>IF(OR(Table1[[#This Row],[Order_Status]]="Delivered",Table1[[#This Row],[Delivery_Date]]&lt;&gt;"Not Yet Delivered"),Table1[[#This Row],[Delivery_Date]]-Table1[[#This Row],[Order_Date]],"Not Applicable")</f>
        <v>18</v>
      </c>
      <c r="M206" s="14">
        <f>Table1[[#This Row],[Unit_Cost]]-Table1[[#This Row],[Negotiated_Cost]]</f>
        <v>41.5</v>
      </c>
      <c r="N206" s="18">
        <f>Table1[[#This Row],[Defective_Units]]/Table1[[#This Row],[Quantity]]</f>
        <v>4.3478260869565216E-2</v>
      </c>
      <c r="O206" s="26">
        <f>(Table1[[#This Row],[Unit_Cost]]-Table1[[#This Row],[Negotiated_Cost]])/Table1[[#This Row],[Unit_Cost]]</f>
        <v>2.6798623519376048E-3</v>
      </c>
    </row>
    <row r="207" spans="1:15" x14ac:dyDescent="0.25">
      <c r="A207" t="s">
        <v>242</v>
      </c>
      <c r="B207" t="s">
        <v>27</v>
      </c>
      <c r="C207" s="14" t="s">
        <v>50</v>
      </c>
      <c r="D207" s="1">
        <v>45168</v>
      </c>
      <c r="E207" s="13">
        <v>45197</v>
      </c>
      <c r="F207" s="14" t="s">
        <v>14</v>
      </c>
      <c r="G207">
        <v>318</v>
      </c>
      <c r="H207">
        <v>51468.27</v>
      </c>
      <c r="I207">
        <v>50792.5</v>
      </c>
      <c r="J207">
        <v>7</v>
      </c>
      <c r="K207" s="14" t="s">
        <v>15</v>
      </c>
      <c r="L207" s="14">
        <f>IF(OR(Table1[[#This Row],[Order_Status]]="Delivered",Table1[[#This Row],[Delivery_Date]]&lt;&gt;"Not Yet Delivered"),Table1[[#This Row],[Delivery_Date]]-Table1[[#This Row],[Order_Date]],"Not Applicable")</f>
        <v>29</v>
      </c>
      <c r="M207" s="14">
        <f>Table1[[#This Row],[Unit_Cost]]-Table1[[#This Row],[Negotiated_Cost]]</f>
        <v>675.7699999999968</v>
      </c>
      <c r="N207" s="18">
        <f>Table1[[#This Row],[Defective_Units]]/Table1[[#This Row],[Quantity]]</f>
        <v>2.20125786163522E-2</v>
      </c>
      <c r="O207" s="26">
        <f>(Table1[[#This Row],[Unit_Cost]]-Table1[[#This Row],[Negotiated_Cost]])/Table1[[#This Row],[Unit_Cost]]</f>
        <v>1.3129837082147832E-2</v>
      </c>
    </row>
    <row r="208" spans="1:15" x14ac:dyDescent="0.25">
      <c r="A208" t="s">
        <v>243</v>
      </c>
      <c r="B208" t="s">
        <v>12</v>
      </c>
      <c r="C208" s="14" t="s">
        <v>50</v>
      </c>
      <c r="D208" s="1">
        <v>45099</v>
      </c>
      <c r="E208" s="13">
        <v>45123</v>
      </c>
      <c r="F208" s="14" t="s">
        <v>14</v>
      </c>
      <c r="G208">
        <v>471</v>
      </c>
      <c r="H208">
        <v>52016.5</v>
      </c>
      <c r="I208">
        <v>51979.91</v>
      </c>
      <c r="J208">
        <v>0</v>
      </c>
      <c r="K208" s="14" t="s">
        <v>15</v>
      </c>
      <c r="L208" s="14">
        <f>IF(OR(Table1[[#This Row],[Order_Status]]="Delivered",Table1[[#This Row],[Delivery_Date]]&lt;&gt;"Not Yet Delivered"),Table1[[#This Row],[Delivery_Date]]-Table1[[#This Row],[Order_Date]],"Not Applicable")</f>
        <v>24</v>
      </c>
      <c r="M208" s="14">
        <f>Table1[[#This Row],[Unit_Cost]]-Table1[[#This Row],[Negotiated_Cost]]</f>
        <v>36.589999999996508</v>
      </c>
      <c r="N208" s="18">
        <f>Table1[[#This Row],[Defective_Units]]/Table1[[#This Row],[Quantity]]</f>
        <v>0</v>
      </c>
      <c r="O208" s="26">
        <f>(Table1[[#This Row],[Unit_Cost]]-Table1[[#This Row],[Negotiated_Cost]])/Table1[[#This Row],[Unit_Cost]]</f>
        <v>7.0343064220000401E-4</v>
      </c>
    </row>
    <row r="209" spans="1:15" x14ac:dyDescent="0.25">
      <c r="A209" t="s">
        <v>244</v>
      </c>
      <c r="B209" t="s">
        <v>35</v>
      </c>
      <c r="C209" s="14" t="s">
        <v>24</v>
      </c>
      <c r="D209" s="1">
        <v>45409</v>
      </c>
      <c r="E209" s="13">
        <v>45418</v>
      </c>
      <c r="F209" s="14" t="s">
        <v>14</v>
      </c>
      <c r="G209">
        <v>156</v>
      </c>
      <c r="H209">
        <v>11803.36</v>
      </c>
      <c r="I209">
        <v>11455.34</v>
      </c>
      <c r="J209">
        <v>0</v>
      </c>
      <c r="K209" s="14" t="s">
        <v>15</v>
      </c>
      <c r="L209" s="14">
        <f>IF(OR(Table1[[#This Row],[Order_Status]]="Delivered",Table1[[#This Row],[Delivery_Date]]&lt;&gt;"Not Yet Delivered"),Table1[[#This Row],[Delivery_Date]]-Table1[[#This Row],[Order_Date]],"Not Applicable")</f>
        <v>9</v>
      </c>
      <c r="M209" s="14">
        <f>Table1[[#This Row],[Unit_Cost]]-Table1[[#This Row],[Negotiated_Cost]]</f>
        <v>348.02000000000044</v>
      </c>
      <c r="N209" s="18">
        <f>Table1[[#This Row],[Defective_Units]]/Table1[[#This Row],[Quantity]]</f>
        <v>0</v>
      </c>
      <c r="O209" s="26">
        <f>(Table1[[#This Row],[Unit_Cost]]-Table1[[#This Row],[Negotiated_Cost]])/Table1[[#This Row],[Unit_Cost]]</f>
        <v>2.9484824660096821E-2</v>
      </c>
    </row>
    <row r="210" spans="1:15" x14ac:dyDescent="0.25">
      <c r="A210" t="s">
        <v>245</v>
      </c>
      <c r="B210" t="s">
        <v>17</v>
      </c>
      <c r="C210" s="14" t="s">
        <v>13</v>
      </c>
      <c r="D210" s="1">
        <v>45466</v>
      </c>
      <c r="E210" s="13">
        <v>45489</v>
      </c>
      <c r="F210" s="14" t="s">
        <v>37</v>
      </c>
      <c r="G210">
        <v>55</v>
      </c>
      <c r="H210">
        <v>3793.61</v>
      </c>
      <c r="I210">
        <v>3588.39</v>
      </c>
      <c r="J210">
        <v>0</v>
      </c>
      <c r="K210" s="14" t="s">
        <v>15</v>
      </c>
      <c r="L210" s="14">
        <f>IF(OR(Table1[[#This Row],[Order_Status]]="Delivered",Table1[[#This Row],[Delivery_Date]]&lt;&gt;"Not Yet Delivered"),Table1[[#This Row],[Delivery_Date]]-Table1[[#This Row],[Order_Date]],"Not Applicable")</f>
        <v>23</v>
      </c>
      <c r="M210" s="14">
        <f>Table1[[#This Row],[Unit_Cost]]-Table1[[#This Row],[Negotiated_Cost]]</f>
        <v>205.22000000000025</v>
      </c>
      <c r="N210" s="18">
        <f>Table1[[#This Row],[Defective_Units]]/Table1[[#This Row],[Quantity]]</f>
        <v>0</v>
      </c>
      <c r="O210" s="26">
        <f>(Table1[[#This Row],[Unit_Cost]]-Table1[[#This Row],[Negotiated_Cost]])/Table1[[#This Row],[Unit_Cost]]</f>
        <v>5.4096230239798045E-2</v>
      </c>
    </row>
    <row r="211" spans="1:15" x14ac:dyDescent="0.25">
      <c r="A211" t="s">
        <v>246</v>
      </c>
      <c r="B211" t="s">
        <v>20</v>
      </c>
      <c r="C211" s="14" t="s">
        <v>21</v>
      </c>
      <c r="D211" s="1">
        <v>45149</v>
      </c>
      <c r="E211" s="13">
        <v>45152</v>
      </c>
      <c r="F211" s="14" t="s">
        <v>14</v>
      </c>
      <c r="G211">
        <v>140</v>
      </c>
      <c r="H211">
        <v>118.92</v>
      </c>
      <c r="I211">
        <v>116.24</v>
      </c>
      <c r="J211">
        <v>0</v>
      </c>
      <c r="K211" s="14" t="s">
        <v>15</v>
      </c>
      <c r="L211" s="14">
        <f>IF(OR(Table1[[#This Row],[Order_Status]]="Delivered",Table1[[#This Row],[Delivery_Date]]&lt;&gt;"Not Yet Delivered"),Table1[[#This Row],[Delivery_Date]]-Table1[[#This Row],[Order_Date]],"Not Applicable")</f>
        <v>3</v>
      </c>
      <c r="M211" s="14">
        <f>Table1[[#This Row],[Unit_Cost]]-Table1[[#This Row],[Negotiated_Cost]]</f>
        <v>2.6800000000000068</v>
      </c>
      <c r="N211" s="18">
        <f>Table1[[#This Row],[Defective_Units]]/Table1[[#This Row],[Quantity]]</f>
        <v>0</v>
      </c>
      <c r="O211" s="26">
        <f>(Table1[[#This Row],[Unit_Cost]]-Table1[[#This Row],[Negotiated_Cost]])/Table1[[#This Row],[Unit_Cost]]</f>
        <v>2.2536158762193129E-2</v>
      </c>
    </row>
    <row r="212" spans="1:15" x14ac:dyDescent="0.25">
      <c r="A212" t="s">
        <v>247</v>
      </c>
      <c r="B212" t="s">
        <v>20</v>
      </c>
      <c r="C212" s="14" t="s">
        <v>48</v>
      </c>
      <c r="D212" s="1">
        <v>45143</v>
      </c>
      <c r="E212" s="13">
        <v>45154</v>
      </c>
      <c r="F212" s="14" t="s">
        <v>37</v>
      </c>
      <c r="G212">
        <v>382</v>
      </c>
      <c r="H212">
        <v>6223.72</v>
      </c>
      <c r="I212">
        <v>6184.81</v>
      </c>
      <c r="J212">
        <v>6</v>
      </c>
      <c r="K212" s="14" t="s">
        <v>15</v>
      </c>
      <c r="L212" s="14">
        <f>IF(OR(Table1[[#This Row],[Order_Status]]="Delivered",Table1[[#This Row],[Delivery_Date]]&lt;&gt;"Not Yet Delivered"),Table1[[#This Row],[Delivery_Date]]-Table1[[#This Row],[Order_Date]],"Not Applicable")</f>
        <v>11</v>
      </c>
      <c r="M212" s="14">
        <f>Table1[[#This Row],[Unit_Cost]]-Table1[[#This Row],[Negotiated_Cost]]</f>
        <v>38.909999999999854</v>
      </c>
      <c r="N212" s="18">
        <f>Table1[[#This Row],[Defective_Units]]/Table1[[#This Row],[Quantity]]</f>
        <v>1.5706806282722512E-2</v>
      </c>
      <c r="O212" s="26">
        <f>(Table1[[#This Row],[Unit_Cost]]-Table1[[#This Row],[Negotiated_Cost]])/Table1[[#This Row],[Unit_Cost]]</f>
        <v>6.2518879384033752E-3</v>
      </c>
    </row>
    <row r="213" spans="1:15" x14ac:dyDescent="0.25">
      <c r="A213" t="s">
        <v>248</v>
      </c>
      <c r="B213" t="s">
        <v>35</v>
      </c>
      <c r="C213" s="14" t="s">
        <v>36</v>
      </c>
      <c r="D213" s="1">
        <v>45277</v>
      </c>
      <c r="E213" s="13">
        <v>45289</v>
      </c>
      <c r="F213" s="14" t="s">
        <v>14</v>
      </c>
      <c r="G213">
        <v>404</v>
      </c>
      <c r="H213">
        <v>570.58000000000004</v>
      </c>
      <c r="I213">
        <v>558.82000000000005</v>
      </c>
      <c r="J213">
        <v>1</v>
      </c>
      <c r="K213" s="14" t="s">
        <v>15</v>
      </c>
      <c r="L213" s="14">
        <f>IF(OR(Table1[[#This Row],[Order_Status]]="Delivered",Table1[[#This Row],[Delivery_Date]]&lt;&gt;"Not Yet Delivered"),Table1[[#This Row],[Delivery_Date]]-Table1[[#This Row],[Order_Date]],"Not Applicable")</f>
        <v>12</v>
      </c>
      <c r="M213" s="14">
        <f>Table1[[#This Row],[Unit_Cost]]-Table1[[#This Row],[Negotiated_Cost]]</f>
        <v>11.759999999999991</v>
      </c>
      <c r="N213" s="18">
        <f>Table1[[#This Row],[Defective_Units]]/Table1[[#This Row],[Quantity]]</f>
        <v>2.4752475247524753E-3</v>
      </c>
      <c r="O213" s="26">
        <f>(Table1[[#This Row],[Unit_Cost]]-Table1[[#This Row],[Negotiated_Cost]])/Table1[[#This Row],[Unit_Cost]]</f>
        <v>2.0610606751025256E-2</v>
      </c>
    </row>
    <row r="214" spans="1:15" x14ac:dyDescent="0.25">
      <c r="A214" t="s">
        <v>249</v>
      </c>
      <c r="B214" t="s">
        <v>17</v>
      </c>
      <c r="C214" s="14" t="s">
        <v>18</v>
      </c>
      <c r="D214" s="1">
        <v>45050</v>
      </c>
      <c r="E214" s="13">
        <v>45071</v>
      </c>
      <c r="F214" s="14" t="s">
        <v>14</v>
      </c>
      <c r="G214">
        <v>477</v>
      </c>
      <c r="H214">
        <v>4690.7299999999996</v>
      </c>
      <c r="I214">
        <v>4486.34</v>
      </c>
      <c r="J214">
        <v>4</v>
      </c>
      <c r="K214" s="14" t="s">
        <v>15</v>
      </c>
      <c r="L214" s="14">
        <f>IF(OR(Table1[[#This Row],[Order_Status]]="Delivered",Table1[[#This Row],[Delivery_Date]]&lt;&gt;"Not Yet Delivered"),Table1[[#This Row],[Delivery_Date]]-Table1[[#This Row],[Order_Date]],"Not Applicable")</f>
        <v>21</v>
      </c>
      <c r="M214" s="14">
        <f>Table1[[#This Row],[Unit_Cost]]-Table1[[#This Row],[Negotiated_Cost]]</f>
        <v>204.38999999999942</v>
      </c>
      <c r="N214" s="18">
        <f>Table1[[#This Row],[Defective_Units]]/Table1[[#This Row],[Quantity]]</f>
        <v>8.385744234800839E-3</v>
      </c>
      <c r="O214" s="26">
        <f>(Table1[[#This Row],[Unit_Cost]]-Table1[[#This Row],[Negotiated_Cost]])/Table1[[#This Row],[Unit_Cost]]</f>
        <v>4.3573175177424289E-2</v>
      </c>
    </row>
    <row r="215" spans="1:15" x14ac:dyDescent="0.25">
      <c r="A215" t="s">
        <v>250</v>
      </c>
      <c r="B215" t="s">
        <v>27</v>
      </c>
      <c r="C215" s="14" t="s">
        <v>24</v>
      </c>
      <c r="D215" s="1">
        <v>45470</v>
      </c>
      <c r="E215" s="13">
        <v>45480</v>
      </c>
      <c r="F215" s="14" t="s">
        <v>14</v>
      </c>
      <c r="G215">
        <v>226</v>
      </c>
      <c r="H215">
        <v>13302.9</v>
      </c>
      <c r="I215">
        <v>13180.39</v>
      </c>
      <c r="J215">
        <v>2</v>
      </c>
      <c r="K215" s="14" t="s">
        <v>25</v>
      </c>
      <c r="L215" s="14">
        <f>IF(OR(Table1[[#This Row],[Order_Status]]="Delivered",Table1[[#This Row],[Delivery_Date]]&lt;&gt;"Not Yet Delivered"),Table1[[#This Row],[Delivery_Date]]-Table1[[#This Row],[Order_Date]],"Not Applicable")</f>
        <v>10</v>
      </c>
      <c r="M215" s="14">
        <f>Table1[[#This Row],[Unit_Cost]]-Table1[[#This Row],[Negotiated_Cost]]</f>
        <v>122.51000000000022</v>
      </c>
      <c r="N215" s="18">
        <f>Table1[[#This Row],[Defective_Units]]/Table1[[#This Row],[Quantity]]</f>
        <v>8.8495575221238937E-3</v>
      </c>
      <c r="O215" s="26">
        <f>(Table1[[#This Row],[Unit_Cost]]-Table1[[#This Row],[Negotiated_Cost]])/Table1[[#This Row],[Unit_Cost]]</f>
        <v>9.2092701591382498E-3</v>
      </c>
    </row>
    <row r="216" spans="1:15" x14ac:dyDescent="0.25">
      <c r="A216" t="s">
        <v>251</v>
      </c>
      <c r="B216" t="s">
        <v>32</v>
      </c>
      <c r="C216" s="14" t="s">
        <v>18</v>
      </c>
      <c r="D216" s="1">
        <v>45573</v>
      </c>
      <c r="E216" s="13">
        <v>45596</v>
      </c>
      <c r="F216" s="14" t="s">
        <v>37</v>
      </c>
      <c r="G216">
        <v>155</v>
      </c>
      <c r="H216">
        <v>4873.6499999999996</v>
      </c>
      <c r="I216">
        <v>4633.1099999999997</v>
      </c>
      <c r="J216">
        <v>1</v>
      </c>
      <c r="K216" s="14" t="s">
        <v>15</v>
      </c>
      <c r="L216" s="14">
        <f>IF(OR(Table1[[#This Row],[Order_Status]]="Delivered",Table1[[#This Row],[Delivery_Date]]&lt;&gt;"Not Yet Delivered"),Table1[[#This Row],[Delivery_Date]]-Table1[[#This Row],[Order_Date]],"Not Applicable")</f>
        <v>23</v>
      </c>
      <c r="M216" s="14">
        <f>Table1[[#This Row],[Unit_Cost]]-Table1[[#This Row],[Negotiated_Cost]]</f>
        <v>240.53999999999996</v>
      </c>
      <c r="N216" s="18">
        <f>Table1[[#This Row],[Defective_Units]]/Table1[[#This Row],[Quantity]]</f>
        <v>6.4516129032258064E-3</v>
      </c>
      <c r="O216" s="26">
        <f>(Table1[[#This Row],[Unit_Cost]]-Table1[[#This Row],[Negotiated_Cost]])/Table1[[#This Row],[Unit_Cost]]</f>
        <v>4.9355206057061951E-2</v>
      </c>
    </row>
    <row r="217" spans="1:15" x14ac:dyDescent="0.25">
      <c r="A217" t="s">
        <v>252</v>
      </c>
      <c r="B217" t="s">
        <v>46</v>
      </c>
      <c r="C217" s="14" t="s">
        <v>28</v>
      </c>
      <c r="D217" s="1">
        <v>45139</v>
      </c>
      <c r="E217" s="13">
        <v>45155</v>
      </c>
      <c r="F217" s="14" t="s">
        <v>14</v>
      </c>
      <c r="G217">
        <v>467</v>
      </c>
      <c r="H217">
        <v>45192.68</v>
      </c>
      <c r="I217">
        <v>45098.13</v>
      </c>
      <c r="J217">
        <v>10</v>
      </c>
      <c r="K217" s="14" t="s">
        <v>15</v>
      </c>
      <c r="L217" s="14">
        <f>IF(OR(Table1[[#This Row],[Order_Status]]="Delivered",Table1[[#This Row],[Delivery_Date]]&lt;&gt;"Not Yet Delivered"),Table1[[#This Row],[Delivery_Date]]-Table1[[#This Row],[Order_Date]],"Not Applicable")</f>
        <v>16</v>
      </c>
      <c r="M217" s="14">
        <f>Table1[[#This Row],[Unit_Cost]]-Table1[[#This Row],[Negotiated_Cost]]</f>
        <v>94.55000000000291</v>
      </c>
      <c r="N217" s="18">
        <f>Table1[[#This Row],[Defective_Units]]/Table1[[#This Row],[Quantity]]</f>
        <v>2.1413276231263382E-2</v>
      </c>
      <c r="O217" s="26">
        <f>(Table1[[#This Row],[Unit_Cost]]-Table1[[#This Row],[Negotiated_Cost]])/Table1[[#This Row],[Unit_Cost]]</f>
        <v>2.0921529769866031E-3</v>
      </c>
    </row>
    <row r="218" spans="1:15" x14ac:dyDescent="0.25">
      <c r="A218" t="s">
        <v>253</v>
      </c>
      <c r="B218" t="s">
        <v>35</v>
      </c>
      <c r="C218" s="14" t="s">
        <v>50</v>
      </c>
      <c r="D218" s="1">
        <v>45441</v>
      </c>
      <c r="E218" s="13">
        <v>45449</v>
      </c>
      <c r="F218" s="14" t="s">
        <v>14</v>
      </c>
      <c r="G218">
        <v>195</v>
      </c>
      <c r="H218">
        <v>49541.01</v>
      </c>
      <c r="I218">
        <v>47019.08</v>
      </c>
      <c r="J218">
        <v>3</v>
      </c>
      <c r="K218" s="14" t="s">
        <v>15</v>
      </c>
      <c r="L218" s="14">
        <f>IF(OR(Table1[[#This Row],[Order_Status]]="Delivered",Table1[[#This Row],[Delivery_Date]]&lt;&gt;"Not Yet Delivered"),Table1[[#This Row],[Delivery_Date]]-Table1[[#This Row],[Order_Date]],"Not Applicable")</f>
        <v>8</v>
      </c>
      <c r="M218" s="14">
        <f>Table1[[#This Row],[Unit_Cost]]-Table1[[#This Row],[Negotiated_Cost]]</f>
        <v>2521.9300000000003</v>
      </c>
      <c r="N218" s="18">
        <f>Table1[[#This Row],[Defective_Units]]/Table1[[#This Row],[Quantity]]</f>
        <v>1.5384615384615385E-2</v>
      </c>
      <c r="O218" s="26">
        <f>(Table1[[#This Row],[Unit_Cost]]-Table1[[#This Row],[Negotiated_Cost]])/Table1[[#This Row],[Unit_Cost]]</f>
        <v>5.0905906036231401E-2</v>
      </c>
    </row>
    <row r="219" spans="1:15" x14ac:dyDescent="0.25">
      <c r="A219" t="s">
        <v>254</v>
      </c>
      <c r="B219" t="s">
        <v>35</v>
      </c>
      <c r="C219" s="14" t="s">
        <v>44</v>
      </c>
      <c r="D219" s="1">
        <v>45510</v>
      </c>
      <c r="E219" s="13">
        <v>45515</v>
      </c>
      <c r="F219" s="14" t="s">
        <v>14</v>
      </c>
      <c r="G219">
        <v>133</v>
      </c>
      <c r="H219">
        <v>8746.5499999999993</v>
      </c>
      <c r="I219">
        <v>8684.34</v>
      </c>
      <c r="J219">
        <v>2</v>
      </c>
      <c r="K219" s="14" t="s">
        <v>15</v>
      </c>
      <c r="L219" s="14">
        <f>IF(OR(Table1[[#This Row],[Order_Status]]="Delivered",Table1[[#This Row],[Delivery_Date]]&lt;&gt;"Not Yet Delivered"),Table1[[#This Row],[Delivery_Date]]-Table1[[#This Row],[Order_Date]],"Not Applicable")</f>
        <v>5</v>
      </c>
      <c r="M219" s="14">
        <f>Table1[[#This Row],[Unit_Cost]]-Table1[[#This Row],[Negotiated_Cost]]</f>
        <v>62.209999999999127</v>
      </c>
      <c r="N219" s="18">
        <f>Table1[[#This Row],[Defective_Units]]/Table1[[#This Row],[Quantity]]</f>
        <v>1.5037593984962405E-2</v>
      </c>
      <c r="O219" s="26">
        <f>(Table1[[#This Row],[Unit_Cost]]-Table1[[#This Row],[Negotiated_Cost]])/Table1[[#This Row],[Unit_Cost]]</f>
        <v>7.1125186502105555E-3</v>
      </c>
    </row>
    <row r="220" spans="1:15" x14ac:dyDescent="0.25">
      <c r="A220" t="s">
        <v>255</v>
      </c>
      <c r="B220" t="s">
        <v>46</v>
      </c>
      <c r="C220" s="14" t="s">
        <v>44</v>
      </c>
      <c r="D220" s="1">
        <v>45228</v>
      </c>
      <c r="E220" s="13">
        <v>45245</v>
      </c>
      <c r="F220" s="14" t="s">
        <v>37</v>
      </c>
      <c r="G220">
        <v>235</v>
      </c>
      <c r="H220">
        <v>8531.11</v>
      </c>
      <c r="I220">
        <v>8371.35</v>
      </c>
      <c r="J220">
        <v>0</v>
      </c>
      <c r="K220" s="14" t="s">
        <v>15</v>
      </c>
      <c r="L220" s="14">
        <f>IF(OR(Table1[[#This Row],[Order_Status]]="Delivered",Table1[[#This Row],[Delivery_Date]]&lt;&gt;"Not Yet Delivered"),Table1[[#This Row],[Delivery_Date]]-Table1[[#This Row],[Order_Date]],"Not Applicable")</f>
        <v>17</v>
      </c>
      <c r="M220" s="14">
        <f>Table1[[#This Row],[Unit_Cost]]-Table1[[#This Row],[Negotiated_Cost]]</f>
        <v>159.76000000000022</v>
      </c>
      <c r="N220" s="18">
        <f>Table1[[#This Row],[Defective_Units]]/Table1[[#This Row],[Quantity]]</f>
        <v>0</v>
      </c>
      <c r="O220" s="26">
        <f>(Table1[[#This Row],[Unit_Cost]]-Table1[[#This Row],[Negotiated_Cost]])/Table1[[#This Row],[Unit_Cost]]</f>
        <v>1.872675419728502E-2</v>
      </c>
    </row>
    <row r="221" spans="1:15" x14ac:dyDescent="0.25">
      <c r="A221" t="s">
        <v>256</v>
      </c>
      <c r="B221" t="s">
        <v>12</v>
      </c>
      <c r="C221" s="14" t="s">
        <v>55</v>
      </c>
      <c r="D221" s="1">
        <v>45135</v>
      </c>
      <c r="E221" s="13">
        <v>45161</v>
      </c>
      <c r="F221" s="14" t="s">
        <v>14</v>
      </c>
      <c r="G221">
        <v>466</v>
      </c>
      <c r="H221">
        <v>14681.43</v>
      </c>
      <c r="I221">
        <v>14644.5</v>
      </c>
      <c r="J221">
        <v>10</v>
      </c>
      <c r="K221" s="14" t="s">
        <v>15</v>
      </c>
      <c r="L221" s="14">
        <f>IF(OR(Table1[[#This Row],[Order_Status]]="Delivered",Table1[[#This Row],[Delivery_Date]]&lt;&gt;"Not Yet Delivered"),Table1[[#This Row],[Delivery_Date]]-Table1[[#This Row],[Order_Date]],"Not Applicable")</f>
        <v>26</v>
      </c>
      <c r="M221" s="14">
        <f>Table1[[#This Row],[Unit_Cost]]-Table1[[#This Row],[Negotiated_Cost]]</f>
        <v>36.930000000000291</v>
      </c>
      <c r="N221" s="18">
        <f>Table1[[#This Row],[Defective_Units]]/Table1[[#This Row],[Quantity]]</f>
        <v>2.1459227467811159E-2</v>
      </c>
      <c r="O221" s="26">
        <f>(Table1[[#This Row],[Unit_Cost]]-Table1[[#This Row],[Negotiated_Cost]])/Table1[[#This Row],[Unit_Cost]]</f>
        <v>2.5154225439892632E-3</v>
      </c>
    </row>
    <row r="222" spans="1:15" x14ac:dyDescent="0.25">
      <c r="A222" t="s">
        <v>257</v>
      </c>
      <c r="B222" t="s">
        <v>46</v>
      </c>
      <c r="C222" s="14" t="s">
        <v>24</v>
      </c>
      <c r="D222" s="1">
        <v>45624</v>
      </c>
      <c r="E222" s="14" t="s">
        <v>2057</v>
      </c>
      <c r="F222" s="14" t="s">
        <v>33</v>
      </c>
      <c r="G222">
        <v>136</v>
      </c>
      <c r="H222">
        <v>12204.78</v>
      </c>
      <c r="I222">
        <v>11943.62</v>
      </c>
      <c r="J222">
        <v>2</v>
      </c>
      <c r="K222" s="14" t="s">
        <v>15</v>
      </c>
      <c r="L222" s="14" t="str">
        <f>IF(OR(Table1[[#This Row],[Order_Status]]="Delivered",Table1[[#This Row],[Delivery_Date]]&lt;&gt;"Not Yet Delivered"),Table1[[#This Row],[Delivery_Date]]-Table1[[#This Row],[Order_Date]],"Not Applicable")</f>
        <v>Not Applicable</v>
      </c>
      <c r="M222" s="14">
        <f>Table1[[#This Row],[Unit_Cost]]-Table1[[#This Row],[Negotiated_Cost]]</f>
        <v>261.15999999999985</v>
      </c>
      <c r="N222" s="18">
        <f>Table1[[#This Row],[Defective_Units]]/Table1[[#This Row],[Quantity]]</f>
        <v>1.4705882352941176E-2</v>
      </c>
      <c r="O222" s="26">
        <f>(Table1[[#This Row],[Unit_Cost]]-Table1[[#This Row],[Negotiated_Cost]])/Table1[[#This Row],[Unit_Cost]]</f>
        <v>2.1398173502512937E-2</v>
      </c>
    </row>
    <row r="223" spans="1:15" x14ac:dyDescent="0.25">
      <c r="A223" t="s">
        <v>258</v>
      </c>
      <c r="B223" t="s">
        <v>32</v>
      </c>
      <c r="C223" s="14" t="s">
        <v>36</v>
      </c>
      <c r="D223" s="1">
        <v>45395</v>
      </c>
      <c r="E223" s="13">
        <v>45402</v>
      </c>
      <c r="F223" s="14" t="s">
        <v>14</v>
      </c>
      <c r="G223">
        <v>314</v>
      </c>
      <c r="H223">
        <v>517.88</v>
      </c>
      <c r="I223">
        <v>486.91</v>
      </c>
      <c r="J223">
        <v>1</v>
      </c>
      <c r="K223" s="14" t="s">
        <v>15</v>
      </c>
      <c r="L223" s="14">
        <f>IF(OR(Table1[[#This Row],[Order_Status]]="Delivered",Table1[[#This Row],[Delivery_Date]]&lt;&gt;"Not Yet Delivered"),Table1[[#This Row],[Delivery_Date]]-Table1[[#This Row],[Order_Date]],"Not Applicable")</f>
        <v>7</v>
      </c>
      <c r="M223" s="14">
        <f>Table1[[#This Row],[Unit_Cost]]-Table1[[#This Row],[Negotiated_Cost]]</f>
        <v>30.96999999999997</v>
      </c>
      <c r="N223" s="18">
        <f>Table1[[#This Row],[Defective_Units]]/Table1[[#This Row],[Quantity]]</f>
        <v>3.1847133757961785E-3</v>
      </c>
      <c r="O223" s="26">
        <f>(Table1[[#This Row],[Unit_Cost]]-Table1[[#This Row],[Negotiated_Cost]])/Table1[[#This Row],[Unit_Cost]]</f>
        <v>5.9801498416621551E-2</v>
      </c>
    </row>
    <row r="224" spans="1:15" x14ac:dyDescent="0.25">
      <c r="A224" t="s">
        <v>259</v>
      </c>
      <c r="B224" t="s">
        <v>12</v>
      </c>
      <c r="C224" s="14" t="s">
        <v>13</v>
      </c>
      <c r="D224" s="1">
        <v>45147</v>
      </c>
      <c r="E224" s="13">
        <v>45174</v>
      </c>
      <c r="F224" s="14" t="s">
        <v>14</v>
      </c>
      <c r="G224">
        <v>18</v>
      </c>
      <c r="H224">
        <v>4528.2299999999996</v>
      </c>
      <c r="I224">
        <v>4284.83</v>
      </c>
      <c r="J224">
        <v>0</v>
      </c>
      <c r="K224" s="14" t="s">
        <v>15</v>
      </c>
      <c r="L224" s="14">
        <f>IF(OR(Table1[[#This Row],[Order_Status]]="Delivered",Table1[[#This Row],[Delivery_Date]]&lt;&gt;"Not Yet Delivered"),Table1[[#This Row],[Delivery_Date]]-Table1[[#This Row],[Order_Date]],"Not Applicable")</f>
        <v>27</v>
      </c>
      <c r="M224" s="14">
        <f>Table1[[#This Row],[Unit_Cost]]-Table1[[#This Row],[Negotiated_Cost]]</f>
        <v>243.39999999999964</v>
      </c>
      <c r="N224" s="18">
        <f>Table1[[#This Row],[Defective_Units]]/Table1[[#This Row],[Quantity]]</f>
        <v>0</v>
      </c>
      <c r="O224" s="26">
        <f>(Table1[[#This Row],[Unit_Cost]]-Table1[[#This Row],[Negotiated_Cost]])/Table1[[#This Row],[Unit_Cost]]</f>
        <v>5.3751686641358688E-2</v>
      </c>
    </row>
    <row r="225" spans="1:15" x14ac:dyDescent="0.25">
      <c r="A225" t="s">
        <v>260</v>
      </c>
      <c r="B225" t="s">
        <v>17</v>
      </c>
      <c r="C225" s="14" t="s">
        <v>28</v>
      </c>
      <c r="D225" s="1">
        <v>45085</v>
      </c>
      <c r="E225" s="13">
        <v>45100</v>
      </c>
      <c r="F225" s="14" t="s">
        <v>14</v>
      </c>
      <c r="G225">
        <v>192</v>
      </c>
      <c r="H225">
        <v>46879.95</v>
      </c>
      <c r="I225">
        <v>45468.65</v>
      </c>
      <c r="J225">
        <v>4</v>
      </c>
      <c r="K225" s="14" t="s">
        <v>25</v>
      </c>
      <c r="L225" s="14">
        <f>IF(OR(Table1[[#This Row],[Order_Status]]="Delivered",Table1[[#This Row],[Delivery_Date]]&lt;&gt;"Not Yet Delivered"),Table1[[#This Row],[Delivery_Date]]-Table1[[#This Row],[Order_Date]],"Not Applicable")</f>
        <v>15</v>
      </c>
      <c r="M225" s="14">
        <f>Table1[[#This Row],[Unit_Cost]]-Table1[[#This Row],[Negotiated_Cost]]</f>
        <v>1411.2999999999956</v>
      </c>
      <c r="N225" s="18">
        <f>Table1[[#This Row],[Defective_Units]]/Table1[[#This Row],[Quantity]]</f>
        <v>2.0833333333333332E-2</v>
      </c>
      <c r="O225" s="26">
        <f>(Table1[[#This Row],[Unit_Cost]]-Table1[[#This Row],[Negotiated_Cost]])/Table1[[#This Row],[Unit_Cost]]</f>
        <v>3.0104554292399964E-2</v>
      </c>
    </row>
    <row r="226" spans="1:15" x14ac:dyDescent="0.25">
      <c r="A226" t="s">
        <v>261</v>
      </c>
      <c r="B226" t="s">
        <v>40</v>
      </c>
      <c r="C226" s="14" t="s">
        <v>36</v>
      </c>
      <c r="D226" s="1">
        <v>45630</v>
      </c>
      <c r="E226" s="13">
        <v>45654</v>
      </c>
      <c r="F226" s="14" t="s">
        <v>37</v>
      </c>
      <c r="G226">
        <v>23</v>
      </c>
      <c r="H226">
        <v>589.74</v>
      </c>
      <c r="I226">
        <v>559.57000000000005</v>
      </c>
      <c r="J226">
        <v>0</v>
      </c>
      <c r="K226" s="14" t="s">
        <v>15</v>
      </c>
      <c r="L226" s="14">
        <f>IF(OR(Table1[[#This Row],[Order_Status]]="Delivered",Table1[[#This Row],[Delivery_Date]]&lt;&gt;"Not Yet Delivered"),Table1[[#This Row],[Delivery_Date]]-Table1[[#This Row],[Order_Date]],"Not Applicable")</f>
        <v>24</v>
      </c>
      <c r="M226" s="14">
        <f>Table1[[#This Row],[Unit_Cost]]-Table1[[#This Row],[Negotiated_Cost]]</f>
        <v>30.169999999999959</v>
      </c>
      <c r="N226" s="18">
        <f>Table1[[#This Row],[Defective_Units]]/Table1[[#This Row],[Quantity]]</f>
        <v>0</v>
      </c>
      <c r="O226" s="26">
        <f>(Table1[[#This Row],[Unit_Cost]]-Table1[[#This Row],[Negotiated_Cost]])/Table1[[#This Row],[Unit_Cost]]</f>
        <v>5.1158137484315053E-2</v>
      </c>
    </row>
    <row r="227" spans="1:15" x14ac:dyDescent="0.25">
      <c r="A227" t="s">
        <v>262</v>
      </c>
      <c r="B227" t="s">
        <v>17</v>
      </c>
      <c r="C227" s="14" t="s">
        <v>21</v>
      </c>
      <c r="D227" s="1">
        <v>45229</v>
      </c>
      <c r="E227" s="13">
        <v>45231</v>
      </c>
      <c r="F227" s="14" t="s">
        <v>14</v>
      </c>
      <c r="G227">
        <v>463</v>
      </c>
      <c r="H227">
        <v>115.96</v>
      </c>
      <c r="I227">
        <v>111.09</v>
      </c>
      <c r="J227">
        <v>8</v>
      </c>
      <c r="K227" s="14" t="s">
        <v>15</v>
      </c>
      <c r="L227" s="14">
        <f>IF(OR(Table1[[#This Row],[Order_Status]]="Delivered",Table1[[#This Row],[Delivery_Date]]&lt;&gt;"Not Yet Delivered"),Table1[[#This Row],[Delivery_Date]]-Table1[[#This Row],[Order_Date]],"Not Applicable")</f>
        <v>2</v>
      </c>
      <c r="M227" s="14">
        <f>Table1[[#This Row],[Unit_Cost]]-Table1[[#This Row],[Negotiated_Cost]]</f>
        <v>4.8699999999999903</v>
      </c>
      <c r="N227" s="18">
        <f>Table1[[#This Row],[Defective_Units]]/Table1[[#This Row],[Quantity]]</f>
        <v>1.7278617710583154E-2</v>
      </c>
      <c r="O227" s="26">
        <f>(Table1[[#This Row],[Unit_Cost]]-Table1[[#This Row],[Negotiated_Cost]])/Table1[[#This Row],[Unit_Cost]]</f>
        <v>4.1997240427733618E-2</v>
      </c>
    </row>
    <row r="228" spans="1:15" x14ac:dyDescent="0.25">
      <c r="A228" t="s">
        <v>263</v>
      </c>
      <c r="B228" t="s">
        <v>40</v>
      </c>
      <c r="C228" s="14" t="s">
        <v>55</v>
      </c>
      <c r="D228" s="1">
        <v>45004</v>
      </c>
      <c r="E228" s="13">
        <v>45021</v>
      </c>
      <c r="F228" s="14" t="s">
        <v>14</v>
      </c>
      <c r="G228">
        <v>128</v>
      </c>
      <c r="H228">
        <v>15441.7</v>
      </c>
      <c r="I228">
        <v>15045.04</v>
      </c>
      <c r="J228">
        <v>4</v>
      </c>
      <c r="K228" s="14" t="s">
        <v>15</v>
      </c>
      <c r="L228" s="14">
        <f>IF(OR(Table1[[#This Row],[Order_Status]]="Delivered",Table1[[#This Row],[Delivery_Date]]&lt;&gt;"Not Yet Delivered"),Table1[[#This Row],[Delivery_Date]]-Table1[[#This Row],[Order_Date]],"Not Applicable")</f>
        <v>17</v>
      </c>
      <c r="M228" s="14">
        <f>Table1[[#This Row],[Unit_Cost]]-Table1[[#This Row],[Negotiated_Cost]]</f>
        <v>396.65999999999985</v>
      </c>
      <c r="N228" s="18">
        <f>Table1[[#This Row],[Defective_Units]]/Table1[[#This Row],[Quantity]]</f>
        <v>3.125E-2</v>
      </c>
      <c r="O228" s="26">
        <f>(Table1[[#This Row],[Unit_Cost]]-Table1[[#This Row],[Negotiated_Cost]])/Table1[[#This Row],[Unit_Cost]]</f>
        <v>2.5687586211362728E-2</v>
      </c>
    </row>
    <row r="229" spans="1:15" x14ac:dyDescent="0.25">
      <c r="A229" t="s">
        <v>264</v>
      </c>
      <c r="B229" t="s">
        <v>20</v>
      </c>
      <c r="C229" s="14" t="s">
        <v>42</v>
      </c>
      <c r="D229" s="1">
        <v>45180</v>
      </c>
      <c r="E229" s="13">
        <v>45194</v>
      </c>
      <c r="F229" s="14" t="s">
        <v>37</v>
      </c>
      <c r="G229">
        <v>122</v>
      </c>
      <c r="H229">
        <v>11206.29</v>
      </c>
      <c r="I229">
        <v>10882.26</v>
      </c>
      <c r="J229">
        <v>1</v>
      </c>
      <c r="K229" s="14" t="s">
        <v>15</v>
      </c>
      <c r="L229" s="14">
        <f>IF(OR(Table1[[#This Row],[Order_Status]]="Delivered",Table1[[#This Row],[Delivery_Date]]&lt;&gt;"Not Yet Delivered"),Table1[[#This Row],[Delivery_Date]]-Table1[[#This Row],[Order_Date]],"Not Applicable")</f>
        <v>14</v>
      </c>
      <c r="M229" s="14">
        <f>Table1[[#This Row],[Unit_Cost]]-Table1[[#This Row],[Negotiated_Cost]]</f>
        <v>324.03000000000065</v>
      </c>
      <c r="N229" s="18">
        <f>Table1[[#This Row],[Defective_Units]]/Table1[[#This Row],[Quantity]]</f>
        <v>8.1967213114754103E-3</v>
      </c>
      <c r="O229" s="26">
        <f>(Table1[[#This Row],[Unit_Cost]]-Table1[[#This Row],[Negotiated_Cost]])/Table1[[#This Row],[Unit_Cost]]</f>
        <v>2.8915011123217465E-2</v>
      </c>
    </row>
    <row r="230" spans="1:15" x14ac:dyDescent="0.25">
      <c r="A230" t="s">
        <v>265</v>
      </c>
      <c r="B230" t="s">
        <v>46</v>
      </c>
      <c r="C230" s="14" t="s">
        <v>36</v>
      </c>
      <c r="D230" s="1">
        <v>44975</v>
      </c>
      <c r="E230" s="13">
        <v>44982</v>
      </c>
      <c r="F230" s="14" t="s">
        <v>14</v>
      </c>
      <c r="G230">
        <v>409</v>
      </c>
      <c r="H230">
        <v>541.77</v>
      </c>
      <c r="I230">
        <v>524.96</v>
      </c>
      <c r="J230">
        <v>2</v>
      </c>
      <c r="K230" s="14" t="s">
        <v>15</v>
      </c>
      <c r="L230" s="14">
        <f>IF(OR(Table1[[#This Row],[Order_Status]]="Delivered",Table1[[#This Row],[Delivery_Date]]&lt;&gt;"Not Yet Delivered"),Table1[[#This Row],[Delivery_Date]]-Table1[[#This Row],[Order_Date]],"Not Applicable")</f>
        <v>7</v>
      </c>
      <c r="M230" s="14">
        <f>Table1[[#This Row],[Unit_Cost]]-Table1[[#This Row],[Negotiated_Cost]]</f>
        <v>16.809999999999945</v>
      </c>
      <c r="N230" s="18">
        <f>Table1[[#This Row],[Defective_Units]]/Table1[[#This Row],[Quantity]]</f>
        <v>4.8899755501222494E-3</v>
      </c>
      <c r="O230" s="26">
        <f>(Table1[[#This Row],[Unit_Cost]]-Table1[[#This Row],[Negotiated_Cost]])/Table1[[#This Row],[Unit_Cost]]</f>
        <v>3.1027926980083699E-2</v>
      </c>
    </row>
    <row r="231" spans="1:15" x14ac:dyDescent="0.25">
      <c r="A231" t="s">
        <v>266</v>
      </c>
      <c r="B231" t="s">
        <v>20</v>
      </c>
      <c r="C231" s="14" t="s">
        <v>18</v>
      </c>
      <c r="D231" s="1">
        <v>45538</v>
      </c>
      <c r="E231" s="13">
        <v>45551</v>
      </c>
      <c r="F231" s="14" t="s">
        <v>14</v>
      </c>
      <c r="G231">
        <v>330</v>
      </c>
      <c r="H231">
        <v>4726.79</v>
      </c>
      <c r="I231">
        <v>4507.0600000000004</v>
      </c>
      <c r="J231">
        <v>6</v>
      </c>
      <c r="K231" s="14" t="s">
        <v>25</v>
      </c>
      <c r="L231" s="14">
        <f>IF(OR(Table1[[#This Row],[Order_Status]]="Delivered",Table1[[#This Row],[Delivery_Date]]&lt;&gt;"Not Yet Delivered"),Table1[[#This Row],[Delivery_Date]]-Table1[[#This Row],[Order_Date]],"Not Applicable")</f>
        <v>13</v>
      </c>
      <c r="M231" s="14">
        <f>Table1[[#This Row],[Unit_Cost]]-Table1[[#This Row],[Negotiated_Cost]]</f>
        <v>219.72999999999956</v>
      </c>
      <c r="N231" s="18">
        <f>Table1[[#This Row],[Defective_Units]]/Table1[[#This Row],[Quantity]]</f>
        <v>1.8181818181818181E-2</v>
      </c>
      <c r="O231" s="26">
        <f>(Table1[[#This Row],[Unit_Cost]]-Table1[[#This Row],[Negotiated_Cost]])/Table1[[#This Row],[Unit_Cost]]</f>
        <v>4.6486093099122147E-2</v>
      </c>
    </row>
    <row r="232" spans="1:15" x14ac:dyDescent="0.25">
      <c r="A232" t="s">
        <v>267</v>
      </c>
      <c r="B232" t="s">
        <v>12</v>
      </c>
      <c r="C232" s="14" t="s">
        <v>18</v>
      </c>
      <c r="D232" s="1">
        <v>45544</v>
      </c>
      <c r="E232" s="14" t="s">
        <v>2057</v>
      </c>
      <c r="F232" s="14" t="s">
        <v>33</v>
      </c>
      <c r="G232">
        <v>418</v>
      </c>
      <c r="H232">
        <v>5156.18</v>
      </c>
      <c r="I232">
        <v>4932.1099999999997</v>
      </c>
      <c r="J232">
        <v>2</v>
      </c>
      <c r="K232" s="14" t="s">
        <v>15</v>
      </c>
      <c r="L232" s="14" t="str">
        <f>IF(OR(Table1[[#This Row],[Order_Status]]="Delivered",Table1[[#This Row],[Delivery_Date]]&lt;&gt;"Not Yet Delivered"),Table1[[#This Row],[Delivery_Date]]-Table1[[#This Row],[Order_Date]],"Not Applicable")</f>
        <v>Not Applicable</v>
      </c>
      <c r="M232" s="14">
        <f>Table1[[#This Row],[Unit_Cost]]-Table1[[#This Row],[Negotiated_Cost]]</f>
        <v>224.07000000000062</v>
      </c>
      <c r="N232" s="18">
        <f>Table1[[#This Row],[Defective_Units]]/Table1[[#This Row],[Quantity]]</f>
        <v>4.7846889952153108E-3</v>
      </c>
      <c r="O232" s="26">
        <f>(Table1[[#This Row],[Unit_Cost]]-Table1[[#This Row],[Negotiated_Cost]])/Table1[[#This Row],[Unit_Cost]]</f>
        <v>4.3456589956130429E-2</v>
      </c>
    </row>
    <row r="233" spans="1:15" x14ac:dyDescent="0.25">
      <c r="A233" t="s">
        <v>268</v>
      </c>
      <c r="B233" t="s">
        <v>40</v>
      </c>
      <c r="C233" s="14" t="s">
        <v>55</v>
      </c>
      <c r="D233" s="1">
        <v>45544</v>
      </c>
      <c r="E233" s="14" t="s">
        <v>2057</v>
      </c>
      <c r="F233" s="14" t="s">
        <v>33</v>
      </c>
      <c r="G233">
        <v>221</v>
      </c>
      <c r="H233">
        <v>16179.99</v>
      </c>
      <c r="I233">
        <v>15272.65</v>
      </c>
      <c r="J233">
        <v>2</v>
      </c>
      <c r="K233" s="14" t="s">
        <v>15</v>
      </c>
      <c r="L233" s="14" t="str">
        <f>IF(OR(Table1[[#This Row],[Order_Status]]="Delivered",Table1[[#This Row],[Delivery_Date]]&lt;&gt;"Not Yet Delivered"),Table1[[#This Row],[Delivery_Date]]-Table1[[#This Row],[Order_Date]],"Not Applicable")</f>
        <v>Not Applicable</v>
      </c>
      <c r="M233" s="14">
        <f>Table1[[#This Row],[Unit_Cost]]-Table1[[#This Row],[Negotiated_Cost]]</f>
        <v>907.34000000000015</v>
      </c>
      <c r="N233" s="18">
        <f>Table1[[#This Row],[Defective_Units]]/Table1[[#This Row],[Quantity]]</f>
        <v>9.0497737556561094E-3</v>
      </c>
      <c r="O233" s="26">
        <f>(Table1[[#This Row],[Unit_Cost]]-Table1[[#This Row],[Negotiated_Cost]])/Table1[[#This Row],[Unit_Cost]]</f>
        <v>5.6077908577199374E-2</v>
      </c>
    </row>
    <row r="234" spans="1:15" x14ac:dyDescent="0.25">
      <c r="A234" t="s">
        <v>269</v>
      </c>
      <c r="B234" t="s">
        <v>27</v>
      </c>
      <c r="C234" s="14" t="s">
        <v>28</v>
      </c>
      <c r="D234" s="1">
        <v>45367</v>
      </c>
      <c r="E234" s="13">
        <v>45375</v>
      </c>
      <c r="F234" s="14" t="s">
        <v>14</v>
      </c>
      <c r="G234">
        <v>25</v>
      </c>
      <c r="H234">
        <v>49150.48</v>
      </c>
      <c r="I234">
        <v>47413.78</v>
      </c>
      <c r="J234">
        <v>0</v>
      </c>
      <c r="K234" s="14" t="s">
        <v>15</v>
      </c>
      <c r="L234" s="14">
        <f>IF(OR(Table1[[#This Row],[Order_Status]]="Delivered",Table1[[#This Row],[Delivery_Date]]&lt;&gt;"Not Yet Delivered"),Table1[[#This Row],[Delivery_Date]]-Table1[[#This Row],[Order_Date]],"Not Applicable")</f>
        <v>8</v>
      </c>
      <c r="M234" s="14">
        <f>Table1[[#This Row],[Unit_Cost]]-Table1[[#This Row],[Negotiated_Cost]]</f>
        <v>1736.7000000000044</v>
      </c>
      <c r="N234" s="18">
        <f>Table1[[#This Row],[Defective_Units]]/Table1[[#This Row],[Quantity]]</f>
        <v>0</v>
      </c>
      <c r="O234" s="26">
        <f>(Table1[[#This Row],[Unit_Cost]]-Table1[[#This Row],[Negotiated_Cost]])/Table1[[#This Row],[Unit_Cost]]</f>
        <v>3.5334344649330066E-2</v>
      </c>
    </row>
    <row r="235" spans="1:15" x14ac:dyDescent="0.25">
      <c r="A235" t="s">
        <v>270</v>
      </c>
      <c r="B235" t="s">
        <v>40</v>
      </c>
      <c r="C235" s="14" t="s">
        <v>18</v>
      </c>
      <c r="D235" s="1">
        <v>45125</v>
      </c>
      <c r="E235" s="13">
        <v>45140</v>
      </c>
      <c r="F235" s="14" t="s">
        <v>37</v>
      </c>
      <c r="G235">
        <v>409</v>
      </c>
      <c r="H235">
        <v>5314.26</v>
      </c>
      <c r="I235">
        <v>5128.9399999999996</v>
      </c>
      <c r="J235">
        <v>6</v>
      </c>
      <c r="K235" s="14" t="s">
        <v>15</v>
      </c>
      <c r="L235" s="14">
        <f>IF(OR(Table1[[#This Row],[Order_Status]]="Delivered",Table1[[#This Row],[Delivery_Date]]&lt;&gt;"Not Yet Delivered"),Table1[[#This Row],[Delivery_Date]]-Table1[[#This Row],[Order_Date]],"Not Applicable")</f>
        <v>15</v>
      </c>
      <c r="M235" s="14">
        <f>Table1[[#This Row],[Unit_Cost]]-Table1[[#This Row],[Negotiated_Cost]]</f>
        <v>185.32000000000062</v>
      </c>
      <c r="N235" s="18">
        <f>Table1[[#This Row],[Defective_Units]]/Table1[[#This Row],[Quantity]]</f>
        <v>1.4669926650366748E-2</v>
      </c>
      <c r="O235" s="26">
        <f>(Table1[[#This Row],[Unit_Cost]]-Table1[[#This Row],[Negotiated_Cost]])/Table1[[#This Row],[Unit_Cost]]</f>
        <v>3.487221174726126E-2</v>
      </c>
    </row>
    <row r="236" spans="1:15" x14ac:dyDescent="0.25">
      <c r="A236" t="s">
        <v>271</v>
      </c>
      <c r="B236" t="s">
        <v>46</v>
      </c>
      <c r="C236" s="14" t="s">
        <v>44</v>
      </c>
      <c r="D236" s="1">
        <v>45231</v>
      </c>
      <c r="E236" s="13">
        <v>45244</v>
      </c>
      <c r="F236" s="14" t="s">
        <v>14</v>
      </c>
      <c r="G236">
        <v>407</v>
      </c>
      <c r="H236">
        <v>8221.82</v>
      </c>
      <c r="I236">
        <v>8195.69</v>
      </c>
      <c r="J236">
        <v>0</v>
      </c>
      <c r="K236" s="14" t="s">
        <v>15</v>
      </c>
      <c r="L236" s="14">
        <f>IF(OR(Table1[[#This Row],[Order_Status]]="Delivered",Table1[[#This Row],[Delivery_Date]]&lt;&gt;"Not Yet Delivered"),Table1[[#This Row],[Delivery_Date]]-Table1[[#This Row],[Order_Date]],"Not Applicable")</f>
        <v>13</v>
      </c>
      <c r="M236" s="14">
        <f>Table1[[#This Row],[Unit_Cost]]-Table1[[#This Row],[Negotiated_Cost]]</f>
        <v>26.1299999999992</v>
      </c>
      <c r="N236" s="18">
        <f>Table1[[#This Row],[Defective_Units]]/Table1[[#This Row],[Quantity]]</f>
        <v>0</v>
      </c>
      <c r="O236" s="26">
        <f>(Table1[[#This Row],[Unit_Cost]]-Table1[[#This Row],[Negotiated_Cost]])/Table1[[#This Row],[Unit_Cost]]</f>
        <v>3.178128443580521E-3</v>
      </c>
    </row>
    <row r="237" spans="1:15" x14ac:dyDescent="0.25">
      <c r="A237" t="s">
        <v>272</v>
      </c>
      <c r="B237" t="s">
        <v>20</v>
      </c>
      <c r="C237" s="14" t="s">
        <v>44</v>
      </c>
      <c r="D237" s="1">
        <v>45253</v>
      </c>
      <c r="E237" s="13">
        <v>45283</v>
      </c>
      <c r="F237" s="14" t="s">
        <v>14</v>
      </c>
      <c r="G237">
        <v>90</v>
      </c>
      <c r="H237">
        <v>8219.9500000000007</v>
      </c>
      <c r="I237">
        <v>7984.89</v>
      </c>
      <c r="J237">
        <v>1</v>
      </c>
      <c r="K237" s="14" t="s">
        <v>15</v>
      </c>
      <c r="L237" s="14">
        <f>IF(OR(Table1[[#This Row],[Order_Status]]="Delivered",Table1[[#This Row],[Delivery_Date]]&lt;&gt;"Not Yet Delivered"),Table1[[#This Row],[Delivery_Date]]-Table1[[#This Row],[Order_Date]],"Not Applicable")</f>
        <v>30</v>
      </c>
      <c r="M237" s="14">
        <f>Table1[[#This Row],[Unit_Cost]]-Table1[[#This Row],[Negotiated_Cost]]</f>
        <v>235.0600000000004</v>
      </c>
      <c r="N237" s="18">
        <f>Table1[[#This Row],[Defective_Units]]/Table1[[#This Row],[Quantity]]</f>
        <v>1.1111111111111112E-2</v>
      </c>
      <c r="O237" s="26">
        <f>(Table1[[#This Row],[Unit_Cost]]-Table1[[#This Row],[Negotiated_Cost]])/Table1[[#This Row],[Unit_Cost]]</f>
        <v>2.8596280999276198E-2</v>
      </c>
    </row>
    <row r="238" spans="1:15" x14ac:dyDescent="0.25">
      <c r="A238" t="s">
        <v>273</v>
      </c>
      <c r="B238" t="s">
        <v>20</v>
      </c>
      <c r="C238" s="14" t="s">
        <v>50</v>
      </c>
      <c r="D238" s="1">
        <v>45536</v>
      </c>
      <c r="E238" s="13">
        <v>45547</v>
      </c>
      <c r="F238" s="14" t="s">
        <v>14</v>
      </c>
      <c r="G238">
        <v>458</v>
      </c>
      <c r="H238">
        <v>48279.51</v>
      </c>
      <c r="I238">
        <v>47836.07</v>
      </c>
      <c r="J238">
        <v>12</v>
      </c>
      <c r="K238" s="14" t="s">
        <v>15</v>
      </c>
      <c r="L238" s="14">
        <f>IF(OR(Table1[[#This Row],[Order_Status]]="Delivered",Table1[[#This Row],[Delivery_Date]]&lt;&gt;"Not Yet Delivered"),Table1[[#This Row],[Delivery_Date]]-Table1[[#This Row],[Order_Date]],"Not Applicable")</f>
        <v>11</v>
      </c>
      <c r="M238" s="14">
        <f>Table1[[#This Row],[Unit_Cost]]-Table1[[#This Row],[Negotiated_Cost]]</f>
        <v>443.44000000000233</v>
      </c>
      <c r="N238" s="18">
        <f>Table1[[#This Row],[Defective_Units]]/Table1[[#This Row],[Quantity]]</f>
        <v>2.6200873362445413E-2</v>
      </c>
      <c r="O238" s="26">
        <f>(Table1[[#This Row],[Unit_Cost]]-Table1[[#This Row],[Negotiated_Cost]])/Table1[[#This Row],[Unit_Cost]]</f>
        <v>9.1848488106031374E-3</v>
      </c>
    </row>
    <row r="239" spans="1:15" x14ac:dyDescent="0.25">
      <c r="A239" t="s">
        <v>274</v>
      </c>
      <c r="B239" t="s">
        <v>35</v>
      </c>
      <c r="C239" s="14" t="s">
        <v>28</v>
      </c>
      <c r="D239" s="1">
        <v>45361</v>
      </c>
      <c r="E239" s="13">
        <v>45377</v>
      </c>
      <c r="F239" s="14" t="s">
        <v>14</v>
      </c>
      <c r="G239">
        <v>129</v>
      </c>
      <c r="H239">
        <v>49435.87</v>
      </c>
      <c r="I239">
        <v>47331.64</v>
      </c>
      <c r="J239">
        <v>2</v>
      </c>
      <c r="K239" s="14" t="s">
        <v>15</v>
      </c>
      <c r="L239" s="14">
        <f>IF(OR(Table1[[#This Row],[Order_Status]]="Delivered",Table1[[#This Row],[Delivery_Date]]&lt;&gt;"Not Yet Delivered"),Table1[[#This Row],[Delivery_Date]]-Table1[[#This Row],[Order_Date]],"Not Applicable")</f>
        <v>16</v>
      </c>
      <c r="M239" s="14">
        <f>Table1[[#This Row],[Unit_Cost]]-Table1[[#This Row],[Negotiated_Cost]]</f>
        <v>2104.2300000000032</v>
      </c>
      <c r="N239" s="18">
        <f>Table1[[#This Row],[Defective_Units]]/Table1[[#This Row],[Quantity]]</f>
        <v>1.5503875968992248E-2</v>
      </c>
      <c r="O239" s="26">
        <f>(Table1[[#This Row],[Unit_Cost]]-Table1[[#This Row],[Negotiated_Cost]])/Table1[[#This Row],[Unit_Cost]]</f>
        <v>4.2564842087334624E-2</v>
      </c>
    </row>
    <row r="240" spans="1:15" x14ac:dyDescent="0.25">
      <c r="A240" t="s">
        <v>275</v>
      </c>
      <c r="B240" t="s">
        <v>35</v>
      </c>
      <c r="C240" s="14" t="s">
        <v>50</v>
      </c>
      <c r="D240" s="1">
        <v>44958</v>
      </c>
      <c r="E240" s="13">
        <v>44963</v>
      </c>
      <c r="F240" s="14" t="s">
        <v>37</v>
      </c>
      <c r="G240">
        <v>395</v>
      </c>
      <c r="H240">
        <v>54322.13</v>
      </c>
      <c r="I240">
        <v>52838.64</v>
      </c>
      <c r="J240">
        <v>3</v>
      </c>
      <c r="K240" s="14" t="s">
        <v>15</v>
      </c>
      <c r="L240" s="14">
        <f>IF(OR(Table1[[#This Row],[Order_Status]]="Delivered",Table1[[#This Row],[Delivery_Date]]&lt;&gt;"Not Yet Delivered"),Table1[[#This Row],[Delivery_Date]]-Table1[[#This Row],[Order_Date]],"Not Applicable")</f>
        <v>5</v>
      </c>
      <c r="M240" s="14">
        <f>Table1[[#This Row],[Unit_Cost]]-Table1[[#This Row],[Negotiated_Cost]]</f>
        <v>1483.489999999998</v>
      </c>
      <c r="N240" s="18">
        <f>Table1[[#This Row],[Defective_Units]]/Table1[[#This Row],[Quantity]]</f>
        <v>7.5949367088607592E-3</v>
      </c>
      <c r="O240" s="26">
        <f>(Table1[[#This Row],[Unit_Cost]]-Table1[[#This Row],[Negotiated_Cost]])/Table1[[#This Row],[Unit_Cost]]</f>
        <v>2.7309127974179181E-2</v>
      </c>
    </row>
    <row r="241" spans="1:15" x14ac:dyDescent="0.25">
      <c r="A241" t="s">
        <v>276</v>
      </c>
      <c r="B241" t="s">
        <v>12</v>
      </c>
      <c r="C241" s="14" t="s">
        <v>55</v>
      </c>
      <c r="D241" s="1">
        <v>45530</v>
      </c>
      <c r="E241" s="13">
        <v>45557</v>
      </c>
      <c r="F241" s="14" t="s">
        <v>37</v>
      </c>
      <c r="G241">
        <v>274</v>
      </c>
      <c r="H241">
        <v>14747.78</v>
      </c>
      <c r="I241">
        <v>14262.2</v>
      </c>
      <c r="J241">
        <v>3</v>
      </c>
      <c r="K241" s="14" t="s">
        <v>15</v>
      </c>
      <c r="L241" s="14">
        <f>IF(OR(Table1[[#This Row],[Order_Status]]="Delivered",Table1[[#This Row],[Delivery_Date]]&lt;&gt;"Not Yet Delivered"),Table1[[#This Row],[Delivery_Date]]-Table1[[#This Row],[Order_Date]],"Not Applicable")</f>
        <v>27</v>
      </c>
      <c r="M241" s="14">
        <f>Table1[[#This Row],[Unit_Cost]]-Table1[[#This Row],[Negotiated_Cost]]</f>
        <v>485.57999999999993</v>
      </c>
      <c r="N241" s="18">
        <f>Table1[[#This Row],[Defective_Units]]/Table1[[#This Row],[Quantity]]</f>
        <v>1.0948905109489052E-2</v>
      </c>
      <c r="O241" s="26">
        <f>(Table1[[#This Row],[Unit_Cost]]-Table1[[#This Row],[Negotiated_Cost]])/Table1[[#This Row],[Unit_Cost]]</f>
        <v>3.2925633552982204E-2</v>
      </c>
    </row>
    <row r="242" spans="1:15" x14ac:dyDescent="0.25">
      <c r="A242" t="s">
        <v>277</v>
      </c>
      <c r="B242" t="s">
        <v>35</v>
      </c>
      <c r="C242" s="14" t="s">
        <v>24</v>
      </c>
      <c r="D242" s="1">
        <v>44970</v>
      </c>
      <c r="E242" s="13">
        <v>44978</v>
      </c>
      <c r="F242" s="14" t="s">
        <v>14</v>
      </c>
      <c r="G242">
        <v>101</v>
      </c>
      <c r="H242">
        <v>12336.09</v>
      </c>
      <c r="I242">
        <v>12186.83</v>
      </c>
      <c r="J242">
        <v>1</v>
      </c>
      <c r="K242" s="14" t="s">
        <v>15</v>
      </c>
      <c r="L242" s="14">
        <f>IF(OR(Table1[[#This Row],[Order_Status]]="Delivered",Table1[[#This Row],[Delivery_Date]]&lt;&gt;"Not Yet Delivered"),Table1[[#This Row],[Delivery_Date]]-Table1[[#This Row],[Order_Date]],"Not Applicable")</f>
        <v>8</v>
      </c>
      <c r="M242" s="14">
        <f>Table1[[#This Row],[Unit_Cost]]-Table1[[#This Row],[Negotiated_Cost]]</f>
        <v>149.26000000000022</v>
      </c>
      <c r="N242" s="18">
        <f>Table1[[#This Row],[Defective_Units]]/Table1[[#This Row],[Quantity]]</f>
        <v>9.9009900990099011E-3</v>
      </c>
      <c r="O242" s="26">
        <f>(Table1[[#This Row],[Unit_Cost]]-Table1[[#This Row],[Negotiated_Cost]])/Table1[[#This Row],[Unit_Cost]]</f>
        <v>1.2099457769844434E-2</v>
      </c>
    </row>
    <row r="243" spans="1:15" x14ac:dyDescent="0.25">
      <c r="A243" t="s">
        <v>278</v>
      </c>
      <c r="B243" t="s">
        <v>17</v>
      </c>
      <c r="C243" s="14" t="s">
        <v>24</v>
      </c>
      <c r="D243" s="1">
        <v>45430</v>
      </c>
      <c r="E243" s="13">
        <v>45459</v>
      </c>
      <c r="F243" s="14" t="s">
        <v>37</v>
      </c>
      <c r="G243">
        <v>272</v>
      </c>
      <c r="H243">
        <v>11782.89</v>
      </c>
      <c r="I243">
        <v>11278.92</v>
      </c>
      <c r="J243">
        <v>1</v>
      </c>
      <c r="K243" s="14" t="s">
        <v>15</v>
      </c>
      <c r="L243" s="14">
        <f>IF(OR(Table1[[#This Row],[Order_Status]]="Delivered",Table1[[#This Row],[Delivery_Date]]&lt;&gt;"Not Yet Delivered"),Table1[[#This Row],[Delivery_Date]]-Table1[[#This Row],[Order_Date]],"Not Applicable")</f>
        <v>29</v>
      </c>
      <c r="M243" s="14">
        <f>Table1[[#This Row],[Unit_Cost]]-Table1[[#This Row],[Negotiated_Cost]]</f>
        <v>503.96999999999935</v>
      </c>
      <c r="N243" s="18">
        <f>Table1[[#This Row],[Defective_Units]]/Table1[[#This Row],[Quantity]]</f>
        <v>3.6764705882352941E-3</v>
      </c>
      <c r="O243" s="26">
        <f>(Table1[[#This Row],[Unit_Cost]]-Table1[[#This Row],[Negotiated_Cost]])/Table1[[#This Row],[Unit_Cost]]</f>
        <v>4.2771340477590757E-2</v>
      </c>
    </row>
    <row r="244" spans="1:15" x14ac:dyDescent="0.25">
      <c r="A244" t="s">
        <v>279</v>
      </c>
      <c r="B244" t="s">
        <v>27</v>
      </c>
      <c r="C244" s="14" t="s">
        <v>18</v>
      </c>
      <c r="D244" s="1">
        <v>45480</v>
      </c>
      <c r="E244" s="13">
        <v>45488</v>
      </c>
      <c r="F244" s="14" t="s">
        <v>14</v>
      </c>
      <c r="G244">
        <v>320</v>
      </c>
      <c r="H244">
        <v>5428.69</v>
      </c>
      <c r="I244">
        <v>5361.35</v>
      </c>
      <c r="J244">
        <v>5</v>
      </c>
      <c r="K244" s="14" t="s">
        <v>15</v>
      </c>
      <c r="L244" s="14">
        <f>IF(OR(Table1[[#This Row],[Order_Status]]="Delivered",Table1[[#This Row],[Delivery_Date]]&lt;&gt;"Not Yet Delivered"),Table1[[#This Row],[Delivery_Date]]-Table1[[#This Row],[Order_Date]],"Not Applicable")</f>
        <v>8</v>
      </c>
      <c r="M244" s="14">
        <f>Table1[[#This Row],[Unit_Cost]]-Table1[[#This Row],[Negotiated_Cost]]</f>
        <v>67.339999999999236</v>
      </c>
      <c r="N244" s="18">
        <f>Table1[[#This Row],[Defective_Units]]/Table1[[#This Row],[Quantity]]</f>
        <v>1.5625E-2</v>
      </c>
      <c r="O244" s="26">
        <f>(Table1[[#This Row],[Unit_Cost]]-Table1[[#This Row],[Negotiated_Cost]])/Table1[[#This Row],[Unit_Cost]]</f>
        <v>1.2404465902455149E-2</v>
      </c>
    </row>
    <row r="245" spans="1:15" x14ac:dyDescent="0.25">
      <c r="A245" t="s">
        <v>280</v>
      </c>
      <c r="B245" t="s">
        <v>20</v>
      </c>
      <c r="C245" s="14" t="s">
        <v>55</v>
      </c>
      <c r="D245" s="1">
        <v>45146</v>
      </c>
      <c r="E245" s="13">
        <v>45175</v>
      </c>
      <c r="F245" s="14" t="s">
        <v>37</v>
      </c>
      <c r="G245">
        <v>133</v>
      </c>
      <c r="H245">
        <v>13140.56</v>
      </c>
      <c r="I245">
        <v>12638.87</v>
      </c>
      <c r="J245">
        <v>2</v>
      </c>
      <c r="K245" s="14" t="s">
        <v>25</v>
      </c>
      <c r="L245" s="14">
        <f>IF(OR(Table1[[#This Row],[Order_Status]]="Delivered",Table1[[#This Row],[Delivery_Date]]&lt;&gt;"Not Yet Delivered"),Table1[[#This Row],[Delivery_Date]]-Table1[[#This Row],[Order_Date]],"Not Applicable")</f>
        <v>29</v>
      </c>
      <c r="M245" s="14">
        <f>Table1[[#This Row],[Unit_Cost]]-Table1[[#This Row],[Negotiated_Cost]]</f>
        <v>501.68999999999869</v>
      </c>
      <c r="N245" s="18">
        <f>Table1[[#This Row],[Defective_Units]]/Table1[[#This Row],[Quantity]]</f>
        <v>1.5037593984962405E-2</v>
      </c>
      <c r="O245" s="26">
        <f>(Table1[[#This Row],[Unit_Cost]]-Table1[[#This Row],[Negotiated_Cost]])/Table1[[#This Row],[Unit_Cost]]</f>
        <v>3.8178738196849957E-2</v>
      </c>
    </row>
    <row r="246" spans="1:15" x14ac:dyDescent="0.25">
      <c r="A246" t="s">
        <v>281</v>
      </c>
      <c r="B246" t="s">
        <v>35</v>
      </c>
      <c r="C246" s="14" t="s">
        <v>24</v>
      </c>
      <c r="D246" s="1">
        <v>45575</v>
      </c>
      <c r="E246" s="13">
        <v>45577</v>
      </c>
      <c r="F246" s="14" t="s">
        <v>14</v>
      </c>
      <c r="G246">
        <v>16</v>
      </c>
      <c r="H246">
        <v>12859.6</v>
      </c>
      <c r="I246">
        <v>12334.67</v>
      </c>
      <c r="J246">
        <v>0</v>
      </c>
      <c r="K246" s="14" t="s">
        <v>15</v>
      </c>
      <c r="L246" s="14">
        <f>IF(OR(Table1[[#This Row],[Order_Status]]="Delivered",Table1[[#This Row],[Delivery_Date]]&lt;&gt;"Not Yet Delivered"),Table1[[#This Row],[Delivery_Date]]-Table1[[#This Row],[Order_Date]],"Not Applicable")</f>
        <v>2</v>
      </c>
      <c r="M246" s="14">
        <f>Table1[[#This Row],[Unit_Cost]]-Table1[[#This Row],[Negotiated_Cost]]</f>
        <v>524.93000000000029</v>
      </c>
      <c r="N246" s="18">
        <f>Table1[[#This Row],[Defective_Units]]/Table1[[#This Row],[Quantity]]</f>
        <v>0</v>
      </c>
      <c r="O246" s="26">
        <f>(Table1[[#This Row],[Unit_Cost]]-Table1[[#This Row],[Negotiated_Cost]])/Table1[[#This Row],[Unit_Cost]]</f>
        <v>4.0820087716569746E-2</v>
      </c>
    </row>
    <row r="247" spans="1:15" x14ac:dyDescent="0.25">
      <c r="A247" t="s">
        <v>282</v>
      </c>
      <c r="B247" t="s">
        <v>12</v>
      </c>
      <c r="C247" s="14" t="s">
        <v>30</v>
      </c>
      <c r="D247" s="1">
        <v>45028</v>
      </c>
      <c r="E247" s="13">
        <v>45034</v>
      </c>
      <c r="F247" s="14" t="s">
        <v>14</v>
      </c>
      <c r="G247">
        <v>227</v>
      </c>
      <c r="H247">
        <v>962.71</v>
      </c>
      <c r="I247">
        <v>912.45</v>
      </c>
      <c r="J247">
        <v>3</v>
      </c>
      <c r="K247" s="14" t="s">
        <v>15</v>
      </c>
      <c r="L247" s="14">
        <f>IF(OR(Table1[[#This Row],[Order_Status]]="Delivered",Table1[[#This Row],[Delivery_Date]]&lt;&gt;"Not Yet Delivered"),Table1[[#This Row],[Delivery_Date]]-Table1[[#This Row],[Order_Date]],"Not Applicable")</f>
        <v>6</v>
      </c>
      <c r="M247" s="14">
        <f>Table1[[#This Row],[Unit_Cost]]-Table1[[#This Row],[Negotiated_Cost]]</f>
        <v>50.259999999999991</v>
      </c>
      <c r="N247" s="18">
        <f>Table1[[#This Row],[Defective_Units]]/Table1[[#This Row],[Quantity]]</f>
        <v>1.3215859030837005E-2</v>
      </c>
      <c r="O247" s="26">
        <f>(Table1[[#This Row],[Unit_Cost]]-Table1[[#This Row],[Negotiated_Cost]])/Table1[[#This Row],[Unit_Cost]]</f>
        <v>5.2206791245546412E-2</v>
      </c>
    </row>
    <row r="248" spans="1:15" x14ac:dyDescent="0.25">
      <c r="A248" t="s">
        <v>283</v>
      </c>
      <c r="B248" t="s">
        <v>17</v>
      </c>
      <c r="C248" s="14" t="s">
        <v>36</v>
      </c>
      <c r="D248" s="1">
        <v>45627</v>
      </c>
      <c r="E248" s="13">
        <v>45646</v>
      </c>
      <c r="F248" s="14" t="s">
        <v>14</v>
      </c>
      <c r="G248">
        <v>480</v>
      </c>
      <c r="H248">
        <v>539.22</v>
      </c>
      <c r="I248">
        <v>533.37</v>
      </c>
      <c r="J248">
        <v>14</v>
      </c>
      <c r="K248" s="14" t="s">
        <v>15</v>
      </c>
      <c r="L248" s="14">
        <f>IF(OR(Table1[[#This Row],[Order_Status]]="Delivered",Table1[[#This Row],[Delivery_Date]]&lt;&gt;"Not Yet Delivered"),Table1[[#This Row],[Delivery_Date]]-Table1[[#This Row],[Order_Date]],"Not Applicable")</f>
        <v>19</v>
      </c>
      <c r="M248" s="14">
        <f>Table1[[#This Row],[Unit_Cost]]-Table1[[#This Row],[Negotiated_Cost]]</f>
        <v>5.8500000000000227</v>
      </c>
      <c r="N248" s="18">
        <f>Table1[[#This Row],[Defective_Units]]/Table1[[#This Row],[Quantity]]</f>
        <v>2.9166666666666667E-2</v>
      </c>
      <c r="O248" s="26">
        <f>(Table1[[#This Row],[Unit_Cost]]-Table1[[#This Row],[Negotiated_Cost]])/Table1[[#This Row],[Unit_Cost]]</f>
        <v>1.0849004117058015E-2</v>
      </c>
    </row>
    <row r="249" spans="1:15" x14ac:dyDescent="0.25">
      <c r="A249" t="s">
        <v>284</v>
      </c>
      <c r="B249" t="s">
        <v>12</v>
      </c>
      <c r="C249" s="14" t="s">
        <v>21</v>
      </c>
      <c r="D249" s="1">
        <v>45383</v>
      </c>
      <c r="E249" s="13">
        <v>45396</v>
      </c>
      <c r="F249" s="14" t="s">
        <v>14</v>
      </c>
      <c r="G249">
        <v>217</v>
      </c>
      <c r="H249">
        <v>122.29</v>
      </c>
      <c r="I249">
        <v>120.96</v>
      </c>
      <c r="J249">
        <v>1</v>
      </c>
      <c r="K249" s="14" t="s">
        <v>15</v>
      </c>
      <c r="L249" s="14">
        <f>IF(OR(Table1[[#This Row],[Order_Status]]="Delivered",Table1[[#This Row],[Delivery_Date]]&lt;&gt;"Not Yet Delivered"),Table1[[#This Row],[Delivery_Date]]-Table1[[#This Row],[Order_Date]],"Not Applicable")</f>
        <v>13</v>
      </c>
      <c r="M249" s="14">
        <f>Table1[[#This Row],[Unit_Cost]]-Table1[[#This Row],[Negotiated_Cost]]</f>
        <v>1.3300000000000125</v>
      </c>
      <c r="N249" s="18">
        <f>Table1[[#This Row],[Defective_Units]]/Table1[[#This Row],[Quantity]]</f>
        <v>4.608294930875576E-3</v>
      </c>
      <c r="O249" s="26">
        <f>(Table1[[#This Row],[Unit_Cost]]-Table1[[#This Row],[Negotiated_Cost]])/Table1[[#This Row],[Unit_Cost]]</f>
        <v>1.0875787063537595E-2</v>
      </c>
    </row>
    <row r="250" spans="1:15" x14ac:dyDescent="0.25">
      <c r="A250" t="s">
        <v>285</v>
      </c>
      <c r="B250" t="s">
        <v>46</v>
      </c>
      <c r="C250" s="14" t="s">
        <v>50</v>
      </c>
      <c r="D250" s="1">
        <v>45601</v>
      </c>
      <c r="E250" s="13">
        <v>45620</v>
      </c>
      <c r="F250" s="14" t="s">
        <v>37</v>
      </c>
      <c r="G250">
        <v>184</v>
      </c>
      <c r="H250">
        <v>53984.15</v>
      </c>
      <c r="I250">
        <v>53140.93</v>
      </c>
      <c r="J250">
        <v>3</v>
      </c>
      <c r="K250" s="14" t="s">
        <v>15</v>
      </c>
      <c r="L250" s="14">
        <f>IF(OR(Table1[[#This Row],[Order_Status]]="Delivered",Table1[[#This Row],[Delivery_Date]]&lt;&gt;"Not Yet Delivered"),Table1[[#This Row],[Delivery_Date]]-Table1[[#This Row],[Order_Date]],"Not Applicable")</f>
        <v>19</v>
      </c>
      <c r="M250" s="14">
        <f>Table1[[#This Row],[Unit_Cost]]-Table1[[#This Row],[Negotiated_Cost]]</f>
        <v>843.22000000000116</v>
      </c>
      <c r="N250" s="18">
        <f>Table1[[#This Row],[Defective_Units]]/Table1[[#This Row],[Quantity]]</f>
        <v>1.6304347826086956E-2</v>
      </c>
      <c r="O250" s="26">
        <f>(Table1[[#This Row],[Unit_Cost]]-Table1[[#This Row],[Negotiated_Cost]])/Table1[[#This Row],[Unit_Cost]]</f>
        <v>1.5619769876899075E-2</v>
      </c>
    </row>
    <row r="251" spans="1:15" x14ac:dyDescent="0.25">
      <c r="A251" t="s">
        <v>286</v>
      </c>
      <c r="B251" t="s">
        <v>12</v>
      </c>
      <c r="C251" s="14" t="s">
        <v>36</v>
      </c>
      <c r="D251" s="1">
        <v>45577</v>
      </c>
      <c r="E251" s="13">
        <v>45598</v>
      </c>
      <c r="F251" s="14" t="s">
        <v>37</v>
      </c>
      <c r="G251">
        <v>354</v>
      </c>
      <c r="H251">
        <v>610.70000000000005</v>
      </c>
      <c r="I251">
        <v>597.29</v>
      </c>
      <c r="J251">
        <v>0</v>
      </c>
      <c r="K251" s="14" t="s">
        <v>15</v>
      </c>
      <c r="L251" s="14">
        <f>IF(OR(Table1[[#This Row],[Order_Status]]="Delivered",Table1[[#This Row],[Delivery_Date]]&lt;&gt;"Not Yet Delivered"),Table1[[#This Row],[Delivery_Date]]-Table1[[#This Row],[Order_Date]],"Not Applicable")</f>
        <v>21</v>
      </c>
      <c r="M251" s="14">
        <f>Table1[[#This Row],[Unit_Cost]]-Table1[[#This Row],[Negotiated_Cost]]</f>
        <v>13.410000000000082</v>
      </c>
      <c r="N251" s="18">
        <f>Table1[[#This Row],[Defective_Units]]/Table1[[#This Row],[Quantity]]</f>
        <v>0</v>
      </c>
      <c r="O251" s="26">
        <f>(Table1[[#This Row],[Unit_Cost]]-Table1[[#This Row],[Negotiated_Cost]])/Table1[[#This Row],[Unit_Cost]]</f>
        <v>2.1958408383821976E-2</v>
      </c>
    </row>
    <row r="252" spans="1:15" x14ac:dyDescent="0.25">
      <c r="A252" t="s">
        <v>287</v>
      </c>
      <c r="B252" t="s">
        <v>32</v>
      </c>
      <c r="C252" s="14" t="s">
        <v>13</v>
      </c>
      <c r="D252" s="1">
        <v>45127</v>
      </c>
      <c r="E252" s="13">
        <v>45151</v>
      </c>
      <c r="F252" s="14" t="s">
        <v>14</v>
      </c>
      <c r="G252">
        <v>152</v>
      </c>
      <c r="H252">
        <v>3737.5</v>
      </c>
      <c r="I252">
        <v>3700.96</v>
      </c>
      <c r="J252">
        <v>2</v>
      </c>
      <c r="K252" s="14" t="s">
        <v>15</v>
      </c>
      <c r="L252" s="14">
        <f>IF(OR(Table1[[#This Row],[Order_Status]]="Delivered",Table1[[#This Row],[Delivery_Date]]&lt;&gt;"Not Yet Delivered"),Table1[[#This Row],[Delivery_Date]]-Table1[[#This Row],[Order_Date]],"Not Applicable")</f>
        <v>24</v>
      </c>
      <c r="M252" s="14">
        <f>Table1[[#This Row],[Unit_Cost]]-Table1[[#This Row],[Negotiated_Cost]]</f>
        <v>36.539999999999964</v>
      </c>
      <c r="N252" s="18">
        <f>Table1[[#This Row],[Defective_Units]]/Table1[[#This Row],[Quantity]]</f>
        <v>1.3157894736842105E-2</v>
      </c>
      <c r="O252" s="26">
        <f>(Table1[[#This Row],[Unit_Cost]]-Table1[[#This Row],[Negotiated_Cost]])/Table1[[#This Row],[Unit_Cost]]</f>
        <v>9.7765886287625326E-3</v>
      </c>
    </row>
    <row r="253" spans="1:15" x14ac:dyDescent="0.25">
      <c r="A253" t="s">
        <v>288</v>
      </c>
      <c r="B253" t="s">
        <v>17</v>
      </c>
      <c r="C253" s="14" t="s">
        <v>36</v>
      </c>
      <c r="D253" s="1">
        <v>45239</v>
      </c>
      <c r="E253" s="14" t="s">
        <v>2057</v>
      </c>
      <c r="F253" s="14" t="s">
        <v>33</v>
      </c>
      <c r="G253">
        <v>121</v>
      </c>
      <c r="H253">
        <v>511.31</v>
      </c>
      <c r="I253">
        <v>503.92</v>
      </c>
      <c r="J253">
        <v>2</v>
      </c>
      <c r="K253" s="14" t="s">
        <v>15</v>
      </c>
      <c r="L253" s="14" t="str">
        <f>IF(OR(Table1[[#This Row],[Order_Status]]="Delivered",Table1[[#This Row],[Delivery_Date]]&lt;&gt;"Not Yet Delivered"),Table1[[#This Row],[Delivery_Date]]-Table1[[#This Row],[Order_Date]],"Not Applicable")</f>
        <v>Not Applicable</v>
      </c>
      <c r="M253" s="14">
        <f>Table1[[#This Row],[Unit_Cost]]-Table1[[#This Row],[Negotiated_Cost]]</f>
        <v>7.3899999999999864</v>
      </c>
      <c r="N253" s="18">
        <f>Table1[[#This Row],[Defective_Units]]/Table1[[#This Row],[Quantity]]</f>
        <v>1.6528925619834711E-2</v>
      </c>
      <c r="O253" s="26">
        <f>(Table1[[#This Row],[Unit_Cost]]-Table1[[#This Row],[Negotiated_Cost]])/Table1[[#This Row],[Unit_Cost]]</f>
        <v>1.445307152216852E-2</v>
      </c>
    </row>
    <row r="254" spans="1:15" x14ac:dyDescent="0.25">
      <c r="A254" t="s">
        <v>289</v>
      </c>
      <c r="B254" t="s">
        <v>12</v>
      </c>
      <c r="C254" s="14" t="s">
        <v>24</v>
      </c>
      <c r="D254" s="1">
        <v>45133</v>
      </c>
      <c r="E254" s="13">
        <v>45161</v>
      </c>
      <c r="F254" s="14" t="s">
        <v>14</v>
      </c>
      <c r="G254">
        <v>214</v>
      </c>
      <c r="H254">
        <v>13362.46</v>
      </c>
      <c r="I254">
        <v>13261.62</v>
      </c>
      <c r="J254">
        <v>0</v>
      </c>
      <c r="K254" s="14" t="s">
        <v>15</v>
      </c>
      <c r="L254" s="14">
        <f>IF(OR(Table1[[#This Row],[Order_Status]]="Delivered",Table1[[#This Row],[Delivery_Date]]&lt;&gt;"Not Yet Delivered"),Table1[[#This Row],[Delivery_Date]]-Table1[[#This Row],[Order_Date]],"Not Applicable")</f>
        <v>28</v>
      </c>
      <c r="M254" s="14">
        <f>Table1[[#This Row],[Unit_Cost]]-Table1[[#This Row],[Negotiated_Cost]]</f>
        <v>100.83999999999833</v>
      </c>
      <c r="N254" s="18">
        <f>Table1[[#This Row],[Defective_Units]]/Table1[[#This Row],[Quantity]]</f>
        <v>0</v>
      </c>
      <c r="O254" s="26">
        <f>(Table1[[#This Row],[Unit_Cost]]-Table1[[#This Row],[Negotiated_Cost]])/Table1[[#This Row],[Unit_Cost]]</f>
        <v>7.5465146387714791E-3</v>
      </c>
    </row>
    <row r="255" spans="1:15" x14ac:dyDescent="0.25">
      <c r="A255" t="s">
        <v>290</v>
      </c>
      <c r="B255" t="s">
        <v>46</v>
      </c>
      <c r="C255" s="14" t="s">
        <v>30</v>
      </c>
      <c r="D255" s="1">
        <v>45628</v>
      </c>
      <c r="E255" s="13">
        <v>45656</v>
      </c>
      <c r="F255" s="14" t="s">
        <v>14</v>
      </c>
      <c r="G255">
        <v>39</v>
      </c>
      <c r="H255">
        <v>881.67</v>
      </c>
      <c r="I255">
        <v>871.21</v>
      </c>
      <c r="J255">
        <v>0</v>
      </c>
      <c r="K255" s="14" t="s">
        <v>15</v>
      </c>
      <c r="L255" s="14">
        <f>IF(OR(Table1[[#This Row],[Order_Status]]="Delivered",Table1[[#This Row],[Delivery_Date]]&lt;&gt;"Not Yet Delivered"),Table1[[#This Row],[Delivery_Date]]-Table1[[#This Row],[Order_Date]],"Not Applicable")</f>
        <v>28</v>
      </c>
      <c r="M255" s="14">
        <f>Table1[[#This Row],[Unit_Cost]]-Table1[[#This Row],[Negotiated_Cost]]</f>
        <v>10.459999999999923</v>
      </c>
      <c r="N255" s="18">
        <f>Table1[[#This Row],[Defective_Units]]/Table1[[#This Row],[Quantity]]</f>
        <v>0</v>
      </c>
      <c r="O255" s="26">
        <f>(Table1[[#This Row],[Unit_Cost]]-Table1[[#This Row],[Negotiated_Cost]])/Table1[[#This Row],[Unit_Cost]]</f>
        <v>1.1863849286013955E-2</v>
      </c>
    </row>
    <row r="256" spans="1:15" x14ac:dyDescent="0.25">
      <c r="A256" t="s">
        <v>291</v>
      </c>
      <c r="B256" t="s">
        <v>32</v>
      </c>
      <c r="C256" s="14" t="s">
        <v>13</v>
      </c>
      <c r="D256" s="1">
        <v>45009</v>
      </c>
      <c r="E256" s="13">
        <v>45019</v>
      </c>
      <c r="F256" s="14" t="s">
        <v>37</v>
      </c>
      <c r="G256">
        <v>114</v>
      </c>
      <c r="H256">
        <v>4054.47</v>
      </c>
      <c r="I256">
        <v>3994.62</v>
      </c>
      <c r="J256">
        <v>3</v>
      </c>
      <c r="K256" s="14" t="s">
        <v>15</v>
      </c>
      <c r="L256" s="14">
        <f>IF(OR(Table1[[#This Row],[Order_Status]]="Delivered",Table1[[#This Row],[Delivery_Date]]&lt;&gt;"Not Yet Delivered"),Table1[[#This Row],[Delivery_Date]]-Table1[[#This Row],[Order_Date]],"Not Applicable")</f>
        <v>10</v>
      </c>
      <c r="M256" s="14">
        <f>Table1[[#This Row],[Unit_Cost]]-Table1[[#This Row],[Negotiated_Cost]]</f>
        <v>59.849999999999909</v>
      </c>
      <c r="N256" s="18">
        <f>Table1[[#This Row],[Defective_Units]]/Table1[[#This Row],[Quantity]]</f>
        <v>2.6315789473684209E-2</v>
      </c>
      <c r="O256" s="26">
        <f>(Table1[[#This Row],[Unit_Cost]]-Table1[[#This Row],[Negotiated_Cost]])/Table1[[#This Row],[Unit_Cost]]</f>
        <v>1.4761485471590593E-2</v>
      </c>
    </row>
    <row r="257" spans="1:15" x14ac:dyDescent="0.25">
      <c r="A257" t="s">
        <v>292</v>
      </c>
      <c r="B257" t="s">
        <v>40</v>
      </c>
      <c r="C257" s="14" t="s">
        <v>21</v>
      </c>
      <c r="D257" s="1">
        <v>45559</v>
      </c>
      <c r="E257" s="13">
        <v>45566</v>
      </c>
      <c r="F257" s="14" t="s">
        <v>14</v>
      </c>
      <c r="G257">
        <v>279</v>
      </c>
      <c r="H257">
        <v>135.4</v>
      </c>
      <c r="I257">
        <v>128.19</v>
      </c>
      <c r="J257">
        <v>0</v>
      </c>
      <c r="K257" s="14" t="s">
        <v>15</v>
      </c>
      <c r="L257" s="14">
        <f>IF(OR(Table1[[#This Row],[Order_Status]]="Delivered",Table1[[#This Row],[Delivery_Date]]&lt;&gt;"Not Yet Delivered"),Table1[[#This Row],[Delivery_Date]]-Table1[[#This Row],[Order_Date]],"Not Applicable")</f>
        <v>7</v>
      </c>
      <c r="M257" s="14">
        <f>Table1[[#This Row],[Unit_Cost]]-Table1[[#This Row],[Negotiated_Cost]]</f>
        <v>7.210000000000008</v>
      </c>
      <c r="N257" s="18">
        <f>Table1[[#This Row],[Defective_Units]]/Table1[[#This Row],[Quantity]]</f>
        <v>0</v>
      </c>
      <c r="O257" s="26">
        <f>(Table1[[#This Row],[Unit_Cost]]-Table1[[#This Row],[Negotiated_Cost]])/Table1[[#This Row],[Unit_Cost]]</f>
        <v>5.3249630723781444E-2</v>
      </c>
    </row>
    <row r="258" spans="1:15" x14ac:dyDescent="0.25">
      <c r="A258" t="s">
        <v>293</v>
      </c>
      <c r="B258" t="s">
        <v>35</v>
      </c>
      <c r="C258" s="14" t="s">
        <v>50</v>
      </c>
      <c r="D258" s="1">
        <v>45015</v>
      </c>
      <c r="E258" s="13">
        <v>45043</v>
      </c>
      <c r="F258" s="14" t="s">
        <v>37</v>
      </c>
      <c r="G258">
        <v>146</v>
      </c>
      <c r="H258">
        <v>52613.75</v>
      </c>
      <c r="I258">
        <v>50395.25</v>
      </c>
      <c r="J258">
        <v>0</v>
      </c>
      <c r="K258" s="14" t="s">
        <v>15</v>
      </c>
      <c r="L258" s="14">
        <f>IF(OR(Table1[[#This Row],[Order_Status]]="Delivered",Table1[[#This Row],[Delivery_Date]]&lt;&gt;"Not Yet Delivered"),Table1[[#This Row],[Delivery_Date]]-Table1[[#This Row],[Order_Date]],"Not Applicable")</f>
        <v>28</v>
      </c>
      <c r="M258" s="14">
        <f>Table1[[#This Row],[Unit_Cost]]-Table1[[#This Row],[Negotiated_Cost]]</f>
        <v>2218.5</v>
      </c>
      <c r="N258" s="18">
        <f>Table1[[#This Row],[Defective_Units]]/Table1[[#This Row],[Quantity]]</f>
        <v>0</v>
      </c>
      <c r="O258" s="26">
        <f>(Table1[[#This Row],[Unit_Cost]]-Table1[[#This Row],[Negotiated_Cost]])/Table1[[#This Row],[Unit_Cost]]</f>
        <v>4.2165783659214556E-2</v>
      </c>
    </row>
    <row r="259" spans="1:15" x14ac:dyDescent="0.25">
      <c r="A259" t="s">
        <v>294</v>
      </c>
      <c r="B259" t="s">
        <v>20</v>
      </c>
      <c r="C259" s="14" t="s">
        <v>28</v>
      </c>
      <c r="D259" s="1">
        <v>45563</v>
      </c>
      <c r="E259" s="13">
        <v>45587</v>
      </c>
      <c r="F259" s="14" t="s">
        <v>14</v>
      </c>
      <c r="G259">
        <v>114</v>
      </c>
      <c r="H259">
        <v>45197.51</v>
      </c>
      <c r="I259">
        <v>45167.76</v>
      </c>
      <c r="J259">
        <v>1</v>
      </c>
      <c r="K259" s="14" t="s">
        <v>15</v>
      </c>
      <c r="L259" s="14">
        <f>IF(OR(Table1[[#This Row],[Order_Status]]="Delivered",Table1[[#This Row],[Delivery_Date]]&lt;&gt;"Not Yet Delivered"),Table1[[#This Row],[Delivery_Date]]-Table1[[#This Row],[Order_Date]],"Not Applicable")</f>
        <v>24</v>
      </c>
      <c r="M259" s="14">
        <f>Table1[[#This Row],[Unit_Cost]]-Table1[[#This Row],[Negotiated_Cost]]</f>
        <v>29.75</v>
      </c>
      <c r="N259" s="18">
        <f>Table1[[#This Row],[Defective_Units]]/Table1[[#This Row],[Quantity]]</f>
        <v>8.771929824561403E-3</v>
      </c>
      <c r="O259" s="26">
        <f>(Table1[[#This Row],[Unit_Cost]]-Table1[[#This Row],[Negotiated_Cost]])/Table1[[#This Row],[Unit_Cost]]</f>
        <v>6.5822210117327253E-4</v>
      </c>
    </row>
    <row r="260" spans="1:15" x14ac:dyDescent="0.25">
      <c r="A260" t="s">
        <v>295</v>
      </c>
      <c r="B260" t="s">
        <v>35</v>
      </c>
      <c r="C260" s="14" t="s">
        <v>42</v>
      </c>
      <c r="D260" s="1">
        <v>45420</v>
      </c>
      <c r="E260" s="13">
        <v>45437</v>
      </c>
      <c r="F260" s="14" t="s">
        <v>37</v>
      </c>
      <c r="G260">
        <v>54</v>
      </c>
      <c r="H260">
        <v>12105.62</v>
      </c>
      <c r="I260">
        <v>11857.81</v>
      </c>
      <c r="J260">
        <v>0</v>
      </c>
      <c r="K260" s="14" t="s">
        <v>15</v>
      </c>
      <c r="L260" s="14">
        <f>IF(OR(Table1[[#This Row],[Order_Status]]="Delivered",Table1[[#This Row],[Delivery_Date]]&lt;&gt;"Not Yet Delivered"),Table1[[#This Row],[Delivery_Date]]-Table1[[#This Row],[Order_Date]],"Not Applicable")</f>
        <v>17</v>
      </c>
      <c r="M260" s="14">
        <f>Table1[[#This Row],[Unit_Cost]]-Table1[[#This Row],[Negotiated_Cost]]</f>
        <v>247.81000000000131</v>
      </c>
      <c r="N260" s="18">
        <f>Table1[[#This Row],[Defective_Units]]/Table1[[#This Row],[Quantity]]</f>
        <v>0</v>
      </c>
      <c r="O260" s="26">
        <f>(Table1[[#This Row],[Unit_Cost]]-Table1[[#This Row],[Negotiated_Cost]])/Table1[[#This Row],[Unit_Cost]]</f>
        <v>2.0470657430185425E-2</v>
      </c>
    </row>
    <row r="261" spans="1:15" x14ac:dyDescent="0.25">
      <c r="A261" t="s">
        <v>296</v>
      </c>
      <c r="B261" t="s">
        <v>12</v>
      </c>
      <c r="C261" s="14" t="s">
        <v>48</v>
      </c>
      <c r="D261" s="1">
        <v>44961</v>
      </c>
      <c r="E261" s="13">
        <v>44970</v>
      </c>
      <c r="F261" s="14" t="s">
        <v>14</v>
      </c>
      <c r="G261">
        <v>469</v>
      </c>
      <c r="H261">
        <v>6468.48</v>
      </c>
      <c r="I261">
        <v>6451.34</v>
      </c>
      <c r="J261">
        <v>3</v>
      </c>
      <c r="K261" s="14" t="s">
        <v>15</v>
      </c>
      <c r="L261" s="14">
        <f>IF(OR(Table1[[#This Row],[Order_Status]]="Delivered",Table1[[#This Row],[Delivery_Date]]&lt;&gt;"Not Yet Delivered"),Table1[[#This Row],[Delivery_Date]]-Table1[[#This Row],[Order_Date]],"Not Applicable")</f>
        <v>9</v>
      </c>
      <c r="M261" s="14">
        <f>Table1[[#This Row],[Unit_Cost]]-Table1[[#This Row],[Negotiated_Cost]]</f>
        <v>17.139999999999418</v>
      </c>
      <c r="N261" s="18">
        <f>Table1[[#This Row],[Defective_Units]]/Table1[[#This Row],[Quantity]]</f>
        <v>6.3965884861407248E-3</v>
      </c>
      <c r="O261" s="26">
        <f>(Table1[[#This Row],[Unit_Cost]]-Table1[[#This Row],[Negotiated_Cost]])/Table1[[#This Row],[Unit_Cost]]</f>
        <v>2.6497724349459871E-3</v>
      </c>
    </row>
    <row r="262" spans="1:15" x14ac:dyDescent="0.25">
      <c r="A262" t="s">
        <v>297</v>
      </c>
      <c r="B262" t="s">
        <v>17</v>
      </c>
      <c r="C262" s="14" t="s">
        <v>48</v>
      </c>
      <c r="D262" s="1">
        <v>44952</v>
      </c>
      <c r="E262" s="13">
        <v>44972</v>
      </c>
      <c r="F262" s="14" t="s">
        <v>14</v>
      </c>
      <c r="G262">
        <v>312</v>
      </c>
      <c r="H262">
        <v>6068.49</v>
      </c>
      <c r="I262">
        <v>5925.43</v>
      </c>
      <c r="J262">
        <v>6</v>
      </c>
      <c r="K262" s="14" t="s">
        <v>15</v>
      </c>
      <c r="L262" s="14">
        <f>IF(OR(Table1[[#This Row],[Order_Status]]="Delivered",Table1[[#This Row],[Delivery_Date]]&lt;&gt;"Not Yet Delivered"),Table1[[#This Row],[Delivery_Date]]-Table1[[#This Row],[Order_Date]],"Not Applicable")</f>
        <v>20</v>
      </c>
      <c r="M262" s="14">
        <f>Table1[[#This Row],[Unit_Cost]]-Table1[[#This Row],[Negotiated_Cost]]</f>
        <v>143.05999999999949</v>
      </c>
      <c r="N262" s="18">
        <f>Table1[[#This Row],[Defective_Units]]/Table1[[#This Row],[Quantity]]</f>
        <v>1.9230769230769232E-2</v>
      </c>
      <c r="O262" s="26">
        <f>(Table1[[#This Row],[Unit_Cost]]-Table1[[#This Row],[Negotiated_Cost]])/Table1[[#This Row],[Unit_Cost]]</f>
        <v>2.357423345840555E-2</v>
      </c>
    </row>
    <row r="263" spans="1:15" x14ac:dyDescent="0.25">
      <c r="A263" t="s">
        <v>298</v>
      </c>
      <c r="B263" t="s">
        <v>12</v>
      </c>
      <c r="C263" s="14" t="s">
        <v>21</v>
      </c>
      <c r="D263" s="1">
        <v>45332</v>
      </c>
      <c r="E263" s="13">
        <v>45335</v>
      </c>
      <c r="F263" s="14" t="s">
        <v>14</v>
      </c>
      <c r="G263">
        <v>80</v>
      </c>
      <c r="H263">
        <v>125.81</v>
      </c>
      <c r="I263">
        <v>123.18</v>
      </c>
      <c r="J263">
        <v>3</v>
      </c>
      <c r="K263" s="14" t="s">
        <v>15</v>
      </c>
      <c r="L263" s="14">
        <f>IF(OR(Table1[[#This Row],[Order_Status]]="Delivered",Table1[[#This Row],[Delivery_Date]]&lt;&gt;"Not Yet Delivered"),Table1[[#This Row],[Delivery_Date]]-Table1[[#This Row],[Order_Date]],"Not Applicable")</f>
        <v>3</v>
      </c>
      <c r="M263" s="14">
        <f>Table1[[#This Row],[Unit_Cost]]-Table1[[#This Row],[Negotiated_Cost]]</f>
        <v>2.6299999999999955</v>
      </c>
      <c r="N263" s="18">
        <f>Table1[[#This Row],[Defective_Units]]/Table1[[#This Row],[Quantity]]</f>
        <v>3.7499999999999999E-2</v>
      </c>
      <c r="O263" s="26">
        <f>(Table1[[#This Row],[Unit_Cost]]-Table1[[#This Row],[Negotiated_Cost]])/Table1[[#This Row],[Unit_Cost]]</f>
        <v>2.0904538589937169E-2</v>
      </c>
    </row>
    <row r="264" spans="1:15" x14ac:dyDescent="0.25">
      <c r="A264" t="s">
        <v>299</v>
      </c>
      <c r="B264" t="s">
        <v>32</v>
      </c>
      <c r="C264" s="14" t="s">
        <v>55</v>
      </c>
      <c r="D264" s="1">
        <v>45140</v>
      </c>
      <c r="E264" s="13">
        <v>45147</v>
      </c>
      <c r="F264" s="14" t="s">
        <v>14</v>
      </c>
      <c r="G264">
        <v>157</v>
      </c>
      <c r="H264">
        <v>12544.28</v>
      </c>
      <c r="I264">
        <v>11821.55</v>
      </c>
      <c r="J264">
        <v>0</v>
      </c>
      <c r="K264" s="14" t="s">
        <v>25</v>
      </c>
      <c r="L264" s="14">
        <f>IF(OR(Table1[[#This Row],[Order_Status]]="Delivered",Table1[[#This Row],[Delivery_Date]]&lt;&gt;"Not Yet Delivered"),Table1[[#This Row],[Delivery_Date]]-Table1[[#This Row],[Order_Date]],"Not Applicable")</f>
        <v>7</v>
      </c>
      <c r="M264" s="14">
        <f>Table1[[#This Row],[Unit_Cost]]-Table1[[#This Row],[Negotiated_Cost]]</f>
        <v>722.73000000000138</v>
      </c>
      <c r="N264" s="18">
        <f>Table1[[#This Row],[Defective_Units]]/Table1[[#This Row],[Quantity]]</f>
        <v>0</v>
      </c>
      <c r="O264" s="26">
        <f>(Table1[[#This Row],[Unit_Cost]]-Table1[[#This Row],[Negotiated_Cost]])/Table1[[#This Row],[Unit_Cost]]</f>
        <v>5.7614307078604855E-2</v>
      </c>
    </row>
    <row r="265" spans="1:15" x14ac:dyDescent="0.25">
      <c r="A265" t="s">
        <v>300</v>
      </c>
      <c r="B265" t="s">
        <v>17</v>
      </c>
      <c r="C265" s="14" t="s">
        <v>50</v>
      </c>
      <c r="D265" s="1">
        <v>45350</v>
      </c>
      <c r="E265" s="13">
        <v>45375</v>
      </c>
      <c r="F265" s="14" t="s">
        <v>14</v>
      </c>
      <c r="G265">
        <v>146</v>
      </c>
      <c r="H265">
        <v>49529.79</v>
      </c>
      <c r="I265">
        <v>47392.13</v>
      </c>
      <c r="J265">
        <v>3</v>
      </c>
      <c r="K265" s="14" t="s">
        <v>15</v>
      </c>
      <c r="L265" s="14">
        <f>IF(OR(Table1[[#This Row],[Order_Status]]="Delivered",Table1[[#This Row],[Delivery_Date]]&lt;&gt;"Not Yet Delivered"),Table1[[#This Row],[Delivery_Date]]-Table1[[#This Row],[Order_Date]],"Not Applicable")</f>
        <v>25</v>
      </c>
      <c r="M265" s="14">
        <f>Table1[[#This Row],[Unit_Cost]]-Table1[[#This Row],[Negotiated_Cost]]</f>
        <v>2137.6600000000035</v>
      </c>
      <c r="N265" s="18">
        <f>Table1[[#This Row],[Defective_Units]]/Table1[[#This Row],[Quantity]]</f>
        <v>2.0547945205479451E-2</v>
      </c>
      <c r="O265" s="26">
        <f>(Table1[[#This Row],[Unit_Cost]]-Table1[[#This Row],[Negotiated_Cost]])/Table1[[#This Row],[Unit_Cost]]</f>
        <v>4.3159076588049405E-2</v>
      </c>
    </row>
    <row r="266" spans="1:15" x14ac:dyDescent="0.25">
      <c r="A266" t="s">
        <v>301</v>
      </c>
      <c r="B266" t="s">
        <v>17</v>
      </c>
      <c r="C266" s="14" t="s">
        <v>18</v>
      </c>
      <c r="D266" s="1">
        <v>45330</v>
      </c>
      <c r="E266" s="13">
        <v>45352</v>
      </c>
      <c r="F266" s="14" t="s">
        <v>14</v>
      </c>
      <c r="G266">
        <v>384</v>
      </c>
      <c r="H266">
        <v>4761.84</v>
      </c>
      <c r="I266">
        <v>4608.37</v>
      </c>
      <c r="J266">
        <v>3</v>
      </c>
      <c r="K266" s="14" t="s">
        <v>25</v>
      </c>
      <c r="L266" s="14">
        <f>IF(OR(Table1[[#This Row],[Order_Status]]="Delivered",Table1[[#This Row],[Delivery_Date]]&lt;&gt;"Not Yet Delivered"),Table1[[#This Row],[Delivery_Date]]-Table1[[#This Row],[Order_Date]],"Not Applicable")</f>
        <v>22</v>
      </c>
      <c r="M266" s="14">
        <f>Table1[[#This Row],[Unit_Cost]]-Table1[[#This Row],[Negotiated_Cost]]</f>
        <v>153.47000000000025</v>
      </c>
      <c r="N266" s="18">
        <f>Table1[[#This Row],[Defective_Units]]/Table1[[#This Row],[Quantity]]</f>
        <v>7.8125E-3</v>
      </c>
      <c r="O266" s="26">
        <f>(Table1[[#This Row],[Unit_Cost]]-Table1[[#This Row],[Negotiated_Cost]])/Table1[[#This Row],[Unit_Cost]]</f>
        <v>3.2229138316281151E-2</v>
      </c>
    </row>
    <row r="267" spans="1:15" x14ac:dyDescent="0.25">
      <c r="A267" t="s">
        <v>302</v>
      </c>
      <c r="B267" t="s">
        <v>35</v>
      </c>
      <c r="C267" s="14" t="s">
        <v>48</v>
      </c>
      <c r="D267" s="1">
        <v>45475</v>
      </c>
      <c r="E267" s="14" t="s">
        <v>2057</v>
      </c>
      <c r="F267" s="14" t="s">
        <v>33</v>
      </c>
      <c r="G267">
        <v>309</v>
      </c>
      <c r="H267">
        <v>6591.31</v>
      </c>
      <c r="I267">
        <v>6240.85</v>
      </c>
      <c r="J267">
        <v>2</v>
      </c>
      <c r="K267" s="14" t="s">
        <v>15</v>
      </c>
      <c r="L267" s="14" t="str">
        <f>IF(OR(Table1[[#This Row],[Order_Status]]="Delivered",Table1[[#This Row],[Delivery_Date]]&lt;&gt;"Not Yet Delivered"),Table1[[#This Row],[Delivery_Date]]-Table1[[#This Row],[Order_Date]],"Not Applicable")</f>
        <v>Not Applicable</v>
      </c>
      <c r="M267" s="14">
        <f>Table1[[#This Row],[Unit_Cost]]-Table1[[#This Row],[Negotiated_Cost]]</f>
        <v>350.46000000000004</v>
      </c>
      <c r="N267" s="18">
        <f>Table1[[#This Row],[Defective_Units]]/Table1[[#This Row],[Quantity]]</f>
        <v>6.4724919093851136E-3</v>
      </c>
      <c r="O267" s="26">
        <f>(Table1[[#This Row],[Unit_Cost]]-Table1[[#This Row],[Negotiated_Cost]])/Table1[[#This Row],[Unit_Cost]]</f>
        <v>5.3170007176115218E-2</v>
      </c>
    </row>
    <row r="268" spans="1:15" x14ac:dyDescent="0.25">
      <c r="A268" t="s">
        <v>303</v>
      </c>
      <c r="B268" t="s">
        <v>46</v>
      </c>
      <c r="C268" s="14" t="s">
        <v>13</v>
      </c>
      <c r="D268" s="1">
        <v>45630</v>
      </c>
      <c r="E268" s="13">
        <v>45645</v>
      </c>
      <c r="F268" s="14" t="s">
        <v>14</v>
      </c>
      <c r="G268">
        <v>271</v>
      </c>
      <c r="H268">
        <v>3930.9</v>
      </c>
      <c r="I268">
        <v>3801.32</v>
      </c>
      <c r="J268">
        <v>3</v>
      </c>
      <c r="K268" s="14" t="s">
        <v>15</v>
      </c>
      <c r="L268" s="14">
        <f>IF(OR(Table1[[#This Row],[Order_Status]]="Delivered",Table1[[#This Row],[Delivery_Date]]&lt;&gt;"Not Yet Delivered"),Table1[[#This Row],[Delivery_Date]]-Table1[[#This Row],[Order_Date]],"Not Applicable")</f>
        <v>15</v>
      </c>
      <c r="M268" s="14">
        <f>Table1[[#This Row],[Unit_Cost]]-Table1[[#This Row],[Negotiated_Cost]]</f>
        <v>129.57999999999993</v>
      </c>
      <c r="N268" s="18">
        <f>Table1[[#This Row],[Defective_Units]]/Table1[[#This Row],[Quantity]]</f>
        <v>1.107011070110701E-2</v>
      </c>
      <c r="O268" s="26">
        <f>(Table1[[#This Row],[Unit_Cost]]-Table1[[#This Row],[Negotiated_Cost]])/Table1[[#This Row],[Unit_Cost]]</f>
        <v>3.2964461064896061E-2</v>
      </c>
    </row>
    <row r="269" spans="1:15" x14ac:dyDescent="0.25">
      <c r="A269" t="s">
        <v>304</v>
      </c>
      <c r="B269" t="s">
        <v>46</v>
      </c>
      <c r="C269" s="14" t="s">
        <v>36</v>
      </c>
      <c r="D269" s="1">
        <v>45194</v>
      </c>
      <c r="E269" s="14" t="s">
        <v>2057</v>
      </c>
      <c r="F269" s="14" t="s">
        <v>22</v>
      </c>
      <c r="G269">
        <v>449</v>
      </c>
      <c r="H269">
        <v>532.04</v>
      </c>
      <c r="I269">
        <v>526.41</v>
      </c>
      <c r="J269">
        <v>2</v>
      </c>
      <c r="K269" s="14" t="s">
        <v>15</v>
      </c>
      <c r="L269" s="14" t="str">
        <f>IF(OR(Table1[[#This Row],[Order_Status]]="Delivered",Table1[[#This Row],[Delivery_Date]]&lt;&gt;"Not Yet Delivered"),Table1[[#This Row],[Delivery_Date]]-Table1[[#This Row],[Order_Date]],"Not Applicable")</f>
        <v>Not Applicable</v>
      </c>
      <c r="M269" s="14">
        <f>Table1[[#This Row],[Unit_Cost]]-Table1[[#This Row],[Negotiated_Cost]]</f>
        <v>5.6299999999999955</v>
      </c>
      <c r="N269" s="18">
        <f>Table1[[#This Row],[Defective_Units]]/Table1[[#This Row],[Quantity]]</f>
        <v>4.4543429844097994E-3</v>
      </c>
      <c r="O269" s="26">
        <f>(Table1[[#This Row],[Unit_Cost]]-Table1[[#This Row],[Negotiated_Cost]])/Table1[[#This Row],[Unit_Cost]]</f>
        <v>1.0581911134501158E-2</v>
      </c>
    </row>
    <row r="270" spans="1:15" x14ac:dyDescent="0.25">
      <c r="A270" t="s">
        <v>305</v>
      </c>
      <c r="B270" t="s">
        <v>17</v>
      </c>
      <c r="C270" s="14" t="s">
        <v>48</v>
      </c>
      <c r="D270" s="1">
        <v>45100</v>
      </c>
      <c r="E270" s="13">
        <v>45118</v>
      </c>
      <c r="F270" s="14" t="s">
        <v>14</v>
      </c>
      <c r="G270">
        <v>347</v>
      </c>
      <c r="H270">
        <v>6269.52</v>
      </c>
      <c r="I270">
        <v>6205.42</v>
      </c>
      <c r="J270">
        <v>2</v>
      </c>
      <c r="K270" s="14" t="s">
        <v>15</v>
      </c>
      <c r="L270" s="14">
        <f>IF(OR(Table1[[#This Row],[Order_Status]]="Delivered",Table1[[#This Row],[Delivery_Date]]&lt;&gt;"Not Yet Delivered"),Table1[[#This Row],[Delivery_Date]]-Table1[[#This Row],[Order_Date]],"Not Applicable")</f>
        <v>18</v>
      </c>
      <c r="M270" s="14">
        <f>Table1[[#This Row],[Unit_Cost]]-Table1[[#This Row],[Negotiated_Cost]]</f>
        <v>64.100000000000364</v>
      </c>
      <c r="N270" s="18">
        <f>Table1[[#This Row],[Defective_Units]]/Table1[[#This Row],[Quantity]]</f>
        <v>5.763688760806916E-3</v>
      </c>
      <c r="O270" s="26">
        <f>(Table1[[#This Row],[Unit_Cost]]-Table1[[#This Row],[Negotiated_Cost]])/Table1[[#This Row],[Unit_Cost]]</f>
        <v>1.0224068190228336E-2</v>
      </c>
    </row>
    <row r="271" spans="1:15" x14ac:dyDescent="0.25">
      <c r="A271" t="s">
        <v>306</v>
      </c>
      <c r="B271" t="s">
        <v>27</v>
      </c>
      <c r="C271" s="14" t="s">
        <v>30</v>
      </c>
      <c r="D271" s="1">
        <v>45411</v>
      </c>
      <c r="E271" s="13">
        <v>45429</v>
      </c>
      <c r="F271" s="14" t="s">
        <v>14</v>
      </c>
      <c r="G271">
        <v>151</v>
      </c>
      <c r="H271">
        <v>928.61</v>
      </c>
      <c r="I271">
        <v>903.51</v>
      </c>
      <c r="J271">
        <v>0</v>
      </c>
      <c r="K271" s="14" t="s">
        <v>25</v>
      </c>
      <c r="L271" s="14">
        <f>IF(OR(Table1[[#This Row],[Order_Status]]="Delivered",Table1[[#This Row],[Delivery_Date]]&lt;&gt;"Not Yet Delivered"),Table1[[#This Row],[Delivery_Date]]-Table1[[#This Row],[Order_Date]],"Not Applicable")</f>
        <v>18</v>
      </c>
      <c r="M271" s="14">
        <f>Table1[[#This Row],[Unit_Cost]]-Table1[[#This Row],[Negotiated_Cost]]</f>
        <v>25.100000000000023</v>
      </c>
      <c r="N271" s="18">
        <f>Table1[[#This Row],[Defective_Units]]/Table1[[#This Row],[Quantity]]</f>
        <v>0</v>
      </c>
      <c r="O271" s="26">
        <f>(Table1[[#This Row],[Unit_Cost]]-Table1[[#This Row],[Negotiated_Cost]])/Table1[[#This Row],[Unit_Cost]]</f>
        <v>2.7029646460839343E-2</v>
      </c>
    </row>
    <row r="272" spans="1:15" x14ac:dyDescent="0.25">
      <c r="A272" t="s">
        <v>307</v>
      </c>
      <c r="B272" t="s">
        <v>27</v>
      </c>
      <c r="C272" s="14" t="s">
        <v>48</v>
      </c>
      <c r="D272" s="1">
        <v>45376</v>
      </c>
      <c r="E272" s="13">
        <v>45395</v>
      </c>
      <c r="F272" s="14" t="s">
        <v>14</v>
      </c>
      <c r="G272">
        <v>311</v>
      </c>
      <c r="H272">
        <v>6704.52</v>
      </c>
      <c r="I272">
        <v>6306.32</v>
      </c>
      <c r="J272">
        <v>0</v>
      </c>
      <c r="K272" s="14" t="s">
        <v>15</v>
      </c>
      <c r="L272" s="14">
        <f>IF(OR(Table1[[#This Row],[Order_Status]]="Delivered",Table1[[#This Row],[Delivery_Date]]&lt;&gt;"Not Yet Delivered"),Table1[[#This Row],[Delivery_Date]]-Table1[[#This Row],[Order_Date]],"Not Applicable")</f>
        <v>19</v>
      </c>
      <c r="M272" s="14">
        <f>Table1[[#This Row],[Unit_Cost]]-Table1[[#This Row],[Negotiated_Cost]]</f>
        <v>398.20000000000073</v>
      </c>
      <c r="N272" s="18">
        <f>Table1[[#This Row],[Defective_Units]]/Table1[[#This Row],[Quantity]]</f>
        <v>0</v>
      </c>
      <c r="O272" s="26">
        <f>(Table1[[#This Row],[Unit_Cost]]-Table1[[#This Row],[Negotiated_Cost]])/Table1[[#This Row],[Unit_Cost]]</f>
        <v>5.9392767864067927E-2</v>
      </c>
    </row>
    <row r="273" spans="1:15" x14ac:dyDescent="0.25">
      <c r="A273" t="s">
        <v>308</v>
      </c>
      <c r="B273" t="s">
        <v>17</v>
      </c>
      <c r="C273" s="14" t="s">
        <v>55</v>
      </c>
      <c r="D273" s="1">
        <v>45555</v>
      </c>
      <c r="E273" s="13">
        <v>45564</v>
      </c>
      <c r="F273" s="14" t="s">
        <v>37</v>
      </c>
      <c r="G273">
        <v>6</v>
      </c>
      <c r="H273">
        <v>13679.05</v>
      </c>
      <c r="I273">
        <v>13538.72</v>
      </c>
      <c r="J273">
        <v>0</v>
      </c>
      <c r="K273" s="14" t="s">
        <v>15</v>
      </c>
      <c r="L273" s="14">
        <f>IF(OR(Table1[[#This Row],[Order_Status]]="Delivered",Table1[[#This Row],[Delivery_Date]]&lt;&gt;"Not Yet Delivered"),Table1[[#This Row],[Delivery_Date]]-Table1[[#This Row],[Order_Date]],"Not Applicable")</f>
        <v>9</v>
      </c>
      <c r="M273" s="14">
        <f>Table1[[#This Row],[Unit_Cost]]-Table1[[#This Row],[Negotiated_Cost]]</f>
        <v>140.32999999999993</v>
      </c>
      <c r="N273" s="18">
        <f>Table1[[#This Row],[Defective_Units]]/Table1[[#This Row],[Quantity]]</f>
        <v>0</v>
      </c>
      <c r="O273" s="26">
        <f>(Table1[[#This Row],[Unit_Cost]]-Table1[[#This Row],[Negotiated_Cost]])/Table1[[#This Row],[Unit_Cost]]</f>
        <v>1.0258753349099531E-2</v>
      </c>
    </row>
    <row r="274" spans="1:15" x14ac:dyDescent="0.25">
      <c r="A274" t="s">
        <v>309</v>
      </c>
      <c r="B274" t="s">
        <v>46</v>
      </c>
      <c r="C274" s="14" t="s">
        <v>13</v>
      </c>
      <c r="D274" s="1">
        <v>45283</v>
      </c>
      <c r="E274" s="13">
        <v>45309</v>
      </c>
      <c r="F274" s="14" t="s">
        <v>37</v>
      </c>
      <c r="G274">
        <v>217</v>
      </c>
      <c r="H274">
        <v>4311.6899999999996</v>
      </c>
      <c r="I274">
        <v>4108.88</v>
      </c>
      <c r="J274">
        <v>5</v>
      </c>
      <c r="K274" s="14" t="s">
        <v>15</v>
      </c>
      <c r="L274" s="14">
        <f>IF(OR(Table1[[#This Row],[Order_Status]]="Delivered",Table1[[#This Row],[Delivery_Date]]&lt;&gt;"Not Yet Delivered"),Table1[[#This Row],[Delivery_Date]]-Table1[[#This Row],[Order_Date]],"Not Applicable")</f>
        <v>26</v>
      </c>
      <c r="M274" s="14">
        <f>Table1[[#This Row],[Unit_Cost]]-Table1[[#This Row],[Negotiated_Cost]]</f>
        <v>202.80999999999949</v>
      </c>
      <c r="N274" s="18">
        <f>Table1[[#This Row],[Defective_Units]]/Table1[[#This Row],[Quantity]]</f>
        <v>2.3041474654377881E-2</v>
      </c>
      <c r="O274" s="26">
        <f>(Table1[[#This Row],[Unit_Cost]]-Table1[[#This Row],[Negotiated_Cost]])/Table1[[#This Row],[Unit_Cost]]</f>
        <v>4.703724061794784E-2</v>
      </c>
    </row>
    <row r="275" spans="1:15" x14ac:dyDescent="0.25">
      <c r="A275" t="s">
        <v>310</v>
      </c>
      <c r="B275" t="s">
        <v>12</v>
      </c>
      <c r="C275" s="14" t="s">
        <v>28</v>
      </c>
      <c r="D275" s="1">
        <v>45537</v>
      </c>
      <c r="E275" s="13">
        <v>45564</v>
      </c>
      <c r="F275" s="14" t="s">
        <v>14</v>
      </c>
      <c r="G275">
        <v>433</v>
      </c>
      <c r="H275">
        <v>49041.51</v>
      </c>
      <c r="I275">
        <v>47000.34</v>
      </c>
      <c r="J275">
        <v>2</v>
      </c>
      <c r="K275" s="14" t="s">
        <v>15</v>
      </c>
      <c r="L275" s="14">
        <f>IF(OR(Table1[[#This Row],[Order_Status]]="Delivered",Table1[[#This Row],[Delivery_Date]]&lt;&gt;"Not Yet Delivered"),Table1[[#This Row],[Delivery_Date]]-Table1[[#This Row],[Order_Date]],"Not Applicable")</f>
        <v>27</v>
      </c>
      <c r="M275" s="14">
        <f>Table1[[#This Row],[Unit_Cost]]-Table1[[#This Row],[Negotiated_Cost]]</f>
        <v>2041.1700000000055</v>
      </c>
      <c r="N275" s="18">
        <f>Table1[[#This Row],[Defective_Units]]/Table1[[#This Row],[Quantity]]</f>
        <v>4.6189376443418013E-3</v>
      </c>
      <c r="O275" s="26">
        <f>(Table1[[#This Row],[Unit_Cost]]-Table1[[#This Row],[Negotiated_Cost]])/Table1[[#This Row],[Unit_Cost]]</f>
        <v>4.1621271449431417E-2</v>
      </c>
    </row>
    <row r="276" spans="1:15" x14ac:dyDescent="0.25">
      <c r="A276" t="s">
        <v>311</v>
      </c>
      <c r="B276" t="s">
        <v>40</v>
      </c>
      <c r="C276" s="14" t="s">
        <v>21</v>
      </c>
      <c r="D276" s="1">
        <v>44967</v>
      </c>
      <c r="E276" s="13">
        <v>44994</v>
      </c>
      <c r="F276" s="14" t="s">
        <v>14</v>
      </c>
      <c r="G276">
        <v>67</v>
      </c>
      <c r="H276">
        <v>123.36</v>
      </c>
      <c r="I276">
        <v>122.54</v>
      </c>
      <c r="J276">
        <v>0</v>
      </c>
      <c r="K276" s="14" t="s">
        <v>15</v>
      </c>
      <c r="L276" s="14">
        <f>IF(OR(Table1[[#This Row],[Order_Status]]="Delivered",Table1[[#This Row],[Delivery_Date]]&lt;&gt;"Not Yet Delivered"),Table1[[#This Row],[Delivery_Date]]-Table1[[#This Row],[Order_Date]],"Not Applicable")</f>
        <v>27</v>
      </c>
      <c r="M276" s="14">
        <f>Table1[[#This Row],[Unit_Cost]]-Table1[[#This Row],[Negotiated_Cost]]</f>
        <v>0.81999999999999318</v>
      </c>
      <c r="N276" s="18">
        <f>Table1[[#This Row],[Defective_Units]]/Table1[[#This Row],[Quantity]]</f>
        <v>0</v>
      </c>
      <c r="O276" s="26">
        <f>(Table1[[#This Row],[Unit_Cost]]-Table1[[#This Row],[Negotiated_Cost]])/Table1[[#This Row],[Unit_Cost]]</f>
        <v>6.6472114137483239E-3</v>
      </c>
    </row>
    <row r="277" spans="1:15" x14ac:dyDescent="0.25">
      <c r="A277" t="s">
        <v>312</v>
      </c>
      <c r="B277" t="s">
        <v>35</v>
      </c>
      <c r="C277" s="14" t="s">
        <v>28</v>
      </c>
      <c r="D277" s="1">
        <v>45594</v>
      </c>
      <c r="E277" s="13">
        <v>45596</v>
      </c>
      <c r="F277" s="14" t="s">
        <v>14</v>
      </c>
      <c r="G277">
        <v>425</v>
      </c>
      <c r="H277">
        <v>48839.47</v>
      </c>
      <c r="I277">
        <v>46040.32</v>
      </c>
      <c r="J277">
        <v>0</v>
      </c>
      <c r="K277" s="14" t="s">
        <v>15</v>
      </c>
      <c r="L277" s="14">
        <f>IF(OR(Table1[[#This Row],[Order_Status]]="Delivered",Table1[[#This Row],[Delivery_Date]]&lt;&gt;"Not Yet Delivered"),Table1[[#This Row],[Delivery_Date]]-Table1[[#This Row],[Order_Date]],"Not Applicable")</f>
        <v>2</v>
      </c>
      <c r="M277" s="14">
        <f>Table1[[#This Row],[Unit_Cost]]-Table1[[#This Row],[Negotiated_Cost]]</f>
        <v>2799.1500000000015</v>
      </c>
      <c r="N277" s="18">
        <f>Table1[[#This Row],[Defective_Units]]/Table1[[#This Row],[Quantity]]</f>
        <v>0</v>
      </c>
      <c r="O277" s="26">
        <f>(Table1[[#This Row],[Unit_Cost]]-Table1[[#This Row],[Negotiated_Cost]])/Table1[[#This Row],[Unit_Cost]]</f>
        <v>5.7313275512613088E-2</v>
      </c>
    </row>
    <row r="278" spans="1:15" x14ac:dyDescent="0.25">
      <c r="A278" t="s">
        <v>313</v>
      </c>
      <c r="B278" t="s">
        <v>17</v>
      </c>
      <c r="C278" s="14" t="s">
        <v>21</v>
      </c>
      <c r="D278" s="1">
        <v>45353</v>
      </c>
      <c r="E278" s="13">
        <v>45371</v>
      </c>
      <c r="F278" s="14" t="s">
        <v>14</v>
      </c>
      <c r="G278">
        <v>499</v>
      </c>
      <c r="H278">
        <v>107</v>
      </c>
      <c r="I278">
        <v>103.21</v>
      </c>
      <c r="J278">
        <v>9</v>
      </c>
      <c r="K278" s="14" t="s">
        <v>15</v>
      </c>
      <c r="L278" s="14">
        <f>IF(OR(Table1[[#This Row],[Order_Status]]="Delivered",Table1[[#This Row],[Delivery_Date]]&lt;&gt;"Not Yet Delivered"),Table1[[#This Row],[Delivery_Date]]-Table1[[#This Row],[Order_Date]],"Not Applicable")</f>
        <v>18</v>
      </c>
      <c r="M278" s="14">
        <f>Table1[[#This Row],[Unit_Cost]]-Table1[[#This Row],[Negotiated_Cost]]</f>
        <v>3.7900000000000063</v>
      </c>
      <c r="N278" s="18">
        <f>Table1[[#This Row],[Defective_Units]]/Table1[[#This Row],[Quantity]]</f>
        <v>1.8036072144288578E-2</v>
      </c>
      <c r="O278" s="26">
        <f>(Table1[[#This Row],[Unit_Cost]]-Table1[[#This Row],[Negotiated_Cost]])/Table1[[#This Row],[Unit_Cost]]</f>
        <v>3.5420560747663608E-2</v>
      </c>
    </row>
    <row r="279" spans="1:15" x14ac:dyDescent="0.25">
      <c r="A279" t="s">
        <v>314</v>
      </c>
      <c r="B279" t="s">
        <v>12</v>
      </c>
      <c r="C279" s="14" t="s">
        <v>18</v>
      </c>
      <c r="D279" s="1">
        <v>45412</v>
      </c>
      <c r="E279" s="13">
        <v>45431</v>
      </c>
      <c r="F279" s="14" t="s">
        <v>14</v>
      </c>
      <c r="G279">
        <v>325</v>
      </c>
      <c r="H279">
        <v>5201.37</v>
      </c>
      <c r="I279">
        <v>4941.5200000000004</v>
      </c>
      <c r="J279">
        <v>0</v>
      </c>
      <c r="K279" s="14" t="s">
        <v>25</v>
      </c>
      <c r="L279" s="14">
        <f>IF(OR(Table1[[#This Row],[Order_Status]]="Delivered",Table1[[#This Row],[Delivery_Date]]&lt;&gt;"Not Yet Delivered"),Table1[[#This Row],[Delivery_Date]]-Table1[[#This Row],[Order_Date]],"Not Applicable")</f>
        <v>19</v>
      </c>
      <c r="M279" s="14">
        <f>Table1[[#This Row],[Unit_Cost]]-Table1[[#This Row],[Negotiated_Cost]]</f>
        <v>259.84999999999945</v>
      </c>
      <c r="N279" s="18">
        <f>Table1[[#This Row],[Defective_Units]]/Table1[[#This Row],[Quantity]]</f>
        <v>0</v>
      </c>
      <c r="O279" s="26">
        <f>(Table1[[#This Row],[Unit_Cost]]-Table1[[#This Row],[Negotiated_Cost]])/Table1[[#This Row],[Unit_Cost]]</f>
        <v>4.9957991836765976E-2</v>
      </c>
    </row>
    <row r="280" spans="1:15" x14ac:dyDescent="0.25">
      <c r="A280" t="s">
        <v>315</v>
      </c>
      <c r="B280" t="s">
        <v>27</v>
      </c>
      <c r="C280" s="14" t="s">
        <v>30</v>
      </c>
      <c r="D280" s="1">
        <v>45081</v>
      </c>
      <c r="E280" s="13">
        <v>45092</v>
      </c>
      <c r="F280" s="14" t="s">
        <v>14</v>
      </c>
      <c r="G280">
        <v>434</v>
      </c>
      <c r="H280">
        <v>866.33</v>
      </c>
      <c r="I280">
        <v>834.52</v>
      </c>
      <c r="J280">
        <v>1</v>
      </c>
      <c r="K280" s="14" t="s">
        <v>15</v>
      </c>
      <c r="L280" s="14">
        <f>IF(OR(Table1[[#This Row],[Order_Status]]="Delivered",Table1[[#This Row],[Delivery_Date]]&lt;&gt;"Not Yet Delivered"),Table1[[#This Row],[Delivery_Date]]-Table1[[#This Row],[Order_Date]],"Not Applicable")</f>
        <v>11</v>
      </c>
      <c r="M280" s="14">
        <f>Table1[[#This Row],[Unit_Cost]]-Table1[[#This Row],[Negotiated_Cost]]</f>
        <v>31.810000000000059</v>
      </c>
      <c r="N280" s="18">
        <f>Table1[[#This Row],[Defective_Units]]/Table1[[#This Row],[Quantity]]</f>
        <v>2.304147465437788E-3</v>
      </c>
      <c r="O280" s="26">
        <f>(Table1[[#This Row],[Unit_Cost]]-Table1[[#This Row],[Negotiated_Cost]])/Table1[[#This Row],[Unit_Cost]]</f>
        <v>3.6718109727240267E-2</v>
      </c>
    </row>
    <row r="281" spans="1:15" x14ac:dyDescent="0.25">
      <c r="A281" t="s">
        <v>316</v>
      </c>
      <c r="B281" t="s">
        <v>46</v>
      </c>
      <c r="C281" s="14" t="s">
        <v>44</v>
      </c>
      <c r="D281" s="1">
        <v>45048</v>
      </c>
      <c r="E281" s="14" t="s">
        <v>2057</v>
      </c>
      <c r="F281" s="14" t="s">
        <v>33</v>
      </c>
      <c r="G281">
        <v>129</v>
      </c>
      <c r="H281">
        <v>8284.1299999999992</v>
      </c>
      <c r="I281">
        <v>7973.38</v>
      </c>
      <c r="J281">
        <v>2</v>
      </c>
      <c r="K281" s="14" t="s">
        <v>15</v>
      </c>
      <c r="L281" s="14" t="str">
        <f>IF(OR(Table1[[#This Row],[Order_Status]]="Delivered",Table1[[#This Row],[Delivery_Date]]&lt;&gt;"Not Yet Delivered"),Table1[[#This Row],[Delivery_Date]]-Table1[[#This Row],[Order_Date]],"Not Applicable")</f>
        <v>Not Applicable</v>
      </c>
      <c r="M281" s="14">
        <f>Table1[[#This Row],[Unit_Cost]]-Table1[[#This Row],[Negotiated_Cost]]</f>
        <v>310.74999999999909</v>
      </c>
      <c r="N281" s="18">
        <f>Table1[[#This Row],[Defective_Units]]/Table1[[#This Row],[Quantity]]</f>
        <v>1.5503875968992248E-2</v>
      </c>
      <c r="O281" s="26">
        <f>(Table1[[#This Row],[Unit_Cost]]-Table1[[#This Row],[Negotiated_Cost]])/Table1[[#This Row],[Unit_Cost]]</f>
        <v>3.7511482799038535E-2</v>
      </c>
    </row>
    <row r="282" spans="1:15" x14ac:dyDescent="0.25">
      <c r="A282" t="s">
        <v>317</v>
      </c>
      <c r="B282" t="s">
        <v>20</v>
      </c>
      <c r="C282" s="14" t="s">
        <v>21</v>
      </c>
      <c r="D282" s="1">
        <v>45295</v>
      </c>
      <c r="E282" s="13">
        <v>45316</v>
      </c>
      <c r="F282" s="14" t="s">
        <v>14</v>
      </c>
      <c r="G282">
        <v>289</v>
      </c>
      <c r="H282">
        <v>112.27</v>
      </c>
      <c r="I282">
        <v>112.01</v>
      </c>
      <c r="J282">
        <v>7</v>
      </c>
      <c r="K282" s="14" t="s">
        <v>25</v>
      </c>
      <c r="L282" s="14">
        <f>IF(OR(Table1[[#This Row],[Order_Status]]="Delivered",Table1[[#This Row],[Delivery_Date]]&lt;&gt;"Not Yet Delivered"),Table1[[#This Row],[Delivery_Date]]-Table1[[#This Row],[Order_Date]],"Not Applicable")</f>
        <v>21</v>
      </c>
      <c r="M282" s="14">
        <f>Table1[[#This Row],[Unit_Cost]]-Table1[[#This Row],[Negotiated_Cost]]</f>
        <v>0.25999999999999091</v>
      </c>
      <c r="N282" s="18">
        <f>Table1[[#This Row],[Defective_Units]]/Table1[[#This Row],[Quantity]]</f>
        <v>2.4221453287197232E-2</v>
      </c>
      <c r="O282" s="26">
        <f>(Table1[[#This Row],[Unit_Cost]]-Table1[[#This Row],[Negotiated_Cost]])/Table1[[#This Row],[Unit_Cost]]</f>
        <v>2.315845729045969E-3</v>
      </c>
    </row>
    <row r="283" spans="1:15" x14ac:dyDescent="0.25">
      <c r="A283" t="s">
        <v>318</v>
      </c>
      <c r="B283" t="s">
        <v>20</v>
      </c>
      <c r="C283" s="14" t="s">
        <v>48</v>
      </c>
      <c r="D283" s="1">
        <v>45600</v>
      </c>
      <c r="E283" s="13">
        <v>45620</v>
      </c>
      <c r="F283" s="14" t="s">
        <v>14</v>
      </c>
      <c r="G283">
        <v>369</v>
      </c>
      <c r="H283">
        <v>6436.11</v>
      </c>
      <c r="J283">
        <v>7</v>
      </c>
      <c r="K283" s="14" t="s">
        <v>15</v>
      </c>
      <c r="L283" s="14">
        <f>IF(OR(Table1[[#This Row],[Order_Status]]="Delivered",Table1[[#This Row],[Delivery_Date]]&lt;&gt;"Not Yet Delivered"),Table1[[#This Row],[Delivery_Date]]-Table1[[#This Row],[Order_Date]],"Not Applicable")</f>
        <v>20</v>
      </c>
      <c r="M283" s="14">
        <f>Table1[[#This Row],[Unit_Cost]]-Table1[[#This Row],[Negotiated_Cost]]</f>
        <v>6436.11</v>
      </c>
      <c r="N283" s="18">
        <f>Table1[[#This Row],[Defective_Units]]/Table1[[#This Row],[Quantity]]</f>
        <v>1.8970189701897018E-2</v>
      </c>
      <c r="O283" s="26">
        <f>(Table1[[#This Row],[Unit_Cost]]-Table1[[#This Row],[Negotiated_Cost]])/Table1[[#This Row],[Unit_Cost]]</f>
        <v>1</v>
      </c>
    </row>
    <row r="284" spans="1:15" x14ac:dyDescent="0.25">
      <c r="A284" t="s">
        <v>319</v>
      </c>
      <c r="B284" t="s">
        <v>32</v>
      </c>
      <c r="C284" s="14" t="s">
        <v>36</v>
      </c>
      <c r="D284" s="1">
        <v>45309</v>
      </c>
      <c r="E284" s="13">
        <v>45314</v>
      </c>
      <c r="F284" s="14" t="s">
        <v>14</v>
      </c>
      <c r="G284">
        <v>496</v>
      </c>
      <c r="H284">
        <v>489.91</v>
      </c>
      <c r="I284">
        <v>484.93</v>
      </c>
      <c r="J284">
        <v>3</v>
      </c>
      <c r="K284" s="14" t="s">
        <v>15</v>
      </c>
      <c r="L284" s="14">
        <f>IF(OR(Table1[[#This Row],[Order_Status]]="Delivered",Table1[[#This Row],[Delivery_Date]]&lt;&gt;"Not Yet Delivered"),Table1[[#This Row],[Delivery_Date]]-Table1[[#This Row],[Order_Date]],"Not Applicable")</f>
        <v>5</v>
      </c>
      <c r="M284" s="14">
        <f>Table1[[#This Row],[Unit_Cost]]-Table1[[#This Row],[Negotiated_Cost]]</f>
        <v>4.9800000000000182</v>
      </c>
      <c r="N284" s="18">
        <f>Table1[[#This Row],[Defective_Units]]/Table1[[#This Row],[Quantity]]</f>
        <v>6.0483870967741934E-3</v>
      </c>
      <c r="O284" s="26">
        <f>(Table1[[#This Row],[Unit_Cost]]-Table1[[#This Row],[Negotiated_Cost]])/Table1[[#This Row],[Unit_Cost]]</f>
        <v>1.0165132371251899E-2</v>
      </c>
    </row>
    <row r="285" spans="1:15" x14ac:dyDescent="0.25">
      <c r="A285" t="s">
        <v>320</v>
      </c>
      <c r="B285" t="s">
        <v>17</v>
      </c>
      <c r="C285" s="14" t="s">
        <v>28</v>
      </c>
      <c r="D285" s="1">
        <v>45361</v>
      </c>
      <c r="E285" s="13">
        <v>45384</v>
      </c>
      <c r="F285" s="14" t="s">
        <v>14</v>
      </c>
      <c r="G285">
        <v>277</v>
      </c>
      <c r="H285">
        <v>46390.1</v>
      </c>
      <c r="I285">
        <v>44443.08</v>
      </c>
      <c r="J285">
        <v>2</v>
      </c>
      <c r="K285" s="14" t="s">
        <v>15</v>
      </c>
      <c r="L285" s="14">
        <f>IF(OR(Table1[[#This Row],[Order_Status]]="Delivered",Table1[[#This Row],[Delivery_Date]]&lt;&gt;"Not Yet Delivered"),Table1[[#This Row],[Delivery_Date]]-Table1[[#This Row],[Order_Date]],"Not Applicable")</f>
        <v>23</v>
      </c>
      <c r="M285" s="14">
        <f>Table1[[#This Row],[Unit_Cost]]-Table1[[#This Row],[Negotiated_Cost]]</f>
        <v>1947.0199999999968</v>
      </c>
      <c r="N285" s="18">
        <f>Table1[[#This Row],[Defective_Units]]/Table1[[#This Row],[Quantity]]</f>
        <v>7.2202166064981952E-3</v>
      </c>
      <c r="O285" s="26">
        <f>(Table1[[#This Row],[Unit_Cost]]-Table1[[#This Row],[Negotiated_Cost]])/Table1[[#This Row],[Unit_Cost]]</f>
        <v>4.1970592863563493E-2</v>
      </c>
    </row>
    <row r="286" spans="1:15" x14ac:dyDescent="0.25">
      <c r="A286" t="s">
        <v>321</v>
      </c>
      <c r="B286" t="s">
        <v>46</v>
      </c>
      <c r="C286" s="14" t="s">
        <v>21</v>
      </c>
      <c r="D286" s="1">
        <v>45583</v>
      </c>
      <c r="E286" s="14" t="s">
        <v>2057</v>
      </c>
      <c r="F286" s="14" t="s">
        <v>33</v>
      </c>
      <c r="G286">
        <v>105</v>
      </c>
      <c r="H286">
        <v>119.41</v>
      </c>
      <c r="I286">
        <v>113.88</v>
      </c>
      <c r="J286">
        <v>2</v>
      </c>
      <c r="K286" s="14" t="s">
        <v>15</v>
      </c>
      <c r="L286" s="14" t="str">
        <f>IF(OR(Table1[[#This Row],[Order_Status]]="Delivered",Table1[[#This Row],[Delivery_Date]]&lt;&gt;"Not Yet Delivered"),Table1[[#This Row],[Delivery_Date]]-Table1[[#This Row],[Order_Date]],"Not Applicable")</f>
        <v>Not Applicable</v>
      </c>
      <c r="M286" s="14">
        <f>Table1[[#This Row],[Unit_Cost]]-Table1[[#This Row],[Negotiated_Cost]]</f>
        <v>5.5300000000000011</v>
      </c>
      <c r="N286" s="18">
        <f>Table1[[#This Row],[Defective_Units]]/Table1[[#This Row],[Quantity]]</f>
        <v>1.9047619047619049E-2</v>
      </c>
      <c r="O286" s="26">
        <f>(Table1[[#This Row],[Unit_Cost]]-Table1[[#This Row],[Negotiated_Cost]])/Table1[[#This Row],[Unit_Cost]]</f>
        <v>4.6311029227032924E-2</v>
      </c>
    </row>
    <row r="287" spans="1:15" x14ac:dyDescent="0.25">
      <c r="A287" t="s">
        <v>322</v>
      </c>
      <c r="B287" t="s">
        <v>32</v>
      </c>
      <c r="C287" s="14" t="s">
        <v>21</v>
      </c>
      <c r="D287" s="1">
        <v>45587</v>
      </c>
      <c r="E287" s="13">
        <v>45605</v>
      </c>
      <c r="F287" s="14" t="s">
        <v>14</v>
      </c>
      <c r="G287">
        <v>250</v>
      </c>
      <c r="H287">
        <v>114.25</v>
      </c>
      <c r="I287">
        <v>108.25</v>
      </c>
      <c r="J287">
        <v>0</v>
      </c>
      <c r="K287" s="14" t="s">
        <v>25</v>
      </c>
      <c r="L287" s="14">
        <f>IF(OR(Table1[[#This Row],[Order_Status]]="Delivered",Table1[[#This Row],[Delivery_Date]]&lt;&gt;"Not Yet Delivered"),Table1[[#This Row],[Delivery_Date]]-Table1[[#This Row],[Order_Date]],"Not Applicable")</f>
        <v>18</v>
      </c>
      <c r="M287" s="14">
        <f>Table1[[#This Row],[Unit_Cost]]-Table1[[#This Row],[Negotiated_Cost]]</f>
        <v>6</v>
      </c>
      <c r="N287" s="18">
        <f>Table1[[#This Row],[Defective_Units]]/Table1[[#This Row],[Quantity]]</f>
        <v>0</v>
      </c>
      <c r="O287" s="26">
        <f>(Table1[[#This Row],[Unit_Cost]]-Table1[[#This Row],[Negotiated_Cost]])/Table1[[#This Row],[Unit_Cost]]</f>
        <v>5.2516411378555797E-2</v>
      </c>
    </row>
    <row r="288" spans="1:15" x14ac:dyDescent="0.25">
      <c r="A288" t="s">
        <v>323</v>
      </c>
      <c r="B288" t="s">
        <v>17</v>
      </c>
      <c r="C288" s="14" t="s">
        <v>24</v>
      </c>
      <c r="D288" s="1">
        <v>45592</v>
      </c>
      <c r="E288" s="13">
        <v>45599</v>
      </c>
      <c r="F288" s="14" t="s">
        <v>14</v>
      </c>
      <c r="G288">
        <v>308</v>
      </c>
      <c r="H288">
        <v>11177.08</v>
      </c>
      <c r="I288">
        <v>11012.52</v>
      </c>
      <c r="J288">
        <v>2</v>
      </c>
      <c r="K288" s="14" t="s">
        <v>15</v>
      </c>
      <c r="L288" s="14">
        <f>IF(OR(Table1[[#This Row],[Order_Status]]="Delivered",Table1[[#This Row],[Delivery_Date]]&lt;&gt;"Not Yet Delivered"),Table1[[#This Row],[Delivery_Date]]-Table1[[#This Row],[Order_Date]],"Not Applicable")</f>
        <v>7</v>
      </c>
      <c r="M288" s="14">
        <f>Table1[[#This Row],[Unit_Cost]]-Table1[[#This Row],[Negotiated_Cost]]</f>
        <v>164.55999999999949</v>
      </c>
      <c r="N288" s="18">
        <f>Table1[[#This Row],[Defective_Units]]/Table1[[#This Row],[Quantity]]</f>
        <v>6.4935064935064939E-3</v>
      </c>
      <c r="O288" s="26">
        <f>(Table1[[#This Row],[Unit_Cost]]-Table1[[#This Row],[Negotiated_Cost]])/Table1[[#This Row],[Unit_Cost]]</f>
        <v>1.4722986683462898E-2</v>
      </c>
    </row>
    <row r="289" spans="1:15" x14ac:dyDescent="0.25">
      <c r="A289" t="s">
        <v>324</v>
      </c>
      <c r="B289" t="s">
        <v>40</v>
      </c>
      <c r="C289" s="14" t="s">
        <v>18</v>
      </c>
      <c r="D289" s="1">
        <v>45325</v>
      </c>
      <c r="E289" s="13">
        <v>45344</v>
      </c>
      <c r="F289" s="14" t="s">
        <v>37</v>
      </c>
      <c r="G289">
        <v>415</v>
      </c>
      <c r="H289">
        <v>5623.6</v>
      </c>
      <c r="I289">
        <v>5452.3</v>
      </c>
      <c r="J289">
        <v>7</v>
      </c>
      <c r="K289" s="14" t="s">
        <v>15</v>
      </c>
      <c r="L289" s="14">
        <f>IF(OR(Table1[[#This Row],[Order_Status]]="Delivered",Table1[[#This Row],[Delivery_Date]]&lt;&gt;"Not Yet Delivered"),Table1[[#This Row],[Delivery_Date]]-Table1[[#This Row],[Order_Date]],"Not Applicable")</f>
        <v>19</v>
      </c>
      <c r="M289" s="14">
        <f>Table1[[#This Row],[Unit_Cost]]-Table1[[#This Row],[Negotiated_Cost]]</f>
        <v>171.30000000000018</v>
      </c>
      <c r="N289" s="18">
        <f>Table1[[#This Row],[Defective_Units]]/Table1[[#This Row],[Quantity]]</f>
        <v>1.6867469879518072E-2</v>
      </c>
      <c r="O289" s="26">
        <f>(Table1[[#This Row],[Unit_Cost]]-Table1[[#This Row],[Negotiated_Cost]])/Table1[[#This Row],[Unit_Cost]]</f>
        <v>3.0460914716551706E-2</v>
      </c>
    </row>
    <row r="290" spans="1:15" x14ac:dyDescent="0.25">
      <c r="A290" t="s">
        <v>325</v>
      </c>
      <c r="B290" t="s">
        <v>40</v>
      </c>
      <c r="C290" s="14" t="s">
        <v>30</v>
      </c>
      <c r="D290" s="1">
        <v>45291</v>
      </c>
      <c r="E290" s="13">
        <v>45312</v>
      </c>
      <c r="F290" s="14" t="s">
        <v>14</v>
      </c>
      <c r="G290">
        <v>167</v>
      </c>
      <c r="H290">
        <v>937.06</v>
      </c>
      <c r="I290">
        <v>886.98</v>
      </c>
      <c r="J290">
        <v>1</v>
      </c>
      <c r="K290" s="14" t="s">
        <v>15</v>
      </c>
      <c r="L290" s="14">
        <f>IF(OR(Table1[[#This Row],[Order_Status]]="Delivered",Table1[[#This Row],[Delivery_Date]]&lt;&gt;"Not Yet Delivered"),Table1[[#This Row],[Delivery_Date]]-Table1[[#This Row],[Order_Date]],"Not Applicable")</f>
        <v>21</v>
      </c>
      <c r="M290" s="14">
        <f>Table1[[#This Row],[Unit_Cost]]-Table1[[#This Row],[Negotiated_Cost]]</f>
        <v>50.079999999999927</v>
      </c>
      <c r="N290" s="18">
        <f>Table1[[#This Row],[Defective_Units]]/Table1[[#This Row],[Quantity]]</f>
        <v>5.9880239520958087E-3</v>
      </c>
      <c r="O290" s="26">
        <f>(Table1[[#This Row],[Unit_Cost]]-Table1[[#This Row],[Negotiated_Cost]])/Table1[[#This Row],[Unit_Cost]]</f>
        <v>5.3443749599812101E-2</v>
      </c>
    </row>
    <row r="291" spans="1:15" x14ac:dyDescent="0.25">
      <c r="A291" t="s">
        <v>326</v>
      </c>
      <c r="B291" t="s">
        <v>17</v>
      </c>
      <c r="C291" s="14" t="s">
        <v>55</v>
      </c>
      <c r="D291" s="1">
        <v>45369</v>
      </c>
      <c r="E291" s="13">
        <v>45393</v>
      </c>
      <c r="F291" s="14" t="s">
        <v>14</v>
      </c>
      <c r="G291">
        <v>329</v>
      </c>
      <c r="H291">
        <v>13647.06</v>
      </c>
      <c r="I291">
        <v>13341.31</v>
      </c>
      <c r="J291">
        <v>4</v>
      </c>
      <c r="K291" s="14" t="s">
        <v>15</v>
      </c>
      <c r="L291" s="14">
        <f>IF(OR(Table1[[#This Row],[Order_Status]]="Delivered",Table1[[#This Row],[Delivery_Date]]&lt;&gt;"Not Yet Delivered"),Table1[[#This Row],[Delivery_Date]]-Table1[[#This Row],[Order_Date]],"Not Applicable")</f>
        <v>24</v>
      </c>
      <c r="M291" s="14">
        <f>Table1[[#This Row],[Unit_Cost]]-Table1[[#This Row],[Negotiated_Cost]]</f>
        <v>305.75</v>
      </c>
      <c r="N291" s="18">
        <f>Table1[[#This Row],[Defective_Units]]/Table1[[#This Row],[Quantity]]</f>
        <v>1.2158054711246201E-2</v>
      </c>
      <c r="O291" s="26">
        <f>(Table1[[#This Row],[Unit_Cost]]-Table1[[#This Row],[Negotiated_Cost]])/Table1[[#This Row],[Unit_Cost]]</f>
        <v>2.240409289619889E-2</v>
      </c>
    </row>
    <row r="292" spans="1:15" x14ac:dyDescent="0.25">
      <c r="A292" t="s">
        <v>327</v>
      </c>
      <c r="B292" t="s">
        <v>27</v>
      </c>
      <c r="C292" s="14" t="s">
        <v>55</v>
      </c>
      <c r="D292" s="1">
        <v>45246</v>
      </c>
      <c r="E292" s="13">
        <v>45256</v>
      </c>
      <c r="F292" s="14" t="s">
        <v>14</v>
      </c>
      <c r="G292">
        <v>130</v>
      </c>
      <c r="H292">
        <v>15046.41</v>
      </c>
      <c r="I292">
        <v>14883.73</v>
      </c>
      <c r="J292">
        <v>2</v>
      </c>
      <c r="K292" s="14" t="s">
        <v>15</v>
      </c>
      <c r="L292" s="14">
        <f>IF(OR(Table1[[#This Row],[Order_Status]]="Delivered",Table1[[#This Row],[Delivery_Date]]&lt;&gt;"Not Yet Delivered"),Table1[[#This Row],[Delivery_Date]]-Table1[[#This Row],[Order_Date]],"Not Applicable")</f>
        <v>10</v>
      </c>
      <c r="M292" s="14">
        <f>Table1[[#This Row],[Unit_Cost]]-Table1[[#This Row],[Negotiated_Cost]]</f>
        <v>162.68000000000029</v>
      </c>
      <c r="N292" s="18">
        <f>Table1[[#This Row],[Defective_Units]]/Table1[[#This Row],[Quantity]]</f>
        <v>1.5384615384615385E-2</v>
      </c>
      <c r="O292" s="26">
        <f>(Table1[[#This Row],[Unit_Cost]]-Table1[[#This Row],[Negotiated_Cost]])/Table1[[#This Row],[Unit_Cost]]</f>
        <v>1.0811881372367249E-2</v>
      </c>
    </row>
    <row r="293" spans="1:15" x14ac:dyDescent="0.25">
      <c r="A293" t="s">
        <v>328</v>
      </c>
      <c r="B293" t="s">
        <v>27</v>
      </c>
      <c r="C293" s="14" t="s">
        <v>24</v>
      </c>
      <c r="D293" s="1">
        <v>45190</v>
      </c>
      <c r="E293" s="13">
        <v>45198</v>
      </c>
      <c r="F293" s="14" t="s">
        <v>14</v>
      </c>
      <c r="G293">
        <v>286</v>
      </c>
      <c r="H293">
        <v>13252.56</v>
      </c>
      <c r="I293">
        <v>12691.67</v>
      </c>
      <c r="J293">
        <v>2</v>
      </c>
      <c r="K293" s="14" t="s">
        <v>15</v>
      </c>
      <c r="L293" s="14">
        <f>IF(OR(Table1[[#This Row],[Order_Status]]="Delivered",Table1[[#This Row],[Delivery_Date]]&lt;&gt;"Not Yet Delivered"),Table1[[#This Row],[Delivery_Date]]-Table1[[#This Row],[Order_Date]],"Not Applicable")</f>
        <v>8</v>
      </c>
      <c r="M293" s="14">
        <f>Table1[[#This Row],[Unit_Cost]]-Table1[[#This Row],[Negotiated_Cost]]</f>
        <v>560.88999999999942</v>
      </c>
      <c r="N293" s="18">
        <f>Table1[[#This Row],[Defective_Units]]/Table1[[#This Row],[Quantity]]</f>
        <v>6.993006993006993E-3</v>
      </c>
      <c r="O293" s="26">
        <f>(Table1[[#This Row],[Unit_Cost]]-Table1[[#This Row],[Negotiated_Cost]])/Table1[[#This Row],[Unit_Cost]]</f>
        <v>4.2323143603952701E-2</v>
      </c>
    </row>
    <row r="294" spans="1:15" x14ac:dyDescent="0.25">
      <c r="A294" t="s">
        <v>329</v>
      </c>
      <c r="B294" t="s">
        <v>35</v>
      </c>
      <c r="C294" s="14" t="s">
        <v>18</v>
      </c>
      <c r="D294" s="1">
        <v>45114</v>
      </c>
      <c r="E294" s="13">
        <v>45118</v>
      </c>
      <c r="F294" s="14" t="s">
        <v>14</v>
      </c>
      <c r="G294">
        <v>132</v>
      </c>
      <c r="H294">
        <v>5392.93</v>
      </c>
      <c r="I294">
        <v>5355.53</v>
      </c>
      <c r="J294">
        <v>0</v>
      </c>
      <c r="K294" s="14" t="s">
        <v>15</v>
      </c>
      <c r="L294" s="14">
        <f>IF(OR(Table1[[#This Row],[Order_Status]]="Delivered",Table1[[#This Row],[Delivery_Date]]&lt;&gt;"Not Yet Delivered"),Table1[[#This Row],[Delivery_Date]]-Table1[[#This Row],[Order_Date]],"Not Applicable")</f>
        <v>4</v>
      </c>
      <c r="M294" s="14">
        <f>Table1[[#This Row],[Unit_Cost]]-Table1[[#This Row],[Negotiated_Cost]]</f>
        <v>37.400000000000546</v>
      </c>
      <c r="N294" s="18">
        <f>Table1[[#This Row],[Defective_Units]]/Table1[[#This Row],[Quantity]]</f>
        <v>0</v>
      </c>
      <c r="O294" s="26">
        <f>(Table1[[#This Row],[Unit_Cost]]-Table1[[#This Row],[Negotiated_Cost]])/Table1[[#This Row],[Unit_Cost]]</f>
        <v>6.9350056462814356E-3</v>
      </c>
    </row>
    <row r="295" spans="1:15" x14ac:dyDescent="0.25">
      <c r="A295" t="s">
        <v>330</v>
      </c>
      <c r="B295" t="s">
        <v>32</v>
      </c>
      <c r="C295" s="14" t="s">
        <v>30</v>
      </c>
      <c r="D295" s="1">
        <v>45284</v>
      </c>
      <c r="E295" s="13">
        <v>45313</v>
      </c>
      <c r="F295" s="14" t="s">
        <v>14</v>
      </c>
      <c r="G295">
        <v>79</v>
      </c>
      <c r="H295">
        <v>812.98</v>
      </c>
      <c r="I295">
        <v>769.62</v>
      </c>
      <c r="J295">
        <v>0</v>
      </c>
      <c r="K295" s="14" t="s">
        <v>15</v>
      </c>
      <c r="L295" s="14">
        <f>IF(OR(Table1[[#This Row],[Order_Status]]="Delivered",Table1[[#This Row],[Delivery_Date]]&lt;&gt;"Not Yet Delivered"),Table1[[#This Row],[Delivery_Date]]-Table1[[#This Row],[Order_Date]],"Not Applicable")</f>
        <v>29</v>
      </c>
      <c r="M295" s="14">
        <f>Table1[[#This Row],[Unit_Cost]]-Table1[[#This Row],[Negotiated_Cost]]</f>
        <v>43.360000000000014</v>
      </c>
      <c r="N295" s="18">
        <f>Table1[[#This Row],[Defective_Units]]/Table1[[#This Row],[Quantity]]</f>
        <v>0</v>
      </c>
      <c r="O295" s="26">
        <f>(Table1[[#This Row],[Unit_Cost]]-Table1[[#This Row],[Negotiated_Cost]])/Table1[[#This Row],[Unit_Cost]]</f>
        <v>5.3334645378730117E-2</v>
      </c>
    </row>
    <row r="296" spans="1:15" x14ac:dyDescent="0.25">
      <c r="A296" t="s">
        <v>331</v>
      </c>
      <c r="B296" t="s">
        <v>35</v>
      </c>
      <c r="C296" s="14" t="s">
        <v>55</v>
      </c>
      <c r="D296" s="1">
        <v>44992</v>
      </c>
      <c r="E296" s="13">
        <v>45021</v>
      </c>
      <c r="F296" s="14" t="s">
        <v>14</v>
      </c>
      <c r="G296">
        <v>428</v>
      </c>
      <c r="H296">
        <v>13826.5</v>
      </c>
      <c r="I296">
        <v>13695.49</v>
      </c>
      <c r="J296">
        <v>0</v>
      </c>
      <c r="K296" s="14" t="s">
        <v>15</v>
      </c>
      <c r="L296" s="14">
        <f>IF(OR(Table1[[#This Row],[Order_Status]]="Delivered",Table1[[#This Row],[Delivery_Date]]&lt;&gt;"Not Yet Delivered"),Table1[[#This Row],[Delivery_Date]]-Table1[[#This Row],[Order_Date]],"Not Applicable")</f>
        <v>29</v>
      </c>
      <c r="M296" s="14">
        <f>Table1[[#This Row],[Unit_Cost]]-Table1[[#This Row],[Negotiated_Cost]]</f>
        <v>131.01000000000022</v>
      </c>
      <c r="N296" s="18">
        <f>Table1[[#This Row],[Defective_Units]]/Table1[[#This Row],[Quantity]]</f>
        <v>0</v>
      </c>
      <c r="O296" s="26">
        <f>(Table1[[#This Row],[Unit_Cost]]-Table1[[#This Row],[Negotiated_Cost]])/Table1[[#This Row],[Unit_Cost]]</f>
        <v>9.4752829711062247E-3</v>
      </c>
    </row>
    <row r="297" spans="1:15" x14ac:dyDescent="0.25">
      <c r="A297" t="s">
        <v>332</v>
      </c>
      <c r="B297" t="s">
        <v>27</v>
      </c>
      <c r="C297" s="14" t="s">
        <v>21</v>
      </c>
      <c r="D297" s="1">
        <v>45221</v>
      </c>
      <c r="E297" s="14" t="s">
        <v>2057</v>
      </c>
      <c r="F297" s="14" t="s">
        <v>33</v>
      </c>
      <c r="G297">
        <v>455</v>
      </c>
      <c r="H297">
        <v>126.86</v>
      </c>
      <c r="I297">
        <v>126.32</v>
      </c>
      <c r="J297">
        <v>2</v>
      </c>
      <c r="K297" s="14" t="s">
        <v>15</v>
      </c>
      <c r="L297" s="14" t="str">
        <f>IF(OR(Table1[[#This Row],[Order_Status]]="Delivered",Table1[[#This Row],[Delivery_Date]]&lt;&gt;"Not Yet Delivered"),Table1[[#This Row],[Delivery_Date]]-Table1[[#This Row],[Order_Date]],"Not Applicable")</f>
        <v>Not Applicable</v>
      </c>
      <c r="M297" s="14">
        <f>Table1[[#This Row],[Unit_Cost]]-Table1[[#This Row],[Negotiated_Cost]]</f>
        <v>0.54000000000000625</v>
      </c>
      <c r="N297" s="18">
        <f>Table1[[#This Row],[Defective_Units]]/Table1[[#This Row],[Quantity]]</f>
        <v>4.3956043956043956E-3</v>
      </c>
      <c r="O297" s="26">
        <f>(Table1[[#This Row],[Unit_Cost]]-Table1[[#This Row],[Negotiated_Cost]])/Table1[[#This Row],[Unit_Cost]]</f>
        <v>4.25666088601613E-3</v>
      </c>
    </row>
    <row r="298" spans="1:15" x14ac:dyDescent="0.25">
      <c r="A298" t="s">
        <v>333</v>
      </c>
      <c r="B298" t="s">
        <v>40</v>
      </c>
      <c r="C298" s="14" t="s">
        <v>36</v>
      </c>
      <c r="D298" s="1">
        <v>45247</v>
      </c>
      <c r="E298" s="13">
        <v>45269</v>
      </c>
      <c r="F298" s="14" t="s">
        <v>14</v>
      </c>
      <c r="G298">
        <v>405</v>
      </c>
      <c r="H298">
        <v>604.01</v>
      </c>
      <c r="I298">
        <v>603.25</v>
      </c>
      <c r="J298">
        <v>5</v>
      </c>
      <c r="K298" s="14" t="s">
        <v>15</v>
      </c>
      <c r="L298" s="14">
        <f>IF(OR(Table1[[#This Row],[Order_Status]]="Delivered",Table1[[#This Row],[Delivery_Date]]&lt;&gt;"Not Yet Delivered"),Table1[[#This Row],[Delivery_Date]]-Table1[[#This Row],[Order_Date]],"Not Applicable")</f>
        <v>22</v>
      </c>
      <c r="M298" s="14">
        <f>Table1[[#This Row],[Unit_Cost]]-Table1[[#This Row],[Negotiated_Cost]]</f>
        <v>0.75999999999999091</v>
      </c>
      <c r="N298" s="18">
        <f>Table1[[#This Row],[Defective_Units]]/Table1[[#This Row],[Quantity]]</f>
        <v>1.2345679012345678E-2</v>
      </c>
      <c r="O298" s="26">
        <f>(Table1[[#This Row],[Unit_Cost]]-Table1[[#This Row],[Negotiated_Cost]])/Table1[[#This Row],[Unit_Cost]]</f>
        <v>1.2582573136206204E-3</v>
      </c>
    </row>
    <row r="299" spans="1:15" x14ac:dyDescent="0.25">
      <c r="A299" t="s">
        <v>334</v>
      </c>
      <c r="B299" t="s">
        <v>40</v>
      </c>
      <c r="C299" s="14" t="s">
        <v>13</v>
      </c>
      <c r="D299" s="1">
        <v>45470</v>
      </c>
      <c r="E299" s="13">
        <v>45493</v>
      </c>
      <c r="F299" s="14" t="s">
        <v>14</v>
      </c>
      <c r="G299">
        <v>450</v>
      </c>
      <c r="H299">
        <v>4510.93</v>
      </c>
      <c r="I299">
        <v>4462.6000000000004</v>
      </c>
      <c r="J299">
        <v>4</v>
      </c>
      <c r="K299" s="14" t="s">
        <v>15</v>
      </c>
      <c r="L299" s="14">
        <f>IF(OR(Table1[[#This Row],[Order_Status]]="Delivered",Table1[[#This Row],[Delivery_Date]]&lt;&gt;"Not Yet Delivered"),Table1[[#This Row],[Delivery_Date]]-Table1[[#This Row],[Order_Date]],"Not Applicable")</f>
        <v>23</v>
      </c>
      <c r="M299" s="14">
        <f>Table1[[#This Row],[Unit_Cost]]-Table1[[#This Row],[Negotiated_Cost]]</f>
        <v>48.329999999999927</v>
      </c>
      <c r="N299" s="18">
        <f>Table1[[#This Row],[Defective_Units]]/Table1[[#This Row],[Quantity]]</f>
        <v>8.8888888888888889E-3</v>
      </c>
      <c r="O299" s="26">
        <f>(Table1[[#This Row],[Unit_Cost]]-Table1[[#This Row],[Negotiated_Cost]])/Table1[[#This Row],[Unit_Cost]]</f>
        <v>1.0713976940453503E-2</v>
      </c>
    </row>
    <row r="300" spans="1:15" x14ac:dyDescent="0.25">
      <c r="A300" t="s">
        <v>335</v>
      </c>
      <c r="B300" t="s">
        <v>46</v>
      </c>
      <c r="C300" s="14" t="s">
        <v>30</v>
      </c>
      <c r="D300" s="1">
        <v>45334</v>
      </c>
      <c r="E300" s="14" t="s">
        <v>2057</v>
      </c>
      <c r="F300" s="14" t="s">
        <v>33</v>
      </c>
      <c r="G300">
        <v>339</v>
      </c>
      <c r="H300">
        <v>896.61</v>
      </c>
      <c r="I300">
        <v>870.8</v>
      </c>
      <c r="J300">
        <v>2</v>
      </c>
      <c r="K300" s="14" t="s">
        <v>15</v>
      </c>
      <c r="L300" s="14" t="str">
        <f>IF(OR(Table1[[#This Row],[Order_Status]]="Delivered",Table1[[#This Row],[Delivery_Date]]&lt;&gt;"Not Yet Delivered"),Table1[[#This Row],[Delivery_Date]]-Table1[[#This Row],[Order_Date]],"Not Applicable")</f>
        <v>Not Applicable</v>
      </c>
      <c r="M300" s="14">
        <f>Table1[[#This Row],[Unit_Cost]]-Table1[[#This Row],[Negotiated_Cost]]</f>
        <v>25.810000000000059</v>
      </c>
      <c r="N300" s="18">
        <f>Table1[[#This Row],[Defective_Units]]/Table1[[#This Row],[Quantity]]</f>
        <v>5.8997050147492625E-3</v>
      </c>
      <c r="O300" s="26">
        <f>(Table1[[#This Row],[Unit_Cost]]-Table1[[#This Row],[Negotiated_Cost]])/Table1[[#This Row],[Unit_Cost]]</f>
        <v>2.8786205819698707E-2</v>
      </c>
    </row>
    <row r="301" spans="1:15" x14ac:dyDescent="0.25">
      <c r="A301" t="s">
        <v>336</v>
      </c>
      <c r="B301" t="s">
        <v>40</v>
      </c>
      <c r="C301" s="14" t="s">
        <v>21</v>
      </c>
      <c r="D301" s="1">
        <v>45216</v>
      </c>
      <c r="E301" s="13">
        <v>45226</v>
      </c>
      <c r="F301" s="14" t="s">
        <v>37</v>
      </c>
      <c r="G301">
        <v>342</v>
      </c>
      <c r="H301">
        <v>134.63999999999999</v>
      </c>
      <c r="I301">
        <v>132.38999999999999</v>
      </c>
      <c r="J301">
        <v>0</v>
      </c>
      <c r="K301" s="14" t="s">
        <v>15</v>
      </c>
      <c r="L301" s="14">
        <f>IF(OR(Table1[[#This Row],[Order_Status]]="Delivered",Table1[[#This Row],[Delivery_Date]]&lt;&gt;"Not Yet Delivered"),Table1[[#This Row],[Delivery_Date]]-Table1[[#This Row],[Order_Date]],"Not Applicable")</f>
        <v>10</v>
      </c>
      <c r="M301" s="14">
        <f>Table1[[#This Row],[Unit_Cost]]-Table1[[#This Row],[Negotiated_Cost]]</f>
        <v>2.25</v>
      </c>
      <c r="N301" s="18">
        <f>Table1[[#This Row],[Defective_Units]]/Table1[[#This Row],[Quantity]]</f>
        <v>0</v>
      </c>
      <c r="O301" s="26">
        <f>(Table1[[#This Row],[Unit_Cost]]-Table1[[#This Row],[Negotiated_Cost]])/Table1[[#This Row],[Unit_Cost]]</f>
        <v>1.6711229946524065E-2</v>
      </c>
    </row>
    <row r="302" spans="1:15" x14ac:dyDescent="0.25">
      <c r="A302" t="s">
        <v>337</v>
      </c>
      <c r="B302" t="s">
        <v>27</v>
      </c>
      <c r="C302" s="14" t="s">
        <v>44</v>
      </c>
      <c r="D302" s="1">
        <v>45022</v>
      </c>
      <c r="E302" s="13">
        <v>45041</v>
      </c>
      <c r="F302" s="14" t="s">
        <v>14</v>
      </c>
      <c r="G302">
        <v>218</v>
      </c>
      <c r="H302">
        <v>8885.34</v>
      </c>
      <c r="I302">
        <v>8385.64</v>
      </c>
      <c r="J302">
        <v>4</v>
      </c>
      <c r="K302" s="14" t="s">
        <v>15</v>
      </c>
      <c r="L302" s="14">
        <f>IF(OR(Table1[[#This Row],[Order_Status]]="Delivered",Table1[[#This Row],[Delivery_Date]]&lt;&gt;"Not Yet Delivered"),Table1[[#This Row],[Delivery_Date]]-Table1[[#This Row],[Order_Date]],"Not Applicable")</f>
        <v>19</v>
      </c>
      <c r="M302" s="14">
        <f>Table1[[#This Row],[Unit_Cost]]-Table1[[#This Row],[Negotiated_Cost]]</f>
        <v>499.70000000000073</v>
      </c>
      <c r="N302" s="18">
        <f>Table1[[#This Row],[Defective_Units]]/Table1[[#This Row],[Quantity]]</f>
        <v>1.834862385321101E-2</v>
      </c>
      <c r="O302" s="26">
        <f>(Table1[[#This Row],[Unit_Cost]]-Table1[[#This Row],[Negotiated_Cost]])/Table1[[#This Row],[Unit_Cost]]</f>
        <v>5.6238703302293525E-2</v>
      </c>
    </row>
    <row r="303" spans="1:15" x14ac:dyDescent="0.25">
      <c r="A303" t="s">
        <v>338</v>
      </c>
      <c r="B303" t="s">
        <v>17</v>
      </c>
      <c r="C303" s="14" t="s">
        <v>21</v>
      </c>
      <c r="D303" s="1">
        <v>45559</v>
      </c>
      <c r="E303" s="13">
        <v>45562</v>
      </c>
      <c r="F303" s="14" t="s">
        <v>14</v>
      </c>
      <c r="G303">
        <v>69</v>
      </c>
      <c r="H303">
        <v>107.79</v>
      </c>
      <c r="I303">
        <v>104.98</v>
      </c>
      <c r="J303">
        <v>2</v>
      </c>
      <c r="K303" s="14" t="s">
        <v>15</v>
      </c>
      <c r="L303" s="14">
        <f>IF(OR(Table1[[#This Row],[Order_Status]]="Delivered",Table1[[#This Row],[Delivery_Date]]&lt;&gt;"Not Yet Delivered"),Table1[[#This Row],[Delivery_Date]]-Table1[[#This Row],[Order_Date]],"Not Applicable")</f>
        <v>3</v>
      </c>
      <c r="M303" s="14">
        <f>Table1[[#This Row],[Unit_Cost]]-Table1[[#This Row],[Negotiated_Cost]]</f>
        <v>2.8100000000000023</v>
      </c>
      <c r="N303" s="18">
        <f>Table1[[#This Row],[Defective_Units]]/Table1[[#This Row],[Quantity]]</f>
        <v>2.8985507246376812E-2</v>
      </c>
      <c r="O303" s="26">
        <f>(Table1[[#This Row],[Unit_Cost]]-Table1[[#This Row],[Negotiated_Cost]])/Table1[[#This Row],[Unit_Cost]]</f>
        <v>2.6069208646442174E-2</v>
      </c>
    </row>
    <row r="304" spans="1:15" x14ac:dyDescent="0.25">
      <c r="A304" t="s">
        <v>339</v>
      </c>
      <c r="B304" t="s">
        <v>32</v>
      </c>
      <c r="C304" s="14" t="s">
        <v>50</v>
      </c>
      <c r="D304" s="1">
        <v>45550</v>
      </c>
      <c r="E304" s="13">
        <v>45577</v>
      </c>
      <c r="F304" s="14" t="s">
        <v>14</v>
      </c>
      <c r="G304">
        <v>60</v>
      </c>
      <c r="H304">
        <v>50504.18</v>
      </c>
      <c r="I304">
        <v>47744.5</v>
      </c>
      <c r="J304">
        <v>2</v>
      </c>
      <c r="K304" s="14" t="s">
        <v>15</v>
      </c>
      <c r="L304" s="14">
        <f>IF(OR(Table1[[#This Row],[Order_Status]]="Delivered",Table1[[#This Row],[Delivery_Date]]&lt;&gt;"Not Yet Delivered"),Table1[[#This Row],[Delivery_Date]]-Table1[[#This Row],[Order_Date]],"Not Applicable")</f>
        <v>27</v>
      </c>
      <c r="M304" s="14">
        <f>Table1[[#This Row],[Unit_Cost]]-Table1[[#This Row],[Negotiated_Cost]]</f>
        <v>2759.6800000000003</v>
      </c>
      <c r="N304" s="18">
        <f>Table1[[#This Row],[Defective_Units]]/Table1[[#This Row],[Quantity]]</f>
        <v>3.3333333333333333E-2</v>
      </c>
      <c r="O304" s="26">
        <f>(Table1[[#This Row],[Unit_Cost]]-Table1[[#This Row],[Negotiated_Cost]])/Table1[[#This Row],[Unit_Cost]]</f>
        <v>5.4642605819953921E-2</v>
      </c>
    </row>
    <row r="305" spans="1:15" x14ac:dyDescent="0.25">
      <c r="A305" t="s">
        <v>340</v>
      </c>
      <c r="B305" t="s">
        <v>27</v>
      </c>
      <c r="C305" s="14" t="s">
        <v>13</v>
      </c>
      <c r="D305" s="1">
        <v>45101</v>
      </c>
      <c r="E305" s="14" t="s">
        <v>2057</v>
      </c>
      <c r="F305" s="14" t="s">
        <v>22</v>
      </c>
      <c r="G305">
        <v>27</v>
      </c>
      <c r="H305">
        <v>4157.66</v>
      </c>
      <c r="I305">
        <v>4126.6099999999997</v>
      </c>
      <c r="J305">
        <v>2</v>
      </c>
      <c r="K305" s="14" t="s">
        <v>15</v>
      </c>
      <c r="L305" s="14" t="str">
        <f>IF(OR(Table1[[#This Row],[Order_Status]]="Delivered",Table1[[#This Row],[Delivery_Date]]&lt;&gt;"Not Yet Delivered"),Table1[[#This Row],[Delivery_Date]]-Table1[[#This Row],[Order_Date]],"Not Applicable")</f>
        <v>Not Applicable</v>
      </c>
      <c r="M305" s="14">
        <f>Table1[[#This Row],[Unit_Cost]]-Table1[[#This Row],[Negotiated_Cost]]</f>
        <v>31.050000000000182</v>
      </c>
      <c r="N305" s="18">
        <f>Table1[[#This Row],[Defective_Units]]/Table1[[#This Row],[Quantity]]</f>
        <v>7.407407407407407E-2</v>
      </c>
      <c r="O305" s="26">
        <f>(Table1[[#This Row],[Unit_Cost]]-Table1[[#This Row],[Negotiated_Cost]])/Table1[[#This Row],[Unit_Cost]]</f>
        <v>7.4681431382075938E-3</v>
      </c>
    </row>
    <row r="306" spans="1:15" x14ac:dyDescent="0.25">
      <c r="A306" t="s">
        <v>341</v>
      </c>
      <c r="B306" t="s">
        <v>12</v>
      </c>
      <c r="C306" s="14" t="s">
        <v>50</v>
      </c>
      <c r="D306" s="1">
        <v>45357</v>
      </c>
      <c r="E306" s="13">
        <v>45377</v>
      </c>
      <c r="F306" s="14" t="s">
        <v>14</v>
      </c>
      <c r="G306">
        <v>285</v>
      </c>
      <c r="H306">
        <v>53276.84</v>
      </c>
      <c r="I306">
        <v>50417.04</v>
      </c>
      <c r="J306">
        <v>3</v>
      </c>
      <c r="K306" s="14" t="s">
        <v>15</v>
      </c>
      <c r="L306" s="14">
        <f>IF(OR(Table1[[#This Row],[Order_Status]]="Delivered",Table1[[#This Row],[Delivery_Date]]&lt;&gt;"Not Yet Delivered"),Table1[[#This Row],[Delivery_Date]]-Table1[[#This Row],[Order_Date]],"Not Applicable")</f>
        <v>20</v>
      </c>
      <c r="M306" s="14">
        <f>Table1[[#This Row],[Unit_Cost]]-Table1[[#This Row],[Negotiated_Cost]]</f>
        <v>2859.7999999999956</v>
      </c>
      <c r="N306" s="18">
        <f>Table1[[#This Row],[Defective_Units]]/Table1[[#This Row],[Quantity]]</f>
        <v>1.0526315789473684E-2</v>
      </c>
      <c r="O306" s="26">
        <f>(Table1[[#This Row],[Unit_Cost]]-Table1[[#This Row],[Negotiated_Cost]])/Table1[[#This Row],[Unit_Cost]]</f>
        <v>5.3678108536467171E-2</v>
      </c>
    </row>
    <row r="307" spans="1:15" x14ac:dyDescent="0.25">
      <c r="A307" t="s">
        <v>342</v>
      </c>
      <c r="B307" t="s">
        <v>12</v>
      </c>
      <c r="C307" s="14" t="s">
        <v>13</v>
      </c>
      <c r="D307" s="1">
        <v>45479</v>
      </c>
      <c r="E307" s="13">
        <v>45494</v>
      </c>
      <c r="F307" s="14" t="s">
        <v>37</v>
      </c>
      <c r="G307">
        <v>359</v>
      </c>
      <c r="H307">
        <v>4387.6099999999997</v>
      </c>
      <c r="I307">
        <v>4179.34</v>
      </c>
      <c r="J307">
        <v>1</v>
      </c>
      <c r="K307" s="14" t="s">
        <v>15</v>
      </c>
      <c r="L307" s="14">
        <f>IF(OR(Table1[[#This Row],[Order_Status]]="Delivered",Table1[[#This Row],[Delivery_Date]]&lt;&gt;"Not Yet Delivered"),Table1[[#This Row],[Delivery_Date]]-Table1[[#This Row],[Order_Date]],"Not Applicable")</f>
        <v>15</v>
      </c>
      <c r="M307" s="14">
        <f>Table1[[#This Row],[Unit_Cost]]-Table1[[#This Row],[Negotiated_Cost]]</f>
        <v>208.26999999999953</v>
      </c>
      <c r="N307" s="18">
        <f>Table1[[#This Row],[Defective_Units]]/Table1[[#This Row],[Quantity]]</f>
        <v>2.7855153203342618E-3</v>
      </c>
      <c r="O307" s="26">
        <f>(Table1[[#This Row],[Unit_Cost]]-Table1[[#This Row],[Negotiated_Cost]])/Table1[[#This Row],[Unit_Cost]]</f>
        <v>4.7467755794156623E-2</v>
      </c>
    </row>
    <row r="308" spans="1:15" x14ac:dyDescent="0.25">
      <c r="A308" t="s">
        <v>343</v>
      </c>
      <c r="B308" t="s">
        <v>46</v>
      </c>
      <c r="C308" s="14" t="s">
        <v>36</v>
      </c>
      <c r="D308" s="1">
        <v>45026</v>
      </c>
      <c r="E308" s="13">
        <v>45033</v>
      </c>
      <c r="F308" s="14" t="s">
        <v>14</v>
      </c>
      <c r="G308">
        <v>35</v>
      </c>
      <c r="H308">
        <v>558.85</v>
      </c>
      <c r="I308">
        <v>537.76</v>
      </c>
      <c r="J308">
        <v>0</v>
      </c>
      <c r="K308" s="14" t="s">
        <v>15</v>
      </c>
      <c r="L308" s="14">
        <f>IF(OR(Table1[[#This Row],[Order_Status]]="Delivered",Table1[[#This Row],[Delivery_Date]]&lt;&gt;"Not Yet Delivered"),Table1[[#This Row],[Delivery_Date]]-Table1[[#This Row],[Order_Date]],"Not Applicable")</f>
        <v>7</v>
      </c>
      <c r="M308" s="14">
        <f>Table1[[#This Row],[Unit_Cost]]-Table1[[#This Row],[Negotiated_Cost]]</f>
        <v>21.090000000000032</v>
      </c>
      <c r="N308" s="18">
        <f>Table1[[#This Row],[Defective_Units]]/Table1[[#This Row],[Quantity]]</f>
        <v>0</v>
      </c>
      <c r="O308" s="26">
        <f>(Table1[[#This Row],[Unit_Cost]]-Table1[[#This Row],[Negotiated_Cost]])/Table1[[#This Row],[Unit_Cost]]</f>
        <v>3.77382124004653E-2</v>
      </c>
    </row>
    <row r="309" spans="1:15" x14ac:dyDescent="0.25">
      <c r="A309" t="s">
        <v>344</v>
      </c>
      <c r="B309" t="s">
        <v>20</v>
      </c>
      <c r="C309" s="14" t="s">
        <v>28</v>
      </c>
      <c r="D309" s="1">
        <v>45654</v>
      </c>
      <c r="E309" s="14" t="s">
        <v>2057</v>
      </c>
      <c r="F309" s="14" t="s">
        <v>22</v>
      </c>
      <c r="G309">
        <v>268</v>
      </c>
      <c r="H309">
        <v>46918.51</v>
      </c>
      <c r="I309">
        <v>46182.63</v>
      </c>
      <c r="J309">
        <v>2</v>
      </c>
      <c r="K309" s="14" t="s">
        <v>15</v>
      </c>
      <c r="L309" s="14" t="str">
        <f>IF(OR(Table1[[#This Row],[Order_Status]]="Delivered",Table1[[#This Row],[Delivery_Date]]&lt;&gt;"Not Yet Delivered"),Table1[[#This Row],[Delivery_Date]]-Table1[[#This Row],[Order_Date]],"Not Applicable")</f>
        <v>Not Applicable</v>
      </c>
      <c r="M309" s="14">
        <f>Table1[[#This Row],[Unit_Cost]]-Table1[[#This Row],[Negotiated_Cost]]</f>
        <v>735.88000000000466</v>
      </c>
      <c r="N309" s="18">
        <f>Table1[[#This Row],[Defective_Units]]/Table1[[#This Row],[Quantity]]</f>
        <v>7.462686567164179E-3</v>
      </c>
      <c r="O309" s="26">
        <f>(Table1[[#This Row],[Unit_Cost]]-Table1[[#This Row],[Negotiated_Cost]])/Table1[[#This Row],[Unit_Cost]]</f>
        <v>1.5684215035814322E-2</v>
      </c>
    </row>
    <row r="310" spans="1:15" x14ac:dyDescent="0.25">
      <c r="A310" t="s">
        <v>345</v>
      </c>
      <c r="B310" t="s">
        <v>35</v>
      </c>
      <c r="C310" s="14" t="s">
        <v>21</v>
      </c>
      <c r="D310" s="1">
        <v>45364</v>
      </c>
      <c r="E310" s="13">
        <v>45368</v>
      </c>
      <c r="F310" s="14" t="s">
        <v>14</v>
      </c>
      <c r="G310">
        <v>69</v>
      </c>
      <c r="H310">
        <v>125.62</v>
      </c>
      <c r="I310">
        <v>120.25</v>
      </c>
      <c r="J310">
        <v>2</v>
      </c>
      <c r="K310" s="14" t="s">
        <v>15</v>
      </c>
      <c r="L310" s="14">
        <f>IF(OR(Table1[[#This Row],[Order_Status]]="Delivered",Table1[[#This Row],[Delivery_Date]]&lt;&gt;"Not Yet Delivered"),Table1[[#This Row],[Delivery_Date]]-Table1[[#This Row],[Order_Date]],"Not Applicable")</f>
        <v>4</v>
      </c>
      <c r="M310" s="14">
        <f>Table1[[#This Row],[Unit_Cost]]-Table1[[#This Row],[Negotiated_Cost]]</f>
        <v>5.3700000000000045</v>
      </c>
      <c r="N310" s="18">
        <f>Table1[[#This Row],[Defective_Units]]/Table1[[#This Row],[Quantity]]</f>
        <v>2.8985507246376812E-2</v>
      </c>
      <c r="O310" s="26">
        <f>(Table1[[#This Row],[Unit_Cost]]-Table1[[#This Row],[Negotiated_Cost]])/Table1[[#This Row],[Unit_Cost]]</f>
        <v>4.274797006846047E-2</v>
      </c>
    </row>
    <row r="311" spans="1:15" x14ac:dyDescent="0.25">
      <c r="A311" t="s">
        <v>346</v>
      </c>
      <c r="B311" t="s">
        <v>27</v>
      </c>
      <c r="C311" s="14" t="s">
        <v>36</v>
      </c>
      <c r="D311" s="1">
        <v>45484</v>
      </c>
      <c r="E311" s="13">
        <v>45507</v>
      </c>
      <c r="F311" s="14" t="s">
        <v>14</v>
      </c>
      <c r="G311">
        <v>17</v>
      </c>
      <c r="H311">
        <v>552.86</v>
      </c>
      <c r="I311">
        <v>530.88</v>
      </c>
      <c r="J311">
        <v>0</v>
      </c>
      <c r="K311" s="14" t="s">
        <v>15</v>
      </c>
      <c r="L311" s="14">
        <f>IF(OR(Table1[[#This Row],[Order_Status]]="Delivered",Table1[[#This Row],[Delivery_Date]]&lt;&gt;"Not Yet Delivered"),Table1[[#This Row],[Delivery_Date]]-Table1[[#This Row],[Order_Date]],"Not Applicable")</f>
        <v>23</v>
      </c>
      <c r="M311" s="14">
        <f>Table1[[#This Row],[Unit_Cost]]-Table1[[#This Row],[Negotiated_Cost]]</f>
        <v>21.980000000000018</v>
      </c>
      <c r="N311" s="18">
        <f>Table1[[#This Row],[Defective_Units]]/Table1[[#This Row],[Quantity]]</f>
        <v>0</v>
      </c>
      <c r="O311" s="26">
        <f>(Table1[[#This Row],[Unit_Cost]]-Table1[[#This Row],[Negotiated_Cost]])/Table1[[#This Row],[Unit_Cost]]</f>
        <v>3.9756900481134498E-2</v>
      </c>
    </row>
    <row r="312" spans="1:15" x14ac:dyDescent="0.25">
      <c r="A312" t="s">
        <v>347</v>
      </c>
      <c r="B312" t="s">
        <v>20</v>
      </c>
      <c r="C312" s="14" t="s">
        <v>55</v>
      </c>
      <c r="D312" s="1">
        <v>45108</v>
      </c>
      <c r="E312" s="13">
        <v>45113</v>
      </c>
      <c r="F312" s="14" t="s">
        <v>14</v>
      </c>
      <c r="G312">
        <v>376</v>
      </c>
      <c r="H312">
        <v>13101.38</v>
      </c>
      <c r="I312">
        <v>12680.11</v>
      </c>
      <c r="J312">
        <v>4</v>
      </c>
      <c r="K312" s="14" t="s">
        <v>15</v>
      </c>
      <c r="L312" s="14">
        <f>IF(OR(Table1[[#This Row],[Order_Status]]="Delivered",Table1[[#This Row],[Delivery_Date]]&lt;&gt;"Not Yet Delivered"),Table1[[#This Row],[Delivery_Date]]-Table1[[#This Row],[Order_Date]],"Not Applicable")</f>
        <v>5</v>
      </c>
      <c r="M312" s="14">
        <f>Table1[[#This Row],[Unit_Cost]]-Table1[[#This Row],[Negotiated_Cost]]</f>
        <v>421.26999999999862</v>
      </c>
      <c r="N312" s="18">
        <f>Table1[[#This Row],[Defective_Units]]/Table1[[#This Row],[Quantity]]</f>
        <v>1.0638297872340425E-2</v>
      </c>
      <c r="O312" s="26">
        <f>(Table1[[#This Row],[Unit_Cost]]-Table1[[#This Row],[Negotiated_Cost]])/Table1[[#This Row],[Unit_Cost]]</f>
        <v>3.2154627985754067E-2</v>
      </c>
    </row>
    <row r="313" spans="1:15" x14ac:dyDescent="0.25">
      <c r="A313" t="s">
        <v>348</v>
      </c>
      <c r="B313" t="s">
        <v>35</v>
      </c>
      <c r="C313" s="14" t="s">
        <v>50</v>
      </c>
      <c r="D313" s="1">
        <v>45530</v>
      </c>
      <c r="E313" s="13">
        <v>45541</v>
      </c>
      <c r="F313" s="14" t="s">
        <v>37</v>
      </c>
      <c r="G313">
        <v>190</v>
      </c>
      <c r="H313">
        <v>54228.49</v>
      </c>
      <c r="I313">
        <v>52846.82</v>
      </c>
      <c r="J313">
        <v>1</v>
      </c>
      <c r="K313" s="14" t="s">
        <v>15</v>
      </c>
      <c r="L313" s="14">
        <f>IF(OR(Table1[[#This Row],[Order_Status]]="Delivered",Table1[[#This Row],[Delivery_Date]]&lt;&gt;"Not Yet Delivered"),Table1[[#This Row],[Delivery_Date]]-Table1[[#This Row],[Order_Date]],"Not Applicable")</f>
        <v>11</v>
      </c>
      <c r="M313" s="14">
        <f>Table1[[#This Row],[Unit_Cost]]-Table1[[#This Row],[Negotiated_Cost]]</f>
        <v>1381.6699999999983</v>
      </c>
      <c r="N313" s="18">
        <f>Table1[[#This Row],[Defective_Units]]/Table1[[#This Row],[Quantity]]</f>
        <v>5.263157894736842E-3</v>
      </c>
      <c r="O313" s="26">
        <f>(Table1[[#This Row],[Unit_Cost]]-Table1[[#This Row],[Negotiated_Cost]])/Table1[[#This Row],[Unit_Cost]]</f>
        <v>2.547867366397254E-2</v>
      </c>
    </row>
    <row r="314" spans="1:15" x14ac:dyDescent="0.25">
      <c r="A314" t="s">
        <v>349</v>
      </c>
      <c r="B314" t="s">
        <v>20</v>
      </c>
      <c r="C314" s="14" t="s">
        <v>36</v>
      </c>
      <c r="D314" s="1">
        <v>44959</v>
      </c>
      <c r="E314" s="13">
        <v>44972</v>
      </c>
      <c r="F314" s="14" t="s">
        <v>14</v>
      </c>
      <c r="G314">
        <v>59</v>
      </c>
      <c r="H314">
        <v>529.14</v>
      </c>
      <c r="I314">
        <v>508.44</v>
      </c>
      <c r="J314">
        <v>0</v>
      </c>
      <c r="K314" s="14" t="s">
        <v>25</v>
      </c>
      <c r="L314" s="14">
        <f>IF(OR(Table1[[#This Row],[Order_Status]]="Delivered",Table1[[#This Row],[Delivery_Date]]&lt;&gt;"Not Yet Delivered"),Table1[[#This Row],[Delivery_Date]]-Table1[[#This Row],[Order_Date]],"Not Applicable")</f>
        <v>13</v>
      </c>
      <c r="M314" s="14">
        <f>Table1[[#This Row],[Unit_Cost]]-Table1[[#This Row],[Negotiated_Cost]]</f>
        <v>20.699999999999989</v>
      </c>
      <c r="N314" s="18">
        <f>Table1[[#This Row],[Defective_Units]]/Table1[[#This Row],[Quantity]]</f>
        <v>0</v>
      </c>
      <c r="O314" s="26">
        <f>(Table1[[#This Row],[Unit_Cost]]-Table1[[#This Row],[Negotiated_Cost]])/Table1[[#This Row],[Unit_Cost]]</f>
        <v>3.9120081641909492E-2</v>
      </c>
    </row>
    <row r="315" spans="1:15" x14ac:dyDescent="0.25">
      <c r="A315" t="s">
        <v>350</v>
      </c>
      <c r="B315" t="s">
        <v>20</v>
      </c>
      <c r="C315" s="14" t="s">
        <v>24</v>
      </c>
      <c r="D315" s="1">
        <v>45086</v>
      </c>
      <c r="E315" s="13">
        <v>45111</v>
      </c>
      <c r="F315" s="14" t="s">
        <v>14</v>
      </c>
      <c r="G315">
        <v>335</v>
      </c>
      <c r="H315">
        <v>12474.86</v>
      </c>
      <c r="I315">
        <v>12180.06</v>
      </c>
      <c r="J315">
        <v>2</v>
      </c>
      <c r="K315" s="14" t="s">
        <v>15</v>
      </c>
      <c r="L315" s="14">
        <f>IF(OR(Table1[[#This Row],[Order_Status]]="Delivered",Table1[[#This Row],[Delivery_Date]]&lt;&gt;"Not Yet Delivered"),Table1[[#This Row],[Delivery_Date]]-Table1[[#This Row],[Order_Date]],"Not Applicable")</f>
        <v>25</v>
      </c>
      <c r="M315" s="14">
        <f>Table1[[#This Row],[Unit_Cost]]-Table1[[#This Row],[Negotiated_Cost]]</f>
        <v>294.80000000000109</v>
      </c>
      <c r="N315" s="18">
        <f>Table1[[#This Row],[Defective_Units]]/Table1[[#This Row],[Quantity]]</f>
        <v>5.9701492537313433E-3</v>
      </c>
      <c r="O315" s="26">
        <f>(Table1[[#This Row],[Unit_Cost]]-Table1[[#This Row],[Negotiated_Cost]])/Table1[[#This Row],[Unit_Cost]]</f>
        <v>2.3631527728567782E-2</v>
      </c>
    </row>
    <row r="316" spans="1:15" x14ac:dyDescent="0.25">
      <c r="A316" t="s">
        <v>351</v>
      </c>
      <c r="B316" t="s">
        <v>46</v>
      </c>
      <c r="C316" s="14" t="s">
        <v>48</v>
      </c>
      <c r="D316" s="1">
        <v>45536</v>
      </c>
      <c r="E316" s="13">
        <v>45560</v>
      </c>
      <c r="F316" s="14" t="s">
        <v>14</v>
      </c>
      <c r="G316">
        <v>230</v>
      </c>
      <c r="H316">
        <v>6422.7</v>
      </c>
      <c r="I316">
        <v>6325.37</v>
      </c>
      <c r="J316">
        <v>7</v>
      </c>
      <c r="K316" s="14" t="s">
        <v>15</v>
      </c>
      <c r="L316" s="14">
        <f>IF(OR(Table1[[#This Row],[Order_Status]]="Delivered",Table1[[#This Row],[Delivery_Date]]&lt;&gt;"Not Yet Delivered"),Table1[[#This Row],[Delivery_Date]]-Table1[[#This Row],[Order_Date]],"Not Applicable")</f>
        <v>24</v>
      </c>
      <c r="M316" s="14">
        <f>Table1[[#This Row],[Unit_Cost]]-Table1[[#This Row],[Negotiated_Cost]]</f>
        <v>97.329999999999927</v>
      </c>
      <c r="N316" s="18">
        <f>Table1[[#This Row],[Defective_Units]]/Table1[[#This Row],[Quantity]]</f>
        <v>3.0434782608695653E-2</v>
      </c>
      <c r="O316" s="26">
        <f>(Table1[[#This Row],[Unit_Cost]]-Table1[[#This Row],[Negotiated_Cost]])/Table1[[#This Row],[Unit_Cost]]</f>
        <v>1.5154062933034384E-2</v>
      </c>
    </row>
    <row r="317" spans="1:15" x14ac:dyDescent="0.25">
      <c r="A317" t="s">
        <v>352</v>
      </c>
      <c r="B317" t="s">
        <v>35</v>
      </c>
      <c r="C317" s="14" t="s">
        <v>18</v>
      </c>
      <c r="D317" s="1">
        <v>45360</v>
      </c>
      <c r="E317" s="13">
        <v>45370</v>
      </c>
      <c r="F317" s="14" t="s">
        <v>14</v>
      </c>
      <c r="G317">
        <v>335</v>
      </c>
      <c r="H317">
        <v>5488.77</v>
      </c>
      <c r="I317">
        <v>5184.34</v>
      </c>
      <c r="J317">
        <v>5</v>
      </c>
      <c r="K317" s="14" t="s">
        <v>15</v>
      </c>
      <c r="L317" s="14">
        <f>IF(OR(Table1[[#This Row],[Order_Status]]="Delivered",Table1[[#This Row],[Delivery_Date]]&lt;&gt;"Not Yet Delivered"),Table1[[#This Row],[Delivery_Date]]-Table1[[#This Row],[Order_Date]],"Not Applicable")</f>
        <v>10</v>
      </c>
      <c r="M317" s="14">
        <f>Table1[[#This Row],[Unit_Cost]]-Table1[[#This Row],[Negotiated_Cost]]</f>
        <v>304.43000000000029</v>
      </c>
      <c r="N317" s="18">
        <f>Table1[[#This Row],[Defective_Units]]/Table1[[#This Row],[Quantity]]</f>
        <v>1.4925373134328358E-2</v>
      </c>
      <c r="O317" s="26">
        <f>(Table1[[#This Row],[Unit_Cost]]-Table1[[#This Row],[Negotiated_Cost]])/Table1[[#This Row],[Unit_Cost]]</f>
        <v>5.5464156814732678E-2</v>
      </c>
    </row>
    <row r="318" spans="1:15" x14ac:dyDescent="0.25">
      <c r="A318" t="s">
        <v>353</v>
      </c>
      <c r="B318" t="s">
        <v>27</v>
      </c>
      <c r="C318" s="14" t="s">
        <v>48</v>
      </c>
      <c r="D318" s="1">
        <v>45433</v>
      </c>
      <c r="E318" s="13">
        <v>45442</v>
      </c>
      <c r="F318" s="14" t="s">
        <v>14</v>
      </c>
      <c r="G318">
        <v>305</v>
      </c>
      <c r="H318">
        <v>6451.97</v>
      </c>
      <c r="I318">
        <v>6444.87</v>
      </c>
      <c r="J318">
        <v>3</v>
      </c>
      <c r="K318" s="14" t="s">
        <v>15</v>
      </c>
      <c r="L318" s="14">
        <f>IF(OR(Table1[[#This Row],[Order_Status]]="Delivered",Table1[[#This Row],[Delivery_Date]]&lt;&gt;"Not Yet Delivered"),Table1[[#This Row],[Delivery_Date]]-Table1[[#This Row],[Order_Date]],"Not Applicable")</f>
        <v>9</v>
      </c>
      <c r="M318" s="14">
        <f>Table1[[#This Row],[Unit_Cost]]-Table1[[#This Row],[Negotiated_Cost]]</f>
        <v>7.1000000000003638</v>
      </c>
      <c r="N318" s="18">
        <f>Table1[[#This Row],[Defective_Units]]/Table1[[#This Row],[Quantity]]</f>
        <v>9.8360655737704927E-3</v>
      </c>
      <c r="O318" s="26">
        <f>(Table1[[#This Row],[Unit_Cost]]-Table1[[#This Row],[Negotiated_Cost]])/Table1[[#This Row],[Unit_Cost]]</f>
        <v>1.1004390906963863E-3</v>
      </c>
    </row>
    <row r="319" spans="1:15" x14ac:dyDescent="0.25">
      <c r="A319" t="s">
        <v>354</v>
      </c>
      <c r="B319" t="s">
        <v>40</v>
      </c>
      <c r="C319" s="14" t="s">
        <v>50</v>
      </c>
      <c r="D319" s="1">
        <v>45490</v>
      </c>
      <c r="E319" s="13">
        <v>45506</v>
      </c>
      <c r="F319" s="14" t="s">
        <v>14</v>
      </c>
      <c r="G319">
        <v>106</v>
      </c>
      <c r="H319">
        <v>54748.17</v>
      </c>
      <c r="I319">
        <v>53007.14</v>
      </c>
      <c r="J319">
        <v>2</v>
      </c>
      <c r="K319" s="14" t="s">
        <v>25</v>
      </c>
      <c r="L319" s="14">
        <f>IF(OR(Table1[[#This Row],[Order_Status]]="Delivered",Table1[[#This Row],[Delivery_Date]]&lt;&gt;"Not Yet Delivered"),Table1[[#This Row],[Delivery_Date]]-Table1[[#This Row],[Order_Date]],"Not Applicable")</f>
        <v>16</v>
      </c>
      <c r="M319" s="14">
        <f>Table1[[#This Row],[Unit_Cost]]-Table1[[#This Row],[Negotiated_Cost]]</f>
        <v>1741.0299999999988</v>
      </c>
      <c r="N319" s="18">
        <f>Table1[[#This Row],[Defective_Units]]/Table1[[#This Row],[Quantity]]</f>
        <v>1.8867924528301886E-2</v>
      </c>
      <c r="O319" s="26">
        <f>(Table1[[#This Row],[Unit_Cost]]-Table1[[#This Row],[Negotiated_Cost]])/Table1[[#This Row],[Unit_Cost]]</f>
        <v>3.1800697630623979E-2</v>
      </c>
    </row>
    <row r="320" spans="1:15" x14ac:dyDescent="0.25">
      <c r="A320" t="s">
        <v>355</v>
      </c>
      <c r="B320" t="s">
        <v>12</v>
      </c>
      <c r="C320" s="14" t="s">
        <v>30</v>
      </c>
      <c r="D320" s="1">
        <v>45287</v>
      </c>
      <c r="E320" s="13">
        <v>45294</v>
      </c>
      <c r="F320" s="14" t="s">
        <v>14</v>
      </c>
      <c r="G320">
        <v>463</v>
      </c>
      <c r="H320">
        <v>893.35</v>
      </c>
      <c r="I320">
        <v>862.03</v>
      </c>
      <c r="J320">
        <v>2</v>
      </c>
      <c r="K320" s="14" t="s">
        <v>15</v>
      </c>
      <c r="L320" s="14">
        <f>IF(OR(Table1[[#This Row],[Order_Status]]="Delivered",Table1[[#This Row],[Delivery_Date]]&lt;&gt;"Not Yet Delivered"),Table1[[#This Row],[Delivery_Date]]-Table1[[#This Row],[Order_Date]],"Not Applicable")</f>
        <v>7</v>
      </c>
      <c r="M320" s="14">
        <f>Table1[[#This Row],[Unit_Cost]]-Table1[[#This Row],[Negotiated_Cost]]</f>
        <v>31.32000000000005</v>
      </c>
      <c r="N320" s="18">
        <f>Table1[[#This Row],[Defective_Units]]/Table1[[#This Row],[Quantity]]</f>
        <v>4.3196544276457886E-3</v>
      </c>
      <c r="O320" s="26">
        <f>(Table1[[#This Row],[Unit_Cost]]-Table1[[#This Row],[Negotiated_Cost]])/Table1[[#This Row],[Unit_Cost]]</f>
        <v>3.5059047405832038E-2</v>
      </c>
    </row>
    <row r="321" spans="1:15" x14ac:dyDescent="0.25">
      <c r="A321" t="s">
        <v>356</v>
      </c>
      <c r="B321" t="s">
        <v>32</v>
      </c>
      <c r="C321" s="14" t="s">
        <v>36</v>
      </c>
      <c r="D321" s="1">
        <v>45220</v>
      </c>
      <c r="E321" s="13">
        <v>45231</v>
      </c>
      <c r="F321" s="14" t="s">
        <v>14</v>
      </c>
      <c r="G321">
        <v>66</v>
      </c>
      <c r="H321">
        <v>524.64</v>
      </c>
      <c r="I321">
        <v>507.63</v>
      </c>
      <c r="J321">
        <v>1</v>
      </c>
      <c r="K321" s="14" t="s">
        <v>15</v>
      </c>
      <c r="L321" s="14">
        <f>IF(OR(Table1[[#This Row],[Order_Status]]="Delivered",Table1[[#This Row],[Delivery_Date]]&lt;&gt;"Not Yet Delivered"),Table1[[#This Row],[Delivery_Date]]-Table1[[#This Row],[Order_Date]],"Not Applicable")</f>
        <v>11</v>
      </c>
      <c r="M321" s="14">
        <f>Table1[[#This Row],[Unit_Cost]]-Table1[[#This Row],[Negotiated_Cost]]</f>
        <v>17.009999999999991</v>
      </c>
      <c r="N321" s="18">
        <f>Table1[[#This Row],[Defective_Units]]/Table1[[#This Row],[Quantity]]</f>
        <v>1.5151515151515152E-2</v>
      </c>
      <c r="O321" s="26">
        <f>(Table1[[#This Row],[Unit_Cost]]-Table1[[#This Row],[Negotiated_Cost]])/Table1[[#This Row],[Unit_Cost]]</f>
        <v>3.2422232387923133E-2</v>
      </c>
    </row>
    <row r="322" spans="1:15" x14ac:dyDescent="0.25">
      <c r="A322" t="s">
        <v>357</v>
      </c>
      <c r="B322" t="s">
        <v>12</v>
      </c>
      <c r="C322" s="14" t="s">
        <v>18</v>
      </c>
      <c r="D322" s="1">
        <v>45419</v>
      </c>
      <c r="E322" s="13">
        <v>45431</v>
      </c>
      <c r="F322" s="14" t="s">
        <v>37</v>
      </c>
      <c r="G322">
        <v>239</v>
      </c>
      <c r="H322">
        <v>5574.23</v>
      </c>
      <c r="I322">
        <v>5285.6</v>
      </c>
      <c r="J322">
        <v>3</v>
      </c>
      <c r="K322" s="14" t="s">
        <v>25</v>
      </c>
      <c r="L322" s="14">
        <f>IF(OR(Table1[[#This Row],[Order_Status]]="Delivered",Table1[[#This Row],[Delivery_Date]]&lt;&gt;"Not Yet Delivered"),Table1[[#This Row],[Delivery_Date]]-Table1[[#This Row],[Order_Date]],"Not Applicable")</f>
        <v>12</v>
      </c>
      <c r="M322" s="14">
        <f>Table1[[#This Row],[Unit_Cost]]-Table1[[#This Row],[Negotiated_Cost]]</f>
        <v>288.6299999999992</v>
      </c>
      <c r="N322" s="18">
        <f>Table1[[#This Row],[Defective_Units]]/Table1[[#This Row],[Quantity]]</f>
        <v>1.2552301255230125E-2</v>
      </c>
      <c r="O322" s="26">
        <f>(Table1[[#This Row],[Unit_Cost]]-Table1[[#This Row],[Negotiated_Cost]])/Table1[[#This Row],[Unit_Cost]]</f>
        <v>5.1779348896618768E-2</v>
      </c>
    </row>
    <row r="323" spans="1:15" x14ac:dyDescent="0.25">
      <c r="A323" t="s">
        <v>358</v>
      </c>
      <c r="B323" t="s">
        <v>17</v>
      </c>
      <c r="C323" s="14" t="s">
        <v>30</v>
      </c>
      <c r="D323" s="1">
        <v>45178</v>
      </c>
      <c r="E323" s="13">
        <v>45204</v>
      </c>
      <c r="F323" s="14" t="s">
        <v>14</v>
      </c>
      <c r="G323">
        <v>52</v>
      </c>
      <c r="H323">
        <v>836.53</v>
      </c>
      <c r="I323">
        <v>834.17</v>
      </c>
      <c r="J323">
        <v>2</v>
      </c>
      <c r="K323" s="14" t="s">
        <v>15</v>
      </c>
      <c r="L323" s="14">
        <f>IF(OR(Table1[[#This Row],[Order_Status]]="Delivered",Table1[[#This Row],[Delivery_Date]]&lt;&gt;"Not Yet Delivered"),Table1[[#This Row],[Delivery_Date]]-Table1[[#This Row],[Order_Date]],"Not Applicable")</f>
        <v>26</v>
      </c>
      <c r="M323" s="14">
        <f>Table1[[#This Row],[Unit_Cost]]-Table1[[#This Row],[Negotiated_Cost]]</f>
        <v>2.3600000000000136</v>
      </c>
      <c r="N323" s="18">
        <f>Table1[[#This Row],[Defective_Units]]/Table1[[#This Row],[Quantity]]</f>
        <v>3.8461538461538464E-2</v>
      </c>
      <c r="O323" s="26">
        <f>(Table1[[#This Row],[Unit_Cost]]-Table1[[#This Row],[Negotiated_Cost]])/Table1[[#This Row],[Unit_Cost]]</f>
        <v>2.8211779613403149E-3</v>
      </c>
    </row>
    <row r="324" spans="1:15" x14ac:dyDescent="0.25">
      <c r="A324" t="s">
        <v>359</v>
      </c>
      <c r="B324" t="s">
        <v>32</v>
      </c>
      <c r="C324" s="14" t="s">
        <v>55</v>
      </c>
      <c r="D324" s="1">
        <v>45080</v>
      </c>
      <c r="E324" s="13">
        <v>45108</v>
      </c>
      <c r="F324" s="14" t="s">
        <v>14</v>
      </c>
      <c r="G324">
        <v>394</v>
      </c>
      <c r="H324">
        <v>12843.92</v>
      </c>
      <c r="I324">
        <v>12684.09</v>
      </c>
      <c r="J324">
        <v>5</v>
      </c>
      <c r="K324" s="14" t="s">
        <v>25</v>
      </c>
      <c r="L324" s="14">
        <f>IF(OR(Table1[[#This Row],[Order_Status]]="Delivered",Table1[[#This Row],[Delivery_Date]]&lt;&gt;"Not Yet Delivered"),Table1[[#This Row],[Delivery_Date]]-Table1[[#This Row],[Order_Date]],"Not Applicable")</f>
        <v>28</v>
      </c>
      <c r="M324" s="14">
        <f>Table1[[#This Row],[Unit_Cost]]-Table1[[#This Row],[Negotiated_Cost]]</f>
        <v>159.82999999999993</v>
      </c>
      <c r="N324" s="18">
        <f>Table1[[#This Row],[Defective_Units]]/Table1[[#This Row],[Quantity]]</f>
        <v>1.2690355329949238E-2</v>
      </c>
      <c r="O324" s="26">
        <f>(Table1[[#This Row],[Unit_Cost]]-Table1[[#This Row],[Negotiated_Cost]])/Table1[[#This Row],[Unit_Cost]]</f>
        <v>1.2444020205669291E-2</v>
      </c>
    </row>
    <row r="325" spans="1:15" x14ac:dyDescent="0.25">
      <c r="A325" t="s">
        <v>360</v>
      </c>
      <c r="B325" t="s">
        <v>40</v>
      </c>
      <c r="C325" s="14" t="s">
        <v>28</v>
      </c>
      <c r="D325" s="1">
        <v>45446</v>
      </c>
      <c r="E325" s="13">
        <v>45451</v>
      </c>
      <c r="F325" s="14" t="s">
        <v>14</v>
      </c>
      <c r="G325">
        <v>145</v>
      </c>
      <c r="H325">
        <v>54043.54</v>
      </c>
      <c r="I325">
        <v>53307.76</v>
      </c>
      <c r="J325">
        <v>2</v>
      </c>
      <c r="K325" s="14" t="s">
        <v>15</v>
      </c>
      <c r="L325" s="14">
        <f>IF(OR(Table1[[#This Row],[Order_Status]]="Delivered",Table1[[#This Row],[Delivery_Date]]&lt;&gt;"Not Yet Delivered"),Table1[[#This Row],[Delivery_Date]]-Table1[[#This Row],[Order_Date]],"Not Applicable")</f>
        <v>5</v>
      </c>
      <c r="M325" s="14">
        <f>Table1[[#This Row],[Unit_Cost]]-Table1[[#This Row],[Negotiated_Cost]]</f>
        <v>735.77999999999884</v>
      </c>
      <c r="N325" s="18">
        <f>Table1[[#This Row],[Defective_Units]]/Table1[[#This Row],[Quantity]]</f>
        <v>1.3793103448275862E-2</v>
      </c>
      <c r="O325" s="26">
        <f>(Table1[[#This Row],[Unit_Cost]]-Table1[[#This Row],[Negotiated_Cost]])/Table1[[#This Row],[Unit_Cost]]</f>
        <v>1.3614578171600136E-2</v>
      </c>
    </row>
    <row r="326" spans="1:15" x14ac:dyDescent="0.25">
      <c r="A326" t="s">
        <v>361</v>
      </c>
      <c r="B326" t="s">
        <v>27</v>
      </c>
      <c r="C326" s="14" t="s">
        <v>18</v>
      </c>
      <c r="D326" s="1">
        <v>45019</v>
      </c>
      <c r="E326" s="13">
        <v>45024</v>
      </c>
      <c r="F326" s="14" t="s">
        <v>14</v>
      </c>
      <c r="G326">
        <v>90</v>
      </c>
      <c r="H326">
        <v>5369.6</v>
      </c>
      <c r="I326">
        <v>5316.57</v>
      </c>
      <c r="J326">
        <v>1</v>
      </c>
      <c r="K326" s="14" t="s">
        <v>15</v>
      </c>
      <c r="L326" s="14">
        <f>IF(OR(Table1[[#This Row],[Order_Status]]="Delivered",Table1[[#This Row],[Delivery_Date]]&lt;&gt;"Not Yet Delivered"),Table1[[#This Row],[Delivery_Date]]-Table1[[#This Row],[Order_Date]],"Not Applicable")</f>
        <v>5</v>
      </c>
      <c r="M326" s="14">
        <f>Table1[[#This Row],[Unit_Cost]]-Table1[[#This Row],[Negotiated_Cost]]</f>
        <v>53.030000000000655</v>
      </c>
      <c r="N326" s="18">
        <f>Table1[[#This Row],[Defective_Units]]/Table1[[#This Row],[Quantity]]</f>
        <v>1.1111111111111112E-2</v>
      </c>
      <c r="O326" s="26">
        <f>(Table1[[#This Row],[Unit_Cost]]-Table1[[#This Row],[Negotiated_Cost]])/Table1[[#This Row],[Unit_Cost]]</f>
        <v>9.875968414779621E-3</v>
      </c>
    </row>
    <row r="327" spans="1:15" x14ac:dyDescent="0.25">
      <c r="A327" t="s">
        <v>362</v>
      </c>
      <c r="B327" t="s">
        <v>27</v>
      </c>
      <c r="C327" s="14" t="s">
        <v>18</v>
      </c>
      <c r="D327" s="1">
        <v>45248</v>
      </c>
      <c r="E327" s="13">
        <v>45254</v>
      </c>
      <c r="F327" s="14" t="s">
        <v>14</v>
      </c>
      <c r="G327">
        <v>59</v>
      </c>
      <c r="H327">
        <v>5449.67</v>
      </c>
      <c r="I327">
        <v>5153.88</v>
      </c>
      <c r="J327">
        <v>1</v>
      </c>
      <c r="K327" s="14" t="s">
        <v>15</v>
      </c>
      <c r="L327" s="14">
        <f>IF(OR(Table1[[#This Row],[Order_Status]]="Delivered",Table1[[#This Row],[Delivery_Date]]&lt;&gt;"Not Yet Delivered"),Table1[[#This Row],[Delivery_Date]]-Table1[[#This Row],[Order_Date]],"Not Applicable")</f>
        <v>6</v>
      </c>
      <c r="M327" s="14">
        <f>Table1[[#This Row],[Unit_Cost]]-Table1[[#This Row],[Negotiated_Cost]]</f>
        <v>295.78999999999996</v>
      </c>
      <c r="N327" s="18">
        <f>Table1[[#This Row],[Defective_Units]]/Table1[[#This Row],[Quantity]]</f>
        <v>1.6949152542372881E-2</v>
      </c>
      <c r="O327" s="26">
        <f>(Table1[[#This Row],[Unit_Cost]]-Table1[[#This Row],[Negotiated_Cost]])/Table1[[#This Row],[Unit_Cost]]</f>
        <v>5.427668097334333E-2</v>
      </c>
    </row>
    <row r="328" spans="1:15" x14ac:dyDescent="0.25">
      <c r="A328" t="s">
        <v>363</v>
      </c>
      <c r="B328" t="s">
        <v>20</v>
      </c>
      <c r="C328" s="14" t="s">
        <v>30</v>
      </c>
      <c r="D328" s="1">
        <v>45364</v>
      </c>
      <c r="E328" s="13">
        <v>45366</v>
      </c>
      <c r="F328" s="14" t="s">
        <v>14</v>
      </c>
      <c r="G328">
        <v>252</v>
      </c>
      <c r="H328">
        <v>914.81</v>
      </c>
      <c r="I328">
        <v>912.33</v>
      </c>
      <c r="J328">
        <v>3</v>
      </c>
      <c r="K328" s="14" t="s">
        <v>15</v>
      </c>
      <c r="L328" s="14">
        <f>IF(OR(Table1[[#This Row],[Order_Status]]="Delivered",Table1[[#This Row],[Delivery_Date]]&lt;&gt;"Not Yet Delivered"),Table1[[#This Row],[Delivery_Date]]-Table1[[#This Row],[Order_Date]],"Not Applicable")</f>
        <v>2</v>
      </c>
      <c r="M328" s="14">
        <f>Table1[[#This Row],[Unit_Cost]]-Table1[[#This Row],[Negotiated_Cost]]</f>
        <v>2.4799999999999045</v>
      </c>
      <c r="N328" s="18">
        <f>Table1[[#This Row],[Defective_Units]]/Table1[[#This Row],[Quantity]]</f>
        <v>1.1904761904761904E-2</v>
      </c>
      <c r="O328" s="26">
        <f>(Table1[[#This Row],[Unit_Cost]]-Table1[[#This Row],[Negotiated_Cost]])/Table1[[#This Row],[Unit_Cost]]</f>
        <v>2.7109454422228709E-3</v>
      </c>
    </row>
    <row r="329" spans="1:15" x14ac:dyDescent="0.25">
      <c r="A329" t="s">
        <v>364</v>
      </c>
      <c r="B329" t="s">
        <v>32</v>
      </c>
      <c r="C329" s="14" t="s">
        <v>36</v>
      </c>
      <c r="D329" s="1">
        <v>45601</v>
      </c>
      <c r="E329" s="13">
        <v>45616</v>
      </c>
      <c r="F329" s="14" t="s">
        <v>14</v>
      </c>
      <c r="G329">
        <v>103</v>
      </c>
      <c r="H329">
        <v>533.38</v>
      </c>
      <c r="I329">
        <v>519.85</v>
      </c>
      <c r="J329">
        <v>1</v>
      </c>
      <c r="K329" s="14" t="s">
        <v>15</v>
      </c>
      <c r="L329" s="14">
        <f>IF(OR(Table1[[#This Row],[Order_Status]]="Delivered",Table1[[#This Row],[Delivery_Date]]&lt;&gt;"Not Yet Delivered"),Table1[[#This Row],[Delivery_Date]]-Table1[[#This Row],[Order_Date]],"Not Applicable")</f>
        <v>15</v>
      </c>
      <c r="M329" s="14">
        <f>Table1[[#This Row],[Unit_Cost]]-Table1[[#This Row],[Negotiated_Cost]]</f>
        <v>13.529999999999973</v>
      </c>
      <c r="N329" s="18">
        <f>Table1[[#This Row],[Defective_Units]]/Table1[[#This Row],[Quantity]]</f>
        <v>9.7087378640776691E-3</v>
      </c>
      <c r="O329" s="26">
        <f>(Table1[[#This Row],[Unit_Cost]]-Table1[[#This Row],[Negotiated_Cost]])/Table1[[#This Row],[Unit_Cost]]</f>
        <v>2.5366530428587448E-2</v>
      </c>
    </row>
    <row r="330" spans="1:15" x14ac:dyDescent="0.25">
      <c r="A330" t="s">
        <v>365</v>
      </c>
      <c r="B330" t="s">
        <v>12</v>
      </c>
      <c r="C330" s="14" t="s">
        <v>28</v>
      </c>
      <c r="D330" s="1">
        <v>45040</v>
      </c>
      <c r="E330" s="13">
        <v>45061</v>
      </c>
      <c r="F330" s="14" t="s">
        <v>14</v>
      </c>
      <c r="G330">
        <v>261</v>
      </c>
      <c r="H330">
        <v>48534.75</v>
      </c>
      <c r="I330">
        <v>48296.66</v>
      </c>
      <c r="J330">
        <v>6</v>
      </c>
      <c r="K330" s="14" t="s">
        <v>15</v>
      </c>
      <c r="L330" s="14">
        <f>IF(OR(Table1[[#This Row],[Order_Status]]="Delivered",Table1[[#This Row],[Delivery_Date]]&lt;&gt;"Not Yet Delivered"),Table1[[#This Row],[Delivery_Date]]-Table1[[#This Row],[Order_Date]],"Not Applicable")</f>
        <v>21</v>
      </c>
      <c r="M330" s="14">
        <f>Table1[[#This Row],[Unit_Cost]]-Table1[[#This Row],[Negotiated_Cost]]</f>
        <v>238.08999999999651</v>
      </c>
      <c r="N330" s="18">
        <f>Table1[[#This Row],[Defective_Units]]/Table1[[#This Row],[Quantity]]</f>
        <v>2.2988505747126436E-2</v>
      </c>
      <c r="O330" s="26">
        <f>(Table1[[#This Row],[Unit_Cost]]-Table1[[#This Row],[Negotiated_Cost]])/Table1[[#This Row],[Unit_Cost]]</f>
        <v>4.9055573583874747E-3</v>
      </c>
    </row>
    <row r="331" spans="1:15" x14ac:dyDescent="0.25">
      <c r="A331" t="s">
        <v>366</v>
      </c>
      <c r="B331" t="s">
        <v>20</v>
      </c>
      <c r="C331" s="14" t="s">
        <v>50</v>
      </c>
      <c r="D331" s="1">
        <v>45204</v>
      </c>
      <c r="E331" s="13">
        <v>45209</v>
      </c>
      <c r="F331" s="14" t="s">
        <v>14</v>
      </c>
      <c r="G331">
        <v>358</v>
      </c>
      <c r="H331">
        <v>50995.58</v>
      </c>
      <c r="I331">
        <v>48623.95</v>
      </c>
      <c r="J331">
        <v>4</v>
      </c>
      <c r="K331" s="14" t="s">
        <v>15</v>
      </c>
      <c r="L331" s="14">
        <f>IF(OR(Table1[[#This Row],[Order_Status]]="Delivered",Table1[[#This Row],[Delivery_Date]]&lt;&gt;"Not Yet Delivered"),Table1[[#This Row],[Delivery_Date]]-Table1[[#This Row],[Order_Date]],"Not Applicable")</f>
        <v>5</v>
      </c>
      <c r="M331" s="14">
        <f>Table1[[#This Row],[Unit_Cost]]-Table1[[#This Row],[Negotiated_Cost]]</f>
        <v>2371.6300000000047</v>
      </c>
      <c r="N331" s="18">
        <f>Table1[[#This Row],[Defective_Units]]/Table1[[#This Row],[Quantity]]</f>
        <v>1.11731843575419E-2</v>
      </c>
      <c r="O331" s="26">
        <f>(Table1[[#This Row],[Unit_Cost]]-Table1[[#This Row],[Negotiated_Cost]])/Table1[[#This Row],[Unit_Cost]]</f>
        <v>4.6506579589839052E-2</v>
      </c>
    </row>
    <row r="332" spans="1:15" x14ac:dyDescent="0.25">
      <c r="A332" t="s">
        <v>367</v>
      </c>
      <c r="B332" t="s">
        <v>17</v>
      </c>
      <c r="C332" s="14" t="s">
        <v>44</v>
      </c>
      <c r="D332" s="1">
        <v>45329</v>
      </c>
      <c r="E332" s="14" t="s">
        <v>2057</v>
      </c>
      <c r="F332" s="14" t="s">
        <v>33</v>
      </c>
      <c r="G332">
        <v>113</v>
      </c>
      <c r="H332">
        <v>7849.1</v>
      </c>
      <c r="I332">
        <v>7799.22</v>
      </c>
      <c r="J332">
        <v>2</v>
      </c>
      <c r="K332" s="14" t="s">
        <v>15</v>
      </c>
      <c r="L332" s="14" t="str">
        <f>IF(OR(Table1[[#This Row],[Order_Status]]="Delivered",Table1[[#This Row],[Delivery_Date]]&lt;&gt;"Not Yet Delivered"),Table1[[#This Row],[Delivery_Date]]-Table1[[#This Row],[Order_Date]],"Not Applicable")</f>
        <v>Not Applicable</v>
      </c>
      <c r="M332" s="14">
        <f>Table1[[#This Row],[Unit_Cost]]-Table1[[#This Row],[Negotiated_Cost]]</f>
        <v>49.880000000000109</v>
      </c>
      <c r="N332" s="18">
        <f>Table1[[#This Row],[Defective_Units]]/Table1[[#This Row],[Quantity]]</f>
        <v>1.7699115044247787E-2</v>
      </c>
      <c r="O332" s="26">
        <f>(Table1[[#This Row],[Unit_Cost]]-Table1[[#This Row],[Negotiated_Cost]])/Table1[[#This Row],[Unit_Cost]]</f>
        <v>6.3548687110624282E-3</v>
      </c>
    </row>
    <row r="333" spans="1:15" x14ac:dyDescent="0.25">
      <c r="A333" t="s">
        <v>368</v>
      </c>
      <c r="B333" t="s">
        <v>40</v>
      </c>
      <c r="C333" s="14" t="s">
        <v>30</v>
      </c>
      <c r="D333" s="1">
        <v>45010</v>
      </c>
      <c r="E333" s="13">
        <v>45019</v>
      </c>
      <c r="F333" s="14" t="s">
        <v>14</v>
      </c>
      <c r="G333">
        <v>403</v>
      </c>
      <c r="H333">
        <v>977.19</v>
      </c>
      <c r="I333">
        <v>930.55</v>
      </c>
      <c r="J333">
        <v>5</v>
      </c>
      <c r="K333" s="14" t="s">
        <v>15</v>
      </c>
      <c r="L333" s="14">
        <f>IF(OR(Table1[[#This Row],[Order_Status]]="Delivered",Table1[[#This Row],[Delivery_Date]]&lt;&gt;"Not Yet Delivered"),Table1[[#This Row],[Delivery_Date]]-Table1[[#This Row],[Order_Date]],"Not Applicable")</f>
        <v>9</v>
      </c>
      <c r="M333" s="14">
        <f>Table1[[#This Row],[Unit_Cost]]-Table1[[#This Row],[Negotiated_Cost]]</f>
        <v>46.6400000000001</v>
      </c>
      <c r="N333" s="18">
        <f>Table1[[#This Row],[Defective_Units]]/Table1[[#This Row],[Quantity]]</f>
        <v>1.2406947890818859E-2</v>
      </c>
      <c r="O333" s="26">
        <f>(Table1[[#This Row],[Unit_Cost]]-Table1[[#This Row],[Negotiated_Cost]])/Table1[[#This Row],[Unit_Cost]]</f>
        <v>4.7728691452020688E-2</v>
      </c>
    </row>
    <row r="334" spans="1:15" x14ac:dyDescent="0.25">
      <c r="A334" t="s">
        <v>369</v>
      </c>
      <c r="B334" t="s">
        <v>17</v>
      </c>
      <c r="C334" s="14" t="s">
        <v>48</v>
      </c>
      <c r="D334" s="1">
        <v>45197</v>
      </c>
      <c r="E334" s="13">
        <v>45222</v>
      </c>
      <c r="F334" s="14" t="s">
        <v>37</v>
      </c>
      <c r="G334">
        <v>487</v>
      </c>
      <c r="H334">
        <v>6115.07</v>
      </c>
      <c r="I334">
        <v>5898.38</v>
      </c>
      <c r="J334">
        <v>1</v>
      </c>
      <c r="K334" s="14" t="s">
        <v>15</v>
      </c>
      <c r="L334" s="14">
        <f>IF(OR(Table1[[#This Row],[Order_Status]]="Delivered",Table1[[#This Row],[Delivery_Date]]&lt;&gt;"Not Yet Delivered"),Table1[[#This Row],[Delivery_Date]]-Table1[[#This Row],[Order_Date]],"Not Applicable")</f>
        <v>25</v>
      </c>
      <c r="M334" s="14">
        <f>Table1[[#This Row],[Unit_Cost]]-Table1[[#This Row],[Negotiated_Cost]]</f>
        <v>216.6899999999996</v>
      </c>
      <c r="N334" s="18">
        <f>Table1[[#This Row],[Defective_Units]]/Table1[[#This Row],[Quantity]]</f>
        <v>2.0533880903490761E-3</v>
      </c>
      <c r="O334" s="26">
        <f>(Table1[[#This Row],[Unit_Cost]]-Table1[[#This Row],[Negotiated_Cost]])/Table1[[#This Row],[Unit_Cost]]</f>
        <v>3.5435407934823249E-2</v>
      </c>
    </row>
    <row r="335" spans="1:15" x14ac:dyDescent="0.25">
      <c r="A335" t="s">
        <v>370</v>
      </c>
      <c r="B335" t="s">
        <v>27</v>
      </c>
      <c r="C335" s="14" t="s">
        <v>18</v>
      </c>
      <c r="D335" s="1">
        <v>44930</v>
      </c>
      <c r="E335" s="13">
        <v>44952</v>
      </c>
      <c r="F335" s="14" t="s">
        <v>14</v>
      </c>
      <c r="G335">
        <v>327</v>
      </c>
      <c r="H335">
        <v>5313.97</v>
      </c>
      <c r="I335">
        <v>5142.8500000000004</v>
      </c>
      <c r="J335">
        <v>0</v>
      </c>
      <c r="K335" s="14" t="s">
        <v>15</v>
      </c>
      <c r="L335" s="14">
        <f>IF(OR(Table1[[#This Row],[Order_Status]]="Delivered",Table1[[#This Row],[Delivery_Date]]&lt;&gt;"Not Yet Delivered"),Table1[[#This Row],[Delivery_Date]]-Table1[[#This Row],[Order_Date]],"Not Applicable")</f>
        <v>22</v>
      </c>
      <c r="M335" s="14">
        <f>Table1[[#This Row],[Unit_Cost]]-Table1[[#This Row],[Negotiated_Cost]]</f>
        <v>171.11999999999989</v>
      </c>
      <c r="N335" s="18">
        <f>Table1[[#This Row],[Defective_Units]]/Table1[[#This Row],[Quantity]]</f>
        <v>0</v>
      </c>
      <c r="O335" s="26">
        <f>(Table1[[#This Row],[Unit_Cost]]-Table1[[#This Row],[Negotiated_Cost]])/Table1[[#This Row],[Unit_Cost]]</f>
        <v>3.2201913070642081E-2</v>
      </c>
    </row>
    <row r="336" spans="1:15" x14ac:dyDescent="0.25">
      <c r="A336" t="s">
        <v>371</v>
      </c>
      <c r="B336" t="s">
        <v>20</v>
      </c>
      <c r="C336" s="14" t="s">
        <v>48</v>
      </c>
      <c r="D336" s="1">
        <v>45435</v>
      </c>
      <c r="E336" s="14" t="s">
        <v>2057</v>
      </c>
      <c r="F336" s="14" t="s">
        <v>22</v>
      </c>
      <c r="G336">
        <v>253</v>
      </c>
      <c r="H336">
        <v>5911.52</v>
      </c>
      <c r="I336">
        <v>5685.29</v>
      </c>
      <c r="J336">
        <v>2</v>
      </c>
      <c r="K336" s="14" t="s">
        <v>15</v>
      </c>
      <c r="L336" s="14" t="str">
        <f>IF(OR(Table1[[#This Row],[Order_Status]]="Delivered",Table1[[#This Row],[Delivery_Date]]&lt;&gt;"Not Yet Delivered"),Table1[[#This Row],[Delivery_Date]]-Table1[[#This Row],[Order_Date]],"Not Applicable")</f>
        <v>Not Applicable</v>
      </c>
      <c r="M336" s="14">
        <f>Table1[[#This Row],[Unit_Cost]]-Table1[[#This Row],[Negotiated_Cost]]</f>
        <v>226.23000000000047</v>
      </c>
      <c r="N336" s="18">
        <f>Table1[[#This Row],[Defective_Units]]/Table1[[#This Row],[Quantity]]</f>
        <v>7.9051383399209481E-3</v>
      </c>
      <c r="O336" s="26">
        <f>(Table1[[#This Row],[Unit_Cost]]-Table1[[#This Row],[Negotiated_Cost]])/Table1[[#This Row],[Unit_Cost]]</f>
        <v>3.8269345278371801E-2</v>
      </c>
    </row>
    <row r="337" spans="1:15" x14ac:dyDescent="0.25">
      <c r="A337" t="s">
        <v>372</v>
      </c>
      <c r="B337" t="s">
        <v>46</v>
      </c>
      <c r="C337" s="14" t="s">
        <v>55</v>
      </c>
      <c r="D337" s="1">
        <v>45243</v>
      </c>
      <c r="E337" s="13">
        <v>45259</v>
      </c>
      <c r="F337" s="14" t="s">
        <v>14</v>
      </c>
      <c r="G337">
        <v>216</v>
      </c>
      <c r="H337">
        <v>13890.62</v>
      </c>
      <c r="I337">
        <v>13058.41</v>
      </c>
      <c r="J337">
        <v>2</v>
      </c>
      <c r="K337" s="14" t="s">
        <v>15</v>
      </c>
      <c r="L337" s="14">
        <f>IF(OR(Table1[[#This Row],[Order_Status]]="Delivered",Table1[[#This Row],[Delivery_Date]]&lt;&gt;"Not Yet Delivered"),Table1[[#This Row],[Delivery_Date]]-Table1[[#This Row],[Order_Date]],"Not Applicable")</f>
        <v>16</v>
      </c>
      <c r="M337" s="14">
        <f>Table1[[#This Row],[Unit_Cost]]-Table1[[#This Row],[Negotiated_Cost]]</f>
        <v>832.21000000000095</v>
      </c>
      <c r="N337" s="18">
        <f>Table1[[#This Row],[Defective_Units]]/Table1[[#This Row],[Quantity]]</f>
        <v>9.2592592592592587E-3</v>
      </c>
      <c r="O337" s="26">
        <f>(Table1[[#This Row],[Unit_Cost]]-Table1[[#This Row],[Negotiated_Cost]])/Table1[[#This Row],[Unit_Cost]]</f>
        <v>5.991165261161855E-2</v>
      </c>
    </row>
    <row r="338" spans="1:15" x14ac:dyDescent="0.25">
      <c r="A338" t="s">
        <v>373</v>
      </c>
      <c r="B338" t="s">
        <v>46</v>
      </c>
      <c r="C338" s="14" t="s">
        <v>48</v>
      </c>
      <c r="D338" s="1">
        <v>45269</v>
      </c>
      <c r="E338" s="13">
        <v>45295</v>
      </c>
      <c r="F338" s="14" t="s">
        <v>14</v>
      </c>
      <c r="G338">
        <v>318</v>
      </c>
      <c r="H338">
        <v>6282.82</v>
      </c>
      <c r="I338">
        <v>6028.48</v>
      </c>
      <c r="J338">
        <v>0</v>
      </c>
      <c r="K338" s="14" t="s">
        <v>15</v>
      </c>
      <c r="L338" s="14">
        <f>IF(OR(Table1[[#This Row],[Order_Status]]="Delivered",Table1[[#This Row],[Delivery_Date]]&lt;&gt;"Not Yet Delivered"),Table1[[#This Row],[Delivery_Date]]-Table1[[#This Row],[Order_Date]],"Not Applicable")</f>
        <v>26</v>
      </c>
      <c r="M338" s="14">
        <f>Table1[[#This Row],[Unit_Cost]]-Table1[[#This Row],[Negotiated_Cost]]</f>
        <v>254.34000000000015</v>
      </c>
      <c r="N338" s="18">
        <f>Table1[[#This Row],[Defective_Units]]/Table1[[#This Row],[Quantity]]</f>
        <v>0</v>
      </c>
      <c r="O338" s="26">
        <f>(Table1[[#This Row],[Unit_Cost]]-Table1[[#This Row],[Negotiated_Cost]])/Table1[[#This Row],[Unit_Cost]]</f>
        <v>4.0481821857064212E-2</v>
      </c>
    </row>
    <row r="339" spans="1:15" x14ac:dyDescent="0.25">
      <c r="A339" t="s">
        <v>374</v>
      </c>
      <c r="B339" t="s">
        <v>12</v>
      </c>
      <c r="C339" s="14" t="s">
        <v>55</v>
      </c>
      <c r="D339" s="1">
        <v>45477</v>
      </c>
      <c r="E339" s="13">
        <v>45499</v>
      </c>
      <c r="F339" s="14" t="s">
        <v>14</v>
      </c>
      <c r="G339">
        <v>20</v>
      </c>
      <c r="H339">
        <v>15689.51</v>
      </c>
      <c r="I339">
        <v>15118.28</v>
      </c>
      <c r="J339">
        <v>0</v>
      </c>
      <c r="K339" s="14" t="s">
        <v>15</v>
      </c>
      <c r="L339" s="14">
        <f>IF(OR(Table1[[#This Row],[Order_Status]]="Delivered",Table1[[#This Row],[Delivery_Date]]&lt;&gt;"Not Yet Delivered"),Table1[[#This Row],[Delivery_Date]]-Table1[[#This Row],[Order_Date]],"Not Applicable")</f>
        <v>22</v>
      </c>
      <c r="M339" s="14">
        <f>Table1[[#This Row],[Unit_Cost]]-Table1[[#This Row],[Negotiated_Cost]]</f>
        <v>571.22999999999956</v>
      </c>
      <c r="N339" s="18">
        <f>Table1[[#This Row],[Defective_Units]]/Table1[[#This Row],[Quantity]]</f>
        <v>0</v>
      </c>
      <c r="O339" s="26">
        <f>(Table1[[#This Row],[Unit_Cost]]-Table1[[#This Row],[Negotiated_Cost]])/Table1[[#This Row],[Unit_Cost]]</f>
        <v>3.6408402811814997E-2</v>
      </c>
    </row>
    <row r="340" spans="1:15" x14ac:dyDescent="0.25">
      <c r="A340" t="s">
        <v>375</v>
      </c>
      <c r="B340" t="s">
        <v>27</v>
      </c>
      <c r="C340" s="14" t="s">
        <v>42</v>
      </c>
      <c r="D340" s="1">
        <v>45180</v>
      </c>
      <c r="E340" s="13">
        <v>45203</v>
      </c>
      <c r="F340" s="14" t="s">
        <v>14</v>
      </c>
      <c r="G340">
        <v>13</v>
      </c>
      <c r="H340">
        <v>11900.48</v>
      </c>
      <c r="I340">
        <v>11635.17</v>
      </c>
      <c r="J340">
        <v>0</v>
      </c>
      <c r="K340" s="14" t="s">
        <v>15</v>
      </c>
      <c r="L340" s="14">
        <f>IF(OR(Table1[[#This Row],[Order_Status]]="Delivered",Table1[[#This Row],[Delivery_Date]]&lt;&gt;"Not Yet Delivered"),Table1[[#This Row],[Delivery_Date]]-Table1[[#This Row],[Order_Date]],"Not Applicable")</f>
        <v>23</v>
      </c>
      <c r="M340" s="14">
        <f>Table1[[#This Row],[Unit_Cost]]-Table1[[#This Row],[Negotiated_Cost]]</f>
        <v>265.30999999999949</v>
      </c>
      <c r="N340" s="18">
        <f>Table1[[#This Row],[Defective_Units]]/Table1[[#This Row],[Quantity]]</f>
        <v>0</v>
      </c>
      <c r="O340" s="26">
        <f>(Table1[[#This Row],[Unit_Cost]]-Table1[[#This Row],[Negotiated_Cost]])/Table1[[#This Row],[Unit_Cost]]</f>
        <v>2.22940587270429E-2</v>
      </c>
    </row>
    <row r="341" spans="1:15" x14ac:dyDescent="0.25">
      <c r="A341" t="s">
        <v>376</v>
      </c>
      <c r="B341" t="s">
        <v>46</v>
      </c>
      <c r="C341" s="14" t="s">
        <v>36</v>
      </c>
      <c r="D341" s="1">
        <v>45028</v>
      </c>
      <c r="E341" s="14" t="s">
        <v>2057</v>
      </c>
      <c r="F341" s="14" t="s">
        <v>22</v>
      </c>
      <c r="G341">
        <v>245</v>
      </c>
      <c r="H341">
        <v>545.41</v>
      </c>
      <c r="I341">
        <v>529.34</v>
      </c>
      <c r="J341">
        <v>2</v>
      </c>
      <c r="K341" s="14" t="s">
        <v>15</v>
      </c>
      <c r="L341" s="14" t="str">
        <f>IF(OR(Table1[[#This Row],[Order_Status]]="Delivered",Table1[[#This Row],[Delivery_Date]]&lt;&gt;"Not Yet Delivered"),Table1[[#This Row],[Delivery_Date]]-Table1[[#This Row],[Order_Date]],"Not Applicable")</f>
        <v>Not Applicable</v>
      </c>
      <c r="M341" s="14">
        <f>Table1[[#This Row],[Unit_Cost]]-Table1[[#This Row],[Negotiated_Cost]]</f>
        <v>16.069999999999936</v>
      </c>
      <c r="N341" s="18">
        <f>Table1[[#This Row],[Defective_Units]]/Table1[[#This Row],[Quantity]]</f>
        <v>8.1632653061224497E-3</v>
      </c>
      <c r="O341" s="26">
        <f>(Table1[[#This Row],[Unit_Cost]]-Table1[[#This Row],[Negotiated_Cost]])/Table1[[#This Row],[Unit_Cost]]</f>
        <v>2.946407289928666E-2</v>
      </c>
    </row>
    <row r="342" spans="1:15" x14ac:dyDescent="0.25">
      <c r="A342" t="s">
        <v>377</v>
      </c>
      <c r="B342" t="s">
        <v>35</v>
      </c>
      <c r="C342" s="14" t="s">
        <v>28</v>
      </c>
      <c r="D342" s="1">
        <v>45022</v>
      </c>
      <c r="E342" s="13">
        <v>45046</v>
      </c>
      <c r="F342" s="14" t="s">
        <v>14</v>
      </c>
      <c r="G342">
        <v>427</v>
      </c>
      <c r="H342">
        <v>47779.48</v>
      </c>
      <c r="I342">
        <v>47552.99</v>
      </c>
      <c r="J342">
        <v>6</v>
      </c>
      <c r="K342" s="14" t="s">
        <v>15</v>
      </c>
      <c r="L342" s="14">
        <f>IF(OR(Table1[[#This Row],[Order_Status]]="Delivered",Table1[[#This Row],[Delivery_Date]]&lt;&gt;"Not Yet Delivered"),Table1[[#This Row],[Delivery_Date]]-Table1[[#This Row],[Order_Date]],"Not Applicable")</f>
        <v>24</v>
      </c>
      <c r="M342" s="14">
        <f>Table1[[#This Row],[Unit_Cost]]-Table1[[#This Row],[Negotiated_Cost]]</f>
        <v>226.49000000000524</v>
      </c>
      <c r="N342" s="18">
        <f>Table1[[#This Row],[Defective_Units]]/Table1[[#This Row],[Quantity]]</f>
        <v>1.405152224824356E-2</v>
      </c>
      <c r="O342" s="26">
        <f>(Table1[[#This Row],[Unit_Cost]]-Table1[[#This Row],[Negotiated_Cost]])/Table1[[#This Row],[Unit_Cost]]</f>
        <v>4.7403194844315016E-3</v>
      </c>
    </row>
    <row r="343" spans="1:15" x14ac:dyDescent="0.25">
      <c r="A343" t="s">
        <v>378</v>
      </c>
      <c r="B343" t="s">
        <v>46</v>
      </c>
      <c r="C343" s="14" t="s">
        <v>48</v>
      </c>
      <c r="D343" s="1">
        <v>44999</v>
      </c>
      <c r="E343" s="14" t="s">
        <v>2057</v>
      </c>
      <c r="F343" s="14" t="s">
        <v>33</v>
      </c>
      <c r="G343">
        <v>145</v>
      </c>
      <c r="H343">
        <v>6213.68</v>
      </c>
      <c r="I343">
        <v>6088.84</v>
      </c>
      <c r="J343">
        <v>2</v>
      </c>
      <c r="K343" s="14" t="s">
        <v>15</v>
      </c>
      <c r="L343" s="14" t="str">
        <f>IF(OR(Table1[[#This Row],[Order_Status]]="Delivered",Table1[[#This Row],[Delivery_Date]]&lt;&gt;"Not Yet Delivered"),Table1[[#This Row],[Delivery_Date]]-Table1[[#This Row],[Order_Date]],"Not Applicable")</f>
        <v>Not Applicable</v>
      </c>
      <c r="M343" s="14">
        <f>Table1[[#This Row],[Unit_Cost]]-Table1[[#This Row],[Negotiated_Cost]]</f>
        <v>124.84000000000015</v>
      </c>
      <c r="N343" s="18">
        <f>Table1[[#This Row],[Defective_Units]]/Table1[[#This Row],[Quantity]]</f>
        <v>1.3793103448275862E-2</v>
      </c>
      <c r="O343" s="26">
        <f>(Table1[[#This Row],[Unit_Cost]]-Table1[[#This Row],[Negotiated_Cost]])/Table1[[#This Row],[Unit_Cost]]</f>
        <v>2.0091153712453833E-2</v>
      </c>
    </row>
    <row r="344" spans="1:15" x14ac:dyDescent="0.25">
      <c r="A344" t="s">
        <v>379</v>
      </c>
      <c r="B344" t="s">
        <v>35</v>
      </c>
      <c r="C344" s="14" t="s">
        <v>21</v>
      </c>
      <c r="D344" s="1">
        <v>45101</v>
      </c>
      <c r="E344" s="13">
        <v>45105</v>
      </c>
      <c r="F344" s="14" t="s">
        <v>14</v>
      </c>
      <c r="G344">
        <v>113</v>
      </c>
      <c r="H344">
        <v>126.44</v>
      </c>
      <c r="I344">
        <v>122.62</v>
      </c>
      <c r="J344">
        <v>1</v>
      </c>
      <c r="K344" s="14" t="s">
        <v>15</v>
      </c>
      <c r="L344" s="14">
        <f>IF(OR(Table1[[#This Row],[Order_Status]]="Delivered",Table1[[#This Row],[Delivery_Date]]&lt;&gt;"Not Yet Delivered"),Table1[[#This Row],[Delivery_Date]]-Table1[[#This Row],[Order_Date]],"Not Applicable")</f>
        <v>4</v>
      </c>
      <c r="M344" s="14">
        <f>Table1[[#This Row],[Unit_Cost]]-Table1[[#This Row],[Negotiated_Cost]]</f>
        <v>3.8199999999999932</v>
      </c>
      <c r="N344" s="18">
        <f>Table1[[#This Row],[Defective_Units]]/Table1[[#This Row],[Quantity]]</f>
        <v>8.8495575221238937E-3</v>
      </c>
      <c r="O344" s="26">
        <f>(Table1[[#This Row],[Unit_Cost]]-Table1[[#This Row],[Negotiated_Cost]])/Table1[[#This Row],[Unit_Cost]]</f>
        <v>3.0211958241062903E-2</v>
      </c>
    </row>
    <row r="345" spans="1:15" x14ac:dyDescent="0.25">
      <c r="A345" t="s">
        <v>380</v>
      </c>
      <c r="B345" t="s">
        <v>17</v>
      </c>
      <c r="C345" s="14" t="s">
        <v>50</v>
      </c>
      <c r="D345" s="1">
        <v>44969</v>
      </c>
      <c r="E345" s="14" t="s">
        <v>2057</v>
      </c>
      <c r="F345" s="14" t="s">
        <v>22</v>
      </c>
      <c r="G345">
        <v>376</v>
      </c>
      <c r="H345">
        <v>46676.78</v>
      </c>
      <c r="I345">
        <v>46109.79</v>
      </c>
      <c r="J345">
        <v>2</v>
      </c>
      <c r="K345" s="14" t="s">
        <v>15</v>
      </c>
      <c r="L345" s="14" t="str">
        <f>IF(OR(Table1[[#This Row],[Order_Status]]="Delivered",Table1[[#This Row],[Delivery_Date]]&lt;&gt;"Not Yet Delivered"),Table1[[#This Row],[Delivery_Date]]-Table1[[#This Row],[Order_Date]],"Not Applicable")</f>
        <v>Not Applicable</v>
      </c>
      <c r="M345" s="14">
        <f>Table1[[#This Row],[Unit_Cost]]-Table1[[#This Row],[Negotiated_Cost]]</f>
        <v>566.98999999999796</v>
      </c>
      <c r="N345" s="18">
        <f>Table1[[#This Row],[Defective_Units]]/Table1[[#This Row],[Quantity]]</f>
        <v>5.3191489361702126E-3</v>
      </c>
      <c r="O345" s="26">
        <f>(Table1[[#This Row],[Unit_Cost]]-Table1[[#This Row],[Negotiated_Cost]])/Table1[[#This Row],[Unit_Cost]]</f>
        <v>1.2147153252645062E-2</v>
      </c>
    </row>
    <row r="346" spans="1:15" x14ac:dyDescent="0.25">
      <c r="A346" t="s">
        <v>381</v>
      </c>
      <c r="B346" t="s">
        <v>35</v>
      </c>
      <c r="C346" s="14" t="s">
        <v>30</v>
      </c>
      <c r="D346" s="1">
        <v>45241</v>
      </c>
      <c r="E346" s="13">
        <v>45259</v>
      </c>
      <c r="F346" s="14" t="s">
        <v>14</v>
      </c>
      <c r="G346">
        <v>417</v>
      </c>
      <c r="H346">
        <v>934.25</v>
      </c>
      <c r="I346">
        <v>908.83</v>
      </c>
      <c r="J346">
        <v>3</v>
      </c>
      <c r="K346" s="14" t="s">
        <v>15</v>
      </c>
      <c r="L346" s="14">
        <f>IF(OR(Table1[[#This Row],[Order_Status]]="Delivered",Table1[[#This Row],[Delivery_Date]]&lt;&gt;"Not Yet Delivered"),Table1[[#This Row],[Delivery_Date]]-Table1[[#This Row],[Order_Date]],"Not Applicable")</f>
        <v>18</v>
      </c>
      <c r="M346" s="14">
        <f>Table1[[#This Row],[Unit_Cost]]-Table1[[#This Row],[Negotiated_Cost]]</f>
        <v>25.419999999999959</v>
      </c>
      <c r="N346" s="18">
        <f>Table1[[#This Row],[Defective_Units]]/Table1[[#This Row],[Quantity]]</f>
        <v>7.1942446043165471E-3</v>
      </c>
      <c r="O346" s="26">
        <f>(Table1[[#This Row],[Unit_Cost]]-Table1[[#This Row],[Negotiated_Cost]])/Table1[[#This Row],[Unit_Cost]]</f>
        <v>2.7208991169387166E-2</v>
      </c>
    </row>
    <row r="347" spans="1:15" x14ac:dyDescent="0.25">
      <c r="A347" t="s">
        <v>382</v>
      </c>
      <c r="B347" t="s">
        <v>46</v>
      </c>
      <c r="C347" s="14" t="s">
        <v>18</v>
      </c>
      <c r="D347" s="1">
        <v>45166</v>
      </c>
      <c r="E347" s="13">
        <v>45183</v>
      </c>
      <c r="F347" s="14" t="s">
        <v>14</v>
      </c>
      <c r="G347">
        <v>324</v>
      </c>
      <c r="H347">
        <v>5280.45</v>
      </c>
      <c r="I347">
        <v>5265.39</v>
      </c>
      <c r="J347">
        <v>3</v>
      </c>
      <c r="K347" s="14" t="s">
        <v>15</v>
      </c>
      <c r="L347" s="14">
        <f>IF(OR(Table1[[#This Row],[Order_Status]]="Delivered",Table1[[#This Row],[Delivery_Date]]&lt;&gt;"Not Yet Delivered"),Table1[[#This Row],[Delivery_Date]]-Table1[[#This Row],[Order_Date]],"Not Applicable")</f>
        <v>17</v>
      </c>
      <c r="M347" s="14">
        <f>Table1[[#This Row],[Unit_Cost]]-Table1[[#This Row],[Negotiated_Cost]]</f>
        <v>15.059999999999491</v>
      </c>
      <c r="N347" s="18">
        <f>Table1[[#This Row],[Defective_Units]]/Table1[[#This Row],[Quantity]]</f>
        <v>9.2592592592592587E-3</v>
      </c>
      <c r="O347" s="26">
        <f>(Table1[[#This Row],[Unit_Cost]]-Table1[[#This Row],[Negotiated_Cost]])/Table1[[#This Row],[Unit_Cost]]</f>
        <v>2.8520296565632645E-3</v>
      </c>
    </row>
    <row r="348" spans="1:15" x14ac:dyDescent="0.25">
      <c r="A348" t="s">
        <v>383</v>
      </c>
      <c r="B348" t="s">
        <v>27</v>
      </c>
      <c r="C348" s="14" t="s">
        <v>13</v>
      </c>
      <c r="D348" s="1">
        <v>45302</v>
      </c>
      <c r="E348" s="13">
        <v>45310</v>
      </c>
      <c r="F348" s="14" t="s">
        <v>14</v>
      </c>
      <c r="G348">
        <v>26</v>
      </c>
      <c r="H348">
        <v>4372.78</v>
      </c>
      <c r="I348">
        <v>4319.4399999999996</v>
      </c>
      <c r="J348">
        <v>1</v>
      </c>
      <c r="K348" s="14" t="s">
        <v>25</v>
      </c>
      <c r="L348" s="14">
        <f>IF(OR(Table1[[#This Row],[Order_Status]]="Delivered",Table1[[#This Row],[Delivery_Date]]&lt;&gt;"Not Yet Delivered"),Table1[[#This Row],[Delivery_Date]]-Table1[[#This Row],[Order_Date]],"Not Applicable")</f>
        <v>8</v>
      </c>
      <c r="M348" s="14">
        <f>Table1[[#This Row],[Unit_Cost]]-Table1[[#This Row],[Negotiated_Cost]]</f>
        <v>53.340000000000146</v>
      </c>
      <c r="N348" s="18">
        <f>Table1[[#This Row],[Defective_Units]]/Table1[[#This Row],[Quantity]]</f>
        <v>3.8461538461538464E-2</v>
      </c>
      <c r="O348" s="26">
        <f>(Table1[[#This Row],[Unit_Cost]]-Table1[[#This Row],[Negotiated_Cost]])/Table1[[#This Row],[Unit_Cost]]</f>
        <v>1.2198189709978583E-2</v>
      </c>
    </row>
    <row r="349" spans="1:15" x14ac:dyDescent="0.25">
      <c r="A349" t="s">
        <v>384</v>
      </c>
      <c r="B349" t="s">
        <v>27</v>
      </c>
      <c r="C349" s="14" t="s">
        <v>24</v>
      </c>
      <c r="D349" s="1">
        <v>45426</v>
      </c>
      <c r="E349" s="13">
        <v>45439</v>
      </c>
      <c r="F349" s="14" t="s">
        <v>14</v>
      </c>
      <c r="G349">
        <v>468</v>
      </c>
      <c r="H349">
        <v>12234.11</v>
      </c>
      <c r="I349">
        <v>11637.27</v>
      </c>
      <c r="J349">
        <v>2</v>
      </c>
      <c r="K349" s="14" t="s">
        <v>15</v>
      </c>
      <c r="L349" s="14">
        <f>IF(OR(Table1[[#This Row],[Order_Status]]="Delivered",Table1[[#This Row],[Delivery_Date]]&lt;&gt;"Not Yet Delivered"),Table1[[#This Row],[Delivery_Date]]-Table1[[#This Row],[Order_Date]],"Not Applicable")</f>
        <v>13</v>
      </c>
      <c r="M349" s="14">
        <f>Table1[[#This Row],[Unit_Cost]]-Table1[[#This Row],[Negotiated_Cost]]</f>
        <v>596.84000000000015</v>
      </c>
      <c r="N349" s="18">
        <f>Table1[[#This Row],[Defective_Units]]/Table1[[#This Row],[Quantity]]</f>
        <v>4.2735042735042739E-3</v>
      </c>
      <c r="O349" s="26">
        <f>(Table1[[#This Row],[Unit_Cost]]-Table1[[#This Row],[Negotiated_Cost]])/Table1[[#This Row],[Unit_Cost]]</f>
        <v>4.8784913655345596E-2</v>
      </c>
    </row>
    <row r="350" spans="1:15" x14ac:dyDescent="0.25">
      <c r="A350" t="s">
        <v>385</v>
      </c>
      <c r="B350" t="s">
        <v>46</v>
      </c>
      <c r="C350" s="14" t="s">
        <v>50</v>
      </c>
      <c r="D350" s="1">
        <v>45495</v>
      </c>
      <c r="E350" s="13">
        <v>45523</v>
      </c>
      <c r="F350" s="14" t="s">
        <v>14</v>
      </c>
      <c r="G350">
        <v>416</v>
      </c>
      <c r="H350">
        <v>50890.21</v>
      </c>
      <c r="I350">
        <v>48045.51</v>
      </c>
      <c r="J350">
        <v>0</v>
      </c>
      <c r="K350" s="14" t="s">
        <v>15</v>
      </c>
      <c r="L350" s="14">
        <f>IF(OR(Table1[[#This Row],[Order_Status]]="Delivered",Table1[[#This Row],[Delivery_Date]]&lt;&gt;"Not Yet Delivered"),Table1[[#This Row],[Delivery_Date]]-Table1[[#This Row],[Order_Date]],"Not Applicable")</f>
        <v>28</v>
      </c>
      <c r="M350" s="14">
        <f>Table1[[#This Row],[Unit_Cost]]-Table1[[#This Row],[Negotiated_Cost]]</f>
        <v>2844.6999999999971</v>
      </c>
      <c r="N350" s="18">
        <f>Table1[[#This Row],[Defective_Units]]/Table1[[#This Row],[Quantity]]</f>
        <v>0</v>
      </c>
      <c r="O350" s="26">
        <f>(Table1[[#This Row],[Unit_Cost]]-Table1[[#This Row],[Negotiated_Cost]])/Table1[[#This Row],[Unit_Cost]]</f>
        <v>5.5898767169559667E-2</v>
      </c>
    </row>
    <row r="351" spans="1:15" x14ac:dyDescent="0.25">
      <c r="A351" t="s">
        <v>386</v>
      </c>
      <c r="B351" t="s">
        <v>27</v>
      </c>
      <c r="C351" s="14" t="s">
        <v>42</v>
      </c>
      <c r="D351" s="1">
        <v>45485</v>
      </c>
      <c r="E351" s="13">
        <v>45508</v>
      </c>
      <c r="F351" s="14" t="s">
        <v>37</v>
      </c>
      <c r="G351">
        <v>171</v>
      </c>
      <c r="H351">
        <v>12892.81</v>
      </c>
      <c r="I351">
        <v>12615.67</v>
      </c>
      <c r="J351">
        <v>1</v>
      </c>
      <c r="K351" s="14" t="s">
        <v>15</v>
      </c>
      <c r="L351" s="14">
        <f>IF(OR(Table1[[#This Row],[Order_Status]]="Delivered",Table1[[#This Row],[Delivery_Date]]&lt;&gt;"Not Yet Delivered"),Table1[[#This Row],[Delivery_Date]]-Table1[[#This Row],[Order_Date]],"Not Applicable")</f>
        <v>23</v>
      </c>
      <c r="M351" s="14">
        <f>Table1[[#This Row],[Unit_Cost]]-Table1[[#This Row],[Negotiated_Cost]]</f>
        <v>277.13999999999942</v>
      </c>
      <c r="N351" s="18">
        <f>Table1[[#This Row],[Defective_Units]]/Table1[[#This Row],[Quantity]]</f>
        <v>5.8479532163742687E-3</v>
      </c>
      <c r="O351" s="26">
        <f>(Table1[[#This Row],[Unit_Cost]]-Table1[[#This Row],[Negotiated_Cost]])/Table1[[#This Row],[Unit_Cost]]</f>
        <v>2.1495701867940305E-2</v>
      </c>
    </row>
    <row r="352" spans="1:15" x14ac:dyDescent="0.25">
      <c r="A352" t="s">
        <v>387</v>
      </c>
      <c r="B352" t="s">
        <v>12</v>
      </c>
      <c r="C352" s="14" t="s">
        <v>18</v>
      </c>
      <c r="D352" s="1">
        <v>44955</v>
      </c>
      <c r="E352" s="13">
        <v>44981</v>
      </c>
      <c r="F352" s="14" t="s">
        <v>14</v>
      </c>
      <c r="G352">
        <v>284</v>
      </c>
      <c r="H352">
        <v>5313.44</v>
      </c>
      <c r="I352">
        <v>5132.3599999999997</v>
      </c>
      <c r="J352">
        <v>6</v>
      </c>
      <c r="K352" s="14" t="s">
        <v>15</v>
      </c>
      <c r="L352" s="14">
        <f>IF(OR(Table1[[#This Row],[Order_Status]]="Delivered",Table1[[#This Row],[Delivery_Date]]&lt;&gt;"Not Yet Delivered"),Table1[[#This Row],[Delivery_Date]]-Table1[[#This Row],[Order_Date]],"Not Applicable")</f>
        <v>26</v>
      </c>
      <c r="M352" s="14">
        <f>Table1[[#This Row],[Unit_Cost]]-Table1[[#This Row],[Negotiated_Cost]]</f>
        <v>181.07999999999993</v>
      </c>
      <c r="N352" s="18">
        <f>Table1[[#This Row],[Defective_Units]]/Table1[[#This Row],[Quantity]]</f>
        <v>2.1126760563380281E-2</v>
      </c>
      <c r="O352" s="26">
        <f>(Table1[[#This Row],[Unit_Cost]]-Table1[[#This Row],[Negotiated_Cost]])/Table1[[#This Row],[Unit_Cost]]</f>
        <v>3.4079616971302948E-2</v>
      </c>
    </row>
    <row r="353" spans="1:15" x14ac:dyDescent="0.25">
      <c r="A353" t="s">
        <v>388</v>
      </c>
      <c r="B353" t="s">
        <v>46</v>
      </c>
      <c r="C353" s="14" t="s">
        <v>44</v>
      </c>
      <c r="D353" s="1">
        <v>45338</v>
      </c>
      <c r="E353" s="13">
        <v>45359</v>
      </c>
      <c r="F353" s="14" t="s">
        <v>14</v>
      </c>
      <c r="G353">
        <v>322</v>
      </c>
      <c r="H353">
        <v>8471.0400000000009</v>
      </c>
      <c r="I353">
        <v>8059.25</v>
      </c>
      <c r="J353">
        <v>2</v>
      </c>
      <c r="K353" s="14" t="s">
        <v>15</v>
      </c>
      <c r="L353" s="14">
        <f>IF(OR(Table1[[#This Row],[Order_Status]]="Delivered",Table1[[#This Row],[Delivery_Date]]&lt;&gt;"Not Yet Delivered"),Table1[[#This Row],[Delivery_Date]]-Table1[[#This Row],[Order_Date]],"Not Applicable")</f>
        <v>21</v>
      </c>
      <c r="M353" s="14">
        <f>Table1[[#This Row],[Unit_Cost]]-Table1[[#This Row],[Negotiated_Cost]]</f>
        <v>411.79000000000087</v>
      </c>
      <c r="N353" s="18">
        <f>Table1[[#This Row],[Defective_Units]]/Table1[[#This Row],[Quantity]]</f>
        <v>6.2111801242236021E-3</v>
      </c>
      <c r="O353" s="26">
        <f>(Table1[[#This Row],[Unit_Cost]]-Table1[[#This Row],[Negotiated_Cost]])/Table1[[#This Row],[Unit_Cost]]</f>
        <v>4.8611504608643191E-2</v>
      </c>
    </row>
    <row r="354" spans="1:15" x14ac:dyDescent="0.25">
      <c r="A354" t="s">
        <v>389</v>
      </c>
      <c r="B354" t="s">
        <v>27</v>
      </c>
      <c r="C354" s="14" t="s">
        <v>44</v>
      </c>
      <c r="D354" s="1">
        <v>45271</v>
      </c>
      <c r="E354" s="13">
        <v>45282</v>
      </c>
      <c r="F354" s="14" t="s">
        <v>14</v>
      </c>
      <c r="G354">
        <v>295</v>
      </c>
      <c r="H354">
        <v>8429.18</v>
      </c>
      <c r="I354">
        <v>8068.81</v>
      </c>
      <c r="J354">
        <v>1</v>
      </c>
      <c r="K354" s="14" t="s">
        <v>15</v>
      </c>
      <c r="L354" s="14">
        <f>IF(OR(Table1[[#This Row],[Order_Status]]="Delivered",Table1[[#This Row],[Delivery_Date]]&lt;&gt;"Not Yet Delivered"),Table1[[#This Row],[Delivery_Date]]-Table1[[#This Row],[Order_Date]],"Not Applicable")</f>
        <v>11</v>
      </c>
      <c r="M354" s="14">
        <f>Table1[[#This Row],[Unit_Cost]]-Table1[[#This Row],[Negotiated_Cost]]</f>
        <v>360.36999999999989</v>
      </c>
      <c r="N354" s="18">
        <f>Table1[[#This Row],[Defective_Units]]/Table1[[#This Row],[Quantity]]</f>
        <v>3.3898305084745762E-3</v>
      </c>
      <c r="O354" s="26">
        <f>(Table1[[#This Row],[Unit_Cost]]-Table1[[#This Row],[Negotiated_Cost]])/Table1[[#This Row],[Unit_Cost]]</f>
        <v>4.2752675823745596E-2</v>
      </c>
    </row>
    <row r="355" spans="1:15" x14ac:dyDescent="0.25">
      <c r="A355" t="s">
        <v>390</v>
      </c>
      <c r="B355" t="s">
        <v>12</v>
      </c>
      <c r="C355" s="14" t="s">
        <v>55</v>
      </c>
      <c r="D355" s="1">
        <v>45479</v>
      </c>
      <c r="E355" s="13">
        <v>45483</v>
      </c>
      <c r="F355" s="14" t="s">
        <v>14</v>
      </c>
      <c r="G355">
        <v>442</v>
      </c>
      <c r="H355">
        <v>15582.72</v>
      </c>
      <c r="I355">
        <v>15075.99</v>
      </c>
      <c r="J355">
        <v>0</v>
      </c>
      <c r="K355" s="14" t="s">
        <v>25</v>
      </c>
      <c r="L355" s="14">
        <f>IF(OR(Table1[[#This Row],[Order_Status]]="Delivered",Table1[[#This Row],[Delivery_Date]]&lt;&gt;"Not Yet Delivered"),Table1[[#This Row],[Delivery_Date]]-Table1[[#This Row],[Order_Date]],"Not Applicable")</f>
        <v>4</v>
      </c>
      <c r="M355" s="14">
        <f>Table1[[#This Row],[Unit_Cost]]-Table1[[#This Row],[Negotiated_Cost]]</f>
        <v>506.72999999999956</v>
      </c>
      <c r="N355" s="18">
        <f>Table1[[#This Row],[Defective_Units]]/Table1[[#This Row],[Quantity]]</f>
        <v>0</v>
      </c>
      <c r="O355" s="26">
        <f>(Table1[[#This Row],[Unit_Cost]]-Table1[[#This Row],[Negotiated_Cost]])/Table1[[#This Row],[Unit_Cost]]</f>
        <v>3.2518713035978287E-2</v>
      </c>
    </row>
    <row r="356" spans="1:15" x14ac:dyDescent="0.25">
      <c r="A356" t="s">
        <v>391</v>
      </c>
      <c r="B356" t="s">
        <v>27</v>
      </c>
      <c r="C356" s="14" t="s">
        <v>42</v>
      </c>
      <c r="D356" s="1">
        <v>44999</v>
      </c>
      <c r="E356" s="13">
        <v>45027</v>
      </c>
      <c r="F356" s="14" t="s">
        <v>14</v>
      </c>
      <c r="G356">
        <v>485</v>
      </c>
      <c r="H356">
        <v>12492.72</v>
      </c>
      <c r="I356">
        <v>12180.57</v>
      </c>
      <c r="J356">
        <v>9</v>
      </c>
      <c r="K356" s="14" t="s">
        <v>25</v>
      </c>
      <c r="L356" s="14">
        <f>IF(OR(Table1[[#This Row],[Order_Status]]="Delivered",Table1[[#This Row],[Delivery_Date]]&lt;&gt;"Not Yet Delivered"),Table1[[#This Row],[Delivery_Date]]-Table1[[#This Row],[Order_Date]],"Not Applicable")</f>
        <v>28</v>
      </c>
      <c r="M356" s="14">
        <f>Table1[[#This Row],[Unit_Cost]]-Table1[[#This Row],[Negotiated_Cost]]</f>
        <v>312.14999999999964</v>
      </c>
      <c r="N356" s="18">
        <f>Table1[[#This Row],[Defective_Units]]/Table1[[#This Row],[Quantity]]</f>
        <v>1.8556701030927835E-2</v>
      </c>
      <c r="O356" s="26">
        <f>(Table1[[#This Row],[Unit_Cost]]-Table1[[#This Row],[Negotiated_Cost]])/Table1[[#This Row],[Unit_Cost]]</f>
        <v>2.4986552167982606E-2</v>
      </c>
    </row>
    <row r="357" spans="1:15" x14ac:dyDescent="0.25">
      <c r="A357" t="s">
        <v>392</v>
      </c>
      <c r="B357" t="s">
        <v>20</v>
      </c>
      <c r="C357" s="14" t="s">
        <v>44</v>
      </c>
      <c r="D357" s="1">
        <v>45192</v>
      </c>
      <c r="E357" s="13">
        <v>45209</v>
      </c>
      <c r="F357" s="14" t="s">
        <v>14</v>
      </c>
      <c r="G357">
        <v>313</v>
      </c>
      <c r="H357">
        <v>8595.49</v>
      </c>
      <c r="I357">
        <v>8459.61</v>
      </c>
      <c r="J357">
        <v>5</v>
      </c>
      <c r="K357" s="14" t="s">
        <v>15</v>
      </c>
      <c r="L357" s="14">
        <f>IF(OR(Table1[[#This Row],[Order_Status]]="Delivered",Table1[[#This Row],[Delivery_Date]]&lt;&gt;"Not Yet Delivered"),Table1[[#This Row],[Delivery_Date]]-Table1[[#This Row],[Order_Date]],"Not Applicable")</f>
        <v>17</v>
      </c>
      <c r="M357" s="14">
        <f>Table1[[#This Row],[Unit_Cost]]-Table1[[#This Row],[Negotiated_Cost]]</f>
        <v>135.8799999999992</v>
      </c>
      <c r="N357" s="18">
        <f>Table1[[#This Row],[Defective_Units]]/Table1[[#This Row],[Quantity]]</f>
        <v>1.5974440894568689E-2</v>
      </c>
      <c r="O357" s="26">
        <f>(Table1[[#This Row],[Unit_Cost]]-Table1[[#This Row],[Negotiated_Cost]])/Table1[[#This Row],[Unit_Cost]]</f>
        <v>1.5808290161468307E-2</v>
      </c>
    </row>
    <row r="358" spans="1:15" x14ac:dyDescent="0.25">
      <c r="A358" t="s">
        <v>393</v>
      </c>
      <c r="B358" t="s">
        <v>20</v>
      </c>
      <c r="C358" s="14" t="s">
        <v>21</v>
      </c>
      <c r="D358" s="1">
        <v>45227</v>
      </c>
      <c r="E358" s="14" t="s">
        <v>2057</v>
      </c>
      <c r="F358" s="14" t="s">
        <v>22</v>
      </c>
      <c r="G358">
        <v>72</v>
      </c>
      <c r="H358">
        <v>121.23</v>
      </c>
      <c r="I358">
        <v>117.9</v>
      </c>
      <c r="J358">
        <v>2</v>
      </c>
      <c r="K358" s="14" t="s">
        <v>15</v>
      </c>
      <c r="L358" s="14" t="str">
        <f>IF(OR(Table1[[#This Row],[Order_Status]]="Delivered",Table1[[#This Row],[Delivery_Date]]&lt;&gt;"Not Yet Delivered"),Table1[[#This Row],[Delivery_Date]]-Table1[[#This Row],[Order_Date]],"Not Applicable")</f>
        <v>Not Applicable</v>
      </c>
      <c r="M358" s="14">
        <f>Table1[[#This Row],[Unit_Cost]]-Table1[[#This Row],[Negotiated_Cost]]</f>
        <v>3.3299999999999983</v>
      </c>
      <c r="N358" s="18">
        <f>Table1[[#This Row],[Defective_Units]]/Table1[[#This Row],[Quantity]]</f>
        <v>2.7777777777777776E-2</v>
      </c>
      <c r="O358" s="26">
        <f>(Table1[[#This Row],[Unit_Cost]]-Table1[[#This Row],[Negotiated_Cost]])/Table1[[#This Row],[Unit_Cost]]</f>
        <v>2.7468448403860417E-2</v>
      </c>
    </row>
    <row r="359" spans="1:15" x14ac:dyDescent="0.25">
      <c r="A359" t="s">
        <v>394</v>
      </c>
      <c r="B359" t="s">
        <v>35</v>
      </c>
      <c r="C359" s="14" t="s">
        <v>44</v>
      </c>
      <c r="D359" s="1">
        <v>45188</v>
      </c>
      <c r="E359" s="13">
        <v>45216</v>
      </c>
      <c r="F359" s="14" t="s">
        <v>14</v>
      </c>
      <c r="G359">
        <v>180</v>
      </c>
      <c r="H359">
        <v>8668.2900000000009</v>
      </c>
      <c r="I359">
        <v>8407.2199999999993</v>
      </c>
      <c r="J359">
        <v>1</v>
      </c>
      <c r="K359" s="14" t="s">
        <v>15</v>
      </c>
      <c r="L359" s="14">
        <f>IF(OR(Table1[[#This Row],[Order_Status]]="Delivered",Table1[[#This Row],[Delivery_Date]]&lt;&gt;"Not Yet Delivered"),Table1[[#This Row],[Delivery_Date]]-Table1[[#This Row],[Order_Date]],"Not Applicable")</f>
        <v>28</v>
      </c>
      <c r="M359" s="14">
        <f>Table1[[#This Row],[Unit_Cost]]-Table1[[#This Row],[Negotiated_Cost]]</f>
        <v>261.07000000000153</v>
      </c>
      <c r="N359" s="18">
        <f>Table1[[#This Row],[Defective_Units]]/Table1[[#This Row],[Quantity]]</f>
        <v>5.5555555555555558E-3</v>
      </c>
      <c r="O359" s="26">
        <f>(Table1[[#This Row],[Unit_Cost]]-Table1[[#This Row],[Negotiated_Cost]])/Table1[[#This Row],[Unit_Cost]]</f>
        <v>3.0117820239055397E-2</v>
      </c>
    </row>
    <row r="360" spans="1:15" x14ac:dyDescent="0.25">
      <c r="A360" t="s">
        <v>395</v>
      </c>
      <c r="B360" t="s">
        <v>40</v>
      </c>
      <c r="C360" s="14" t="s">
        <v>21</v>
      </c>
      <c r="D360" s="1">
        <v>45197</v>
      </c>
      <c r="E360" s="14" t="s">
        <v>2057</v>
      </c>
      <c r="F360" s="14" t="s">
        <v>22</v>
      </c>
      <c r="G360">
        <v>136</v>
      </c>
      <c r="H360">
        <v>128.58000000000001</v>
      </c>
      <c r="I360">
        <v>126.45</v>
      </c>
      <c r="J360">
        <v>2</v>
      </c>
      <c r="K360" s="14" t="s">
        <v>15</v>
      </c>
      <c r="L360" s="14" t="str">
        <f>IF(OR(Table1[[#This Row],[Order_Status]]="Delivered",Table1[[#This Row],[Delivery_Date]]&lt;&gt;"Not Yet Delivered"),Table1[[#This Row],[Delivery_Date]]-Table1[[#This Row],[Order_Date]],"Not Applicable")</f>
        <v>Not Applicable</v>
      </c>
      <c r="M360" s="14">
        <f>Table1[[#This Row],[Unit_Cost]]-Table1[[#This Row],[Negotiated_Cost]]</f>
        <v>2.1300000000000097</v>
      </c>
      <c r="N360" s="18">
        <f>Table1[[#This Row],[Defective_Units]]/Table1[[#This Row],[Quantity]]</f>
        <v>1.4705882352941176E-2</v>
      </c>
      <c r="O360" s="26">
        <f>(Table1[[#This Row],[Unit_Cost]]-Table1[[#This Row],[Negotiated_Cost]])/Table1[[#This Row],[Unit_Cost]]</f>
        <v>1.6565562295847016E-2</v>
      </c>
    </row>
    <row r="361" spans="1:15" x14ac:dyDescent="0.25">
      <c r="A361" t="s">
        <v>396</v>
      </c>
      <c r="B361" t="s">
        <v>20</v>
      </c>
      <c r="C361" s="14" t="s">
        <v>42</v>
      </c>
      <c r="D361" s="1">
        <v>44967</v>
      </c>
      <c r="E361" s="13">
        <v>44975</v>
      </c>
      <c r="F361" s="14" t="s">
        <v>14</v>
      </c>
      <c r="G361">
        <v>174</v>
      </c>
      <c r="H361">
        <v>11797.68</v>
      </c>
      <c r="I361">
        <v>11234.24</v>
      </c>
      <c r="J361">
        <v>4</v>
      </c>
      <c r="K361" s="14" t="s">
        <v>15</v>
      </c>
      <c r="L361" s="14">
        <f>IF(OR(Table1[[#This Row],[Order_Status]]="Delivered",Table1[[#This Row],[Delivery_Date]]&lt;&gt;"Not Yet Delivered"),Table1[[#This Row],[Delivery_Date]]-Table1[[#This Row],[Order_Date]],"Not Applicable")</f>
        <v>8</v>
      </c>
      <c r="M361" s="14">
        <f>Table1[[#This Row],[Unit_Cost]]-Table1[[#This Row],[Negotiated_Cost]]</f>
        <v>563.44000000000051</v>
      </c>
      <c r="N361" s="18">
        <f>Table1[[#This Row],[Defective_Units]]/Table1[[#This Row],[Quantity]]</f>
        <v>2.2988505747126436E-2</v>
      </c>
      <c r="O361" s="26">
        <f>(Table1[[#This Row],[Unit_Cost]]-Table1[[#This Row],[Negotiated_Cost]])/Table1[[#This Row],[Unit_Cost]]</f>
        <v>4.7758542357480498E-2</v>
      </c>
    </row>
    <row r="362" spans="1:15" x14ac:dyDescent="0.25">
      <c r="A362" t="s">
        <v>397</v>
      </c>
      <c r="B362" t="s">
        <v>20</v>
      </c>
      <c r="C362" s="14" t="s">
        <v>50</v>
      </c>
      <c r="D362" s="1">
        <v>45292</v>
      </c>
      <c r="E362" s="13">
        <v>45304</v>
      </c>
      <c r="F362" s="14" t="s">
        <v>14</v>
      </c>
      <c r="G362">
        <v>73</v>
      </c>
      <c r="H362">
        <v>47386.93</v>
      </c>
      <c r="I362">
        <v>47134.36</v>
      </c>
      <c r="J362">
        <v>1</v>
      </c>
      <c r="K362" s="14" t="s">
        <v>15</v>
      </c>
      <c r="L362" s="14">
        <f>IF(OR(Table1[[#This Row],[Order_Status]]="Delivered",Table1[[#This Row],[Delivery_Date]]&lt;&gt;"Not Yet Delivered"),Table1[[#This Row],[Delivery_Date]]-Table1[[#This Row],[Order_Date]],"Not Applicable")</f>
        <v>12</v>
      </c>
      <c r="M362" s="14">
        <f>Table1[[#This Row],[Unit_Cost]]-Table1[[#This Row],[Negotiated_Cost]]</f>
        <v>252.56999999999971</v>
      </c>
      <c r="N362" s="18">
        <f>Table1[[#This Row],[Defective_Units]]/Table1[[#This Row],[Quantity]]</f>
        <v>1.3698630136986301E-2</v>
      </c>
      <c r="O362" s="26">
        <f>(Table1[[#This Row],[Unit_Cost]]-Table1[[#This Row],[Negotiated_Cost]])/Table1[[#This Row],[Unit_Cost]]</f>
        <v>5.3299506847141126E-3</v>
      </c>
    </row>
    <row r="363" spans="1:15" x14ac:dyDescent="0.25">
      <c r="A363" t="s">
        <v>398</v>
      </c>
      <c r="B363" t="s">
        <v>32</v>
      </c>
      <c r="C363" s="14" t="s">
        <v>28</v>
      </c>
      <c r="D363" s="1">
        <v>45230</v>
      </c>
      <c r="E363" s="14" t="s">
        <v>2057</v>
      </c>
      <c r="F363" s="14" t="s">
        <v>33</v>
      </c>
      <c r="G363">
        <v>142</v>
      </c>
      <c r="H363">
        <v>46200</v>
      </c>
      <c r="I363">
        <v>44490.46</v>
      </c>
      <c r="J363">
        <v>2</v>
      </c>
      <c r="K363" s="14" t="s">
        <v>15</v>
      </c>
      <c r="L363" s="14" t="str">
        <f>IF(OR(Table1[[#This Row],[Order_Status]]="Delivered",Table1[[#This Row],[Delivery_Date]]&lt;&gt;"Not Yet Delivered"),Table1[[#This Row],[Delivery_Date]]-Table1[[#This Row],[Order_Date]],"Not Applicable")</f>
        <v>Not Applicable</v>
      </c>
      <c r="M363" s="14">
        <f>Table1[[#This Row],[Unit_Cost]]-Table1[[#This Row],[Negotiated_Cost]]</f>
        <v>1709.5400000000009</v>
      </c>
      <c r="N363" s="18">
        <f>Table1[[#This Row],[Defective_Units]]/Table1[[#This Row],[Quantity]]</f>
        <v>1.4084507042253521E-2</v>
      </c>
      <c r="O363" s="26">
        <f>(Table1[[#This Row],[Unit_Cost]]-Table1[[#This Row],[Negotiated_Cost]])/Table1[[#This Row],[Unit_Cost]]</f>
        <v>3.7003030303030322E-2</v>
      </c>
    </row>
    <row r="364" spans="1:15" x14ac:dyDescent="0.25">
      <c r="A364" t="s">
        <v>399</v>
      </c>
      <c r="B364" t="s">
        <v>27</v>
      </c>
      <c r="C364" s="14" t="s">
        <v>24</v>
      </c>
      <c r="D364" s="1">
        <v>45529</v>
      </c>
      <c r="E364" s="14" t="s">
        <v>2057</v>
      </c>
      <c r="F364" s="14" t="s">
        <v>33</v>
      </c>
      <c r="G364">
        <v>242</v>
      </c>
      <c r="H364">
        <v>12430.99</v>
      </c>
      <c r="I364">
        <v>12260</v>
      </c>
      <c r="J364">
        <v>2</v>
      </c>
      <c r="K364" s="14" t="s">
        <v>15</v>
      </c>
      <c r="L364" s="14" t="str">
        <f>IF(OR(Table1[[#This Row],[Order_Status]]="Delivered",Table1[[#This Row],[Delivery_Date]]&lt;&gt;"Not Yet Delivered"),Table1[[#This Row],[Delivery_Date]]-Table1[[#This Row],[Order_Date]],"Not Applicable")</f>
        <v>Not Applicable</v>
      </c>
      <c r="M364" s="14">
        <f>Table1[[#This Row],[Unit_Cost]]-Table1[[#This Row],[Negotiated_Cost]]</f>
        <v>170.98999999999978</v>
      </c>
      <c r="N364" s="18">
        <f>Table1[[#This Row],[Defective_Units]]/Table1[[#This Row],[Quantity]]</f>
        <v>8.2644628099173556E-3</v>
      </c>
      <c r="O364" s="26">
        <f>(Table1[[#This Row],[Unit_Cost]]-Table1[[#This Row],[Negotiated_Cost]])/Table1[[#This Row],[Unit_Cost]]</f>
        <v>1.3755139373452942E-2</v>
      </c>
    </row>
    <row r="365" spans="1:15" x14ac:dyDescent="0.25">
      <c r="A365" t="s">
        <v>400</v>
      </c>
      <c r="B365" t="s">
        <v>40</v>
      </c>
      <c r="C365" s="14" t="s">
        <v>48</v>
      </c>
      <c r="D365" s="1">
        <v>45295</v>
      </c>
      <c r="E365" s="13">
        <v>45305</v>
      </c>
      <c r="F365" s="14" t="s">
        <v>14</v>
      </c>
      <c r="G365">
        <v>448</v>
      </c>
      <c r="H365">
        <v>6909.18</v>
      </c>
      <c r="I365">
        <v>6865.8</v>
      </c>
      <c r="J365">
        <v>6</v>
      </c>
      <c r="K365" s="14" t="s">
        <v>15</v>
      </c>
      <c r="L365" s="14">
        <f>IF(OR(Table1[[#This Row],[Order_Status]]="Delivered",Table1[[#This Row],[Delivery_Date]]&lt;&gt;"Not Yet Delivered"),Table1[[#This Row],[Delivery_Date]]-Table1[[#This Row],[Order_Date]],"Not Applicable")</f>
        <v>10</v>
      </c>
      <c r="M365" s="14">
        <f>Table1[[#This Row],[Unit_Cost]]-Table1[[#This Row],[Negotiated_Cost]]</f>
        <v>43.380000000000109</v>
      </c>
      <c r="N365" s="18">
        <f>Table1[[#This Row],[Defective_Units]]/Table1[[#This Row],[Quantity]]</f>
        <v>1.3392857142857142E-2</v>
      </c>
      <c r="O365" s="26">
        <f>(Table1[[#This Row],[Unit_Cost]]-Table1[[#This Row],[Negotiated_Cost]])/Table1[[#This Row],[Unit_Cost]]</f>
        <v>6.2786032495896916E-3</v>
      </c>
    </row>
    <row r="366" spans="1:15" x14ac:dyDescent="0.25">
      <c r="A366" t="s">
        <v>401</v>
      </c>
      <c r="B366" t="s">
        <v>12</v>
      </c>
      <c r="C366" s="14" t="s">
        <v>42</v>
      </c>
      <c r="D366" s="1">
        <v>45606</v>
      </c>
      <c r="E366" s="13">
        <v>45622</v>
      </c>
      <c r="F366" s="14" t="s">
        <v>14</v>
      </c>
      <c r="G366">
        <v>424</v>
      </c>
      <c r="H366">
        <v>12652.96</v>
      </c>
      <c r="I366">
        <v>12003.4</v>
      </c>
      <c r="J366">
        <v>6</v>
      </c>
      <c r="K366" s="14" t="s">
        <v>15</v>
      </c>
      <c r="L366" s="14">
        <f>IF(OR(Table1[[#This Row],[Order_Status]]="Delivered",Table1[[#This Row],[Delivery_Date]]&lt;&gt;"Not Yet Delivered"),Table1[[#This Row],[Delivery_Date]]-Table1[[#This Row],[Order_Date]],"Not Applicable")</f>
        <v>16</v>
      </c>
      <c r="M366" s="14">
        <f>Table1[[#This Row],[Unit_Cost]]-Table1[[#This Row],[Negotiated_Cost]]</f>
        <v>649.55999999999949</v>
      </c>
      <c r="N366" s="18">
        <f>Table1[[#This Row],[Defective_Units]]/Table1[[#This Row],[Quantity]]</f>
        <v>1.4150943396226415E-2</v>
      </c>
      <c r="O366" s="26">
        <f>(Table1[[#This Row],[Unit_Cost]]-Table1[[#This Row],[Negotiated_Cost]])/Table1[[#This Row],[Unit_Cost]]</f>
        <v>5.1336604241220989E-2</v>
      </c>
    </row>
    <row r="367" spans="1:15" x14ac:dyDescent="0.25">
      <c r="A367" t="s">
        <v>402</v>
      </c>
      <c r="B367" t="s">
        <v>46</v>
      </c>
      <c r="C367" s="14" t="s">
        <v>48</v>
      </c>
      <c r="D367" s="1">
        <v>45140</v>
      </c>
      <c r="E367" s="14" t="s">
        <v>2057</v>
      </c>
      <c r="F367" s="14" t="s">
        <v>33</v>
      </c>
      <c r="G367">
        <v>260</v>
      </c>
      <c r="H367">
        <v>6363.67</v>
      </c>
      <c r="I367">
        <v>6161.12</v>
      </c>
      <c r="J367">
        <v>2</v>
      </c>
      <c r="K367" s="14" t="s">
        <v>15</v>
      </c>
      <c r="L367" s="14" t="str">
        <f>IF(OR(Table1[[#This Row],[Order_Status]]="Delivered",Table1[[#This Row],[Delivery_Date]]&lt;&gt;"Not Yet Delivered"),Table1[[#This Row],[Delivery_Date]]-Table1[[#This Row],[Order_Date]],"Not Applicable")</f>
        <v>Not Applicable</v>
      </c>
      <c r="M367" s="14">
        <f>Table1[[#This Row],[Unit_Cost]]-Table1[[#This Row],[Negotiated_Cost]]</f>
        <v>202.55000000000018</v>
      </c>
      <c r="N367" s="18">
        <f>Table1[[#This Row],[Defective_Units]]/Table1[[#This Row],[Quantity]]</f>
        <v>7.6923076923076927E-3</v>
      </c>
      <c r="O367" s="26">
        <f>(Table1[[#This Row],[Unit_Cost]]-Table1[[#This Row],[Negotiated_Cost]])/Table1[[#This Row],[Unit_Cost]]</f>
        <v>3.1829117474664805E-2</v>
      </c>
    </row>
    <row r="368" spans="1:15" x14ac:dyDescent="0.25">
      <c r="A368" t="s">
        <v>403</v>
      </c>
      <c r="B368" t="s">
        <v>17</v>
      </c>
      <c r="C368" s="14" t="s">
        <v>13</v>
      </c>
      <c r="D368" s="1">
        <v>45047</v>
      </c>
      <c r="E368" s="13">
        <v>45077</v>
      </c>
      <c r="F368" s="14" t="s">
        <v>14</v>
      </c>
      <c r="G368">
        <v>389</v>
      </c>
      <c r="H368">
        <v>4148.8900000000003</v>
      </c>
      <c r="I368">
        <v>3927.81</v>
      </c>
      <c r="J368">
        <v>2</v>
      </c>
      <c r="K368" s="14" t="s">
        <v>15</v>
      </c>
      <c r="L368" s="14">
        <f>IF(OR(Table1[[#This Row],[Order_Status]]="Delivered",Table1[[#This Row],[Delivery_Date]]&lt;&gt;"Not Yet Delivered"),Table1[[#This Row],[Delivery_Date]]-Table1[[#This Row],[Order_Date]],"Not Applicable")</f>
        <v>30</v>
      </c>
      <c r="M368" s="14">
        <f>Table1[[#This Row],[Unit_Cost]]-Table1[[#This Row],[Negotiated_Cost]]</f>
        <v>221.08000000000038</v>
      </c>
      <c r="N368" s="18">
        <f>Table1[[#This Row],[Defective_Units]]/Table1[[#This Row],[Quantity]]</f>
        <v>5.1413881748071976E-3</v>
      </c>
      <c r="O368" s="26">
        <f>(Table1[[#This Row],[Unit_Cost]]-Table1[[#This Row],[Negotiated_Cost]])/Table1[[#This Row],[Unit_Cost]]</f>
        <v>5.3286541701515436E-2</v>
      </c>
    </row>
    <row r="369" spans="1:15" x14ac:dyDescent="0.25">
      <c r="A369" t="s">
        <v>404</v>
      </c>
      <c r="B369" t="s">
        <v>17</v>
      </c>
      <c r="C369" s="14" t="s">
        <v>30</v>
      </c>
      <c r="D369" s="1">
        <v>44995</v>
      </c>
      <c r="E369" s="13">
        <v>45020</v>
      </c>
      <c r="F369" s="14" t="s">
        <v>14</v>
      </c>
      <c r="G369">
        <v>133</v>
      </c>
      <c r="H369">
        <v>826.69</v>
      </c>
      <c r="I369">
        <v>789.49</v>
      </c>
      <c r="J369">
        <v>1</v>
      </c>
      <c r="K369" s="14" t="s">
        <v>15</v>
      </c>
      <c r="L369" s="14">
        <f>IF(OR(Table1[[#This Row],[Order_Status]]="Delivered",Table1[[#This Row],[Delivery_Date]]&lt;&gt;"Not Yet Delivered"),Table1[[#This Row],[Delivery_Date]]-Table1[[#This Row],[Order_Date]],"Not Applicable")</f>
        <v>25</v>
      </c>
      <c r="M369" s="14">
        <f>Table1[[#This Row],[Unit_Cost]]-Table1[[#This Row],[Negotiated_Cost]]</f>
        <v>37.200000000000045</v>
      </c>
      <c r="N369" s="18">
        <f>Table1[[#This Row],[Defective_Units]]/Table1[[#This Row],[Quantity]]</f>
        <v>7.5187969924812026E-3</v>
      </c>
      <c r="O369" s="26">
        <f>(Table1[[#This Row],[Unit_Cost]]-Table1[[#This Row],[Negotiated_Cost]])/Table1[[#This Row],[Unit_Cost]]</f>
        <v>4.4998729874560044E-2</v>
      </c>
    </row>
    <row r="370" spans="1:15" x14ac:dyDescent="0.25">
      <c r="A370" t="s">
        <v>405</v>
      </c>
      <c r="B370" t="s">
        <v>20</v>
      </c>
      <c r="C370" s="14" t="s">
        <v>18</v>
      </c>
      <c r="D370" s="1">
        <v>45237</v>
      </c>
      <c r="E370" s="13">
        <v>45242</v>
      </c>
      <c r="F370" s="14" t="s">
        <v>14</v>
      </c>
      <c r="G370">
        <v>306</v>
      </c>
      <c r="H370">
        <v>5239.88</v>
      </c>
      <c r="I370">
        <v>5225.05</v>
      </c>
      <c r="J370">
        <v>1</v>
      </c>
      <c r="K370" s="14" t="s">
        <v>15</v>
      </c>
      <c r="L370" s="14">
        <f>IF(OR(Table1[[#This Row],[Order_Status]]="Delivered",Table1[[#This Row],[Delivery_Date]]&lt;&gt;"Not Yet Delivered"),Table1[[#This Row],[Delivery_Date]]-Table1[[#This Row],[Order_Date]],"Not Applicable")</f>
        <v>5</v>
      </c>
      <c r="M370" s="14">
        <f>Table1[[#This Row],[Unit_Cost]]-Table1[[#This Row],[Negotiated_Cost]]</f>
        <v>14.829999999999927</v>
      </c>
      <c r="N370" s="18">
        <f>Table1[[#This Row],[Defective_Units]]/Table1[[#This Row],[Quantity]]</f>
        <v>3.2679738562091504E-3</v>
      </c>
      <c r="O370" s="26">
        <f>(Table1[[#This Row],[Unit_Cost]]-Table1[[#This Row],[Negotiated_Cost]])/Table1[[#This Row],[Unit_Cost]]</f>
        <v>2.8302174858966097E-3</v>
      </c>
    </row>
    <row r="371" spans="1:15" x14ac:dyDescent="0.25">
      <c r="A371" t="s">
        <v>406</v>
      </c>
      <c r="B371" t="s">
        <v>46</v>
      </c>
      <c r="C371" s="14" t="s">
        <v>50</v>
      </c>
      <c r="D371" s="1">
        <v>45063</v>
      </c>
      <c r="E371" s="13">
        <v>45086</v>
      </c>
      <c r="F371" s="14" t="s">
        <v>14</v>
      </c>
      <c r="G371">
        <v>10</v>
      </c>
      <c r="H371">
        <v>51809.71</v>
      </c>
      <c r="I371">
        <v>50265.16</v>
      </c>
      <c r="J371">
        <v>1</v>
      </c>
      <c r="K371" s="14" t="s">
        <v>15</v>
      </c>
      <c r="L371" s="14">
        <f>IF(OR(Table1[[#This Row],[Order_Status]]="Delivered",Table1[[#This Row],[Delivery_Date]]&lt;&gt;"Not Yet Delivered"),Table1[[#This Row],[Delivery_Date]]-Table1[[#This Row],[Order_Date]],"Not Applicable")</f>
        <v>23</v>
      </c>
      <c r="M371" s="14">
        <f>Table1[[#This Row],[Unit_Cost]]-Table1[[#This Row],[Negotiated_Cost]]</f>
        <v>1544.5499999999956</v>
      </c>
      <c r="N371" s="18">
        <f>Table1[[#This Row],[Defective_Units]]/Table1[[#This Row],[Quantity]]</f>
        <v>0.1</v>
      </c>
      <c r="O371" s="26">
        <f>(Table1[[#This Row],[Unit_Cost]]-Table1[[#This Row],[Negotiated_Cost]])/Table1[[#This Row],[Unit_Cost]]</f>
        <v>2.9811979260258272E-2</v>
      </c>
    </row>
    <row r="372" spans="1:15" x14ac:dyDescent="0.25">
      <c r="A372" t="s">
        <v>407</v>
      </c>
      <c r="B372" t="s">
        <v>32</v>
      </c>
      <c r="C372" s="14" t="s">
        <v>24</v>
      </c>
      <c r="D372" s="1">
        <v>45652</v>
      </c>
      <c r="E372" s="13">
        <v>45666</v>
      </c>
      <c r="F372" s="14" t="s">
        <v>37</v>
      </c>
      <c r="G372">
        <v>461</v>
      </c>
      <c r="H372">
        <v>11031.3</v>
      </c>
      <c r="I372">
        <v>10815.29</v>
      </c>
      <c r="J372">
        <v>4</v>
      </c>
      <c r="K372" s="14" t="s">
        <v>15</v>
      </c>
      <c r="L372" s="14">
        <f>IF(OR(Table1[[#This Row],[Order_Status]]="Delivered",Table1[[#This Row],[Delivery_Date]]&lt;&gt;"Not Yet Delivered"),Table1[[#This Row],[Delivery_Date]]-Table1[[#This Row],[Order_Date]],"Not Applicable")</f>
        <v>14</v>
      </c>
      <c r="M372" s="14">
        <f>Table1[[#This Row],[Unit_Cost]]-Table1[[#This Row],[Negotiated_Cost]]</f>
        <v>216.0099999999984</v>
      </c>
      <c r="N372" s="18">
        <f>Table1[[#This Row],[Defective_Units]]/Table1[[#This Row],[Quantity]]</f>
        <v>8.6767895878524948E-3</v>
      </c>
      <c r="O372" s="26">
        <f>(Table1[[#This Row],[Unit_Cost]]-Table1[[#This Row],[Negotiated_Cost]])/Table1[[#This Row],[Unit_Cost]]</f>
        <v>1.9581554304569579E-2</v>
      </c>
    </row>
    <row r="373" spans="1:15" x14ac:dyDescent="0.25">
      <c r="A373" t="s">
        <v>408</v>
      </c>
      <c r="B373" t="s">
        <v>35</v>
      </c>
      <c r="C373" s="14" t="s">
        <v>13</v>
      </c>
      <c r="D373" s="1">
        <v>45523</v>
      </c>
      <c r="E373" s="13">
        <v>45546</v>
      </c>
      <c r="F373" s="14" t="s">
        <v>14</v>
      </c>
      <c r="G373">
        <v>454</v>
      </c>
      <c r="H373">
        <v>4216.07</v>
      </c>
      <c r="I373">
        <v>4162.8</v>
      </c>
      <c r="J373">
        <v>3</v>
      </c>
      <c r="K373" s="14" t="s">
        <v>15</v>
      </c>
      <c r="L373" s="14">
        <f>IF(OR(Table1[[#This Row],[Order_Status]]="Delivered",Table1[[#This Row],[Delivery_Date]]&lt;&gt;"Not Yet Delivered"),Table1[[#This Row],[Delivery_Date]]-Table1[[#This Row],[Order_Date]],"Not Applicable")</f>
        <v>23</v>
      </c>
      <c r="M373" s="14">
        <f>Table1[[#This Row],[Unit_Cost]]-Table1[[#This Row],[Negotiated_Cost]]</f>
        <v>53.269999999999527</v>
      </c>
      <c r="N373" s="18">
        <f>Table1[[#This Row],[Defective_Units]]/Table1[[#This Row],[Quantity]]</f>
        <v>6.6079295154185024E-3</v>
      </c>
      <c r="O373" s="26">
        <f>(Table1[[#This Row],[Unit_Cost]]-Table1[[#This Row],[Negotiated_Cost]])/Table1[[#This Row],[Unit_Cost]]</f>
        <v>1.2634989457006057E-2</v>
      </c>
    </row>
    <row r="374" spans="1:15" x14ac:dyDescent="0.25">
      <c r="A374" t="s">
        <v>409</v>
      </c>
      <c r="B374" t="s">
        <v>32</v>
      </c>
      <c r="C374" s="14" t="s">
        <v>24</v>
      </c>
      <c r="D374" s="1">
        <v>45560</v>
      </c>
      <c r="E374" s="13">
        <v>45563</v>
      </c>
      <c r="F374" s="14" t="s">
        <v>14</v>
      </c>
      <c r="G374">
        <v>142</v>
      </c>
      <c r="H374">
        <v>11685.8</v>
      </c>
      <c r="I374">
        <v>11392.82</v>
      </c>
      <c r="J374">
        <v>1</v>
      </c>
      <c r="K374" s="14" t="s">
        <v>15</v>
      </c>
      <c r="L374" s="14">
        <f>IF(OR(Table1[[#This Row],[Order_Status]]="Delivered",Table1[[#This Row],[Delivery_Date]]&lt;&gt;"Not Yet Delivered"),Table1[[#This Row],[Delivery_Date]]-Table1[[#This Row],[Order_Date]],"Not Applicable")</f>
        <v>3</v>
      </c>
      <c r="M374" s="14">
        <f>Table1[[#This Row],[Unit_Cost]]-Table1[[#This Row],[Negotiated_Cost]]</f>
        <v>292.97999999999956</v>
      </c>
      <c r="N374" s="18">
        <f>Table1[[#This Row],[Defective_Units]]/Table1[[#This Row],[Quantity]]</f>
        <v>7.0422535211267607E-3</v>
      </c>
      <c r="O374" s="26">
        <f>(Table1[[#This Row],[Unit_Cost]]-Table1[[#This Row],[Negotiated_Cost]])/Table1[[#This Row],[Unit_Cost]]</f>
        <v>2.507145424361187E-2</v>
      </c>
    </row>
    <row r="375" spans="1:15" x14ac:dyDescent="0.25">
      <c r="A375" t="s">
        <v>410</v>
      </c>
      <c r="B375" t="s">
        <v>40</v>
      </c>
      <c r="C375" s="14" t="s">
        <v>55</v>
      </c>
      <c r="D375" s="1">
        <v>45073</v>
      </c>
      <c r="E375" s="14" t="s">
        <v>2057</v>
      </c>
      <c r="F375" s="14" t="s">
        <v>22</v>
      </c>
      <c r="G375">
        <v>122</v>
      </c>
      <c r="H375">
        <v>15132.99</v>
      </c>
      <c r="I375">
        <v>15096.55</v>
      </c>
      <c r="J375">
        <v>2</v>
      </c>
      <c r="K375" s="14" t="s">
        <v>15</v>
      </c>
      <c r="L375" s="14" t="str">
        <f>IF(OR(Table1[[#This Row],[Order_Status]]="Delivered",Table1[[#This Row],[Delivery_Date]]&lt;&gt;"Not Yet Delivered"),Table1[[#This Row],[Delivery_Date]]-Table1[[#This Row],[Order_Date]],"Not Applicable")</f>
        <v>Not Applicable</v>
      </c>
      <c r="M375" s="14">
        <f>Table1[[#This Row],[Unit_Cost]]-Table1[[#This Row],[Negotiated_Cost]]</f>
        <v>36.440000000000509</v>
      </c>
      <c r="N375" s="18">
        <f>Table1[[#This Row],[Defective_Units]]/Table1[[#This Row],[Quantity]]</f>
        <v>1.6393442622950821E-2</v>
      </c>
      <c r="O375" s="26">
        <f>(Table1[[#This Row],[Unit_Cost]]-Table1[[#This Row],[Negotiated_Cost]])/Table1[[#This Row],[Unit_Cost]]</f>
        <v>2.4079841458958546E-3</v>
      </c>
    </row>
    <row r="376" spans="1:15" x14ac:dyDescent="0.25">
      <c r="A376" t="s">
        <v>411</v>
      </c>
      <c r="B376" t="s">
        <v>32</v>
      </c>
      <c r="C376" s="14" t="s">
        <v>50</v>
      </c>
      <c r="D376" s="1">
        <v>45407</v>
      </c>
      <c r="E376" s="13">
        <v>45418</v>
      </c>
      <c r="F376" s="14" t="s">
        <v>14</v>
      </c>
      <c r="G376">
        <v>23</v>
      </c>
      <c r="H376">
        <v>48867.48</v>
      </c>
      <c r="I376">
        <v>47143.040000000001</v>
      </c>
      <c r="J376">
        <v>0</v>
      </c>
      <c r="K376" s="14" t="s">
        <v>15</v>
      </c>
      <c r="L376" s="14">
        <f>IF(OR(Table1[[#This Row],[Order_Status]]="Delivered",Table1[[#This Row],[Delivery_Date]]&lt;&gt;"Not Yet Delivered"),Table1[[#This Row],[Delivery_Date]]-Table1[[#This Row],[Order_Date]],"Not Applicable")</f>
        <v>11</v>
      </c>
      <c r="M376" s="14">
        <f>Table1[[#This Row],[Unit_Cost]]-Table1[[#This Row],[Negotiated_Cost]]</f>
        <v>1724.4400000000023</v>
      </c>
      <c r="N376" s="18">
        <f>Table1[[#This Row],[Defective_Units]]/Table1[[#This Row],[Quantity]]</f>
        <v>0</v>
      </c>
      <c r="O376" s="26">
        <f>(Table1[[#This Row],[Unit_Cost]]-Table1[[#This Row],[Negotiated_Cost]])/Table1[[#This Row],[Unit_Cost]]</f>
        <v>3.5288089338758662E-2</v>
      </c>
    </row>
    <row r="377" spans="1:15" x14ac:dyDescent="0.25">
      <c r="A377" t="s">
        <v>412</v>
      </c>
      <c r="B377" t="s">
        <v>46</v>
      </c>
      <c r="C377" s="14" t="s">
        <v>28</v>
      </c>
      <c r="D377" s="1">
        <v>45165</v>
      </c>
      <c r="E377" s="13">
        <v>45195</v>
      </c>
      <c r="F377" s="14" t="s">
        <v>14</v>
      </c>
      <c r="G377">
        <v>209</v>
      </c>
      <c r="H377">
        <v>48641.25</v>
      </c>
      <c r="I377">
        <v>47169.47</v>
      </c>
      <c r="J377">
        <v>1</v>
      </c>
      <c r="K377" s="14" t="s">
        <v>15</v>
      </c>
      <c r="L377" s="14">
        <f>IF(OR(Table1[[#This Row],[Order_Status]]="Delivered",Table1[[#This Row],[Delivery_Date]]&lt;&gt;"Not Yet Delivered"),Table1[[#This Row],[Delivery_Date]]-Table1[[#This Row],[Order_Date]],"Not Applicable")</f>
        <v>30</v>
      </c>
      <c r="M377" s="14">
        <f>Table1[[#This Row],[Unit_Cost]]-Table1[[#This Row],[Negotiated_Cost]]</f>
        <v>1471.7799999999988</v>
      </c>
      <c r="N377" s="18">
        <f>Table1[[#This Row],[Defective_Units]]/Table1[[#This Row],[Quantity]]</f>
        <v>4.7846889952153108E-3</v>
      </c>
      <c r="O377" s="26">
        <f>(Table1[[#This Row],[Unit_Cost]]-Table1[[#This Row],[Negotiated_Cost]])/Table1[[#This Row],[Unit_Cost]]</f>
        <v>3.0257857271348883E-2</v>
      </c>
    </row>
    <row r="378" spans="1:15" x14ac:dyDescent="0.25">
      <c r="A378" t="s">
        <v>413</v>
      </c>
      <c r="B378" t="s">
        <v>27</v>
      </c>
      <c r="C378" s="14" t="s">
        <v>36</v>
      </c>
      <c r="D378" s="1">
        <v>45231</v>
      </c>
      <c r="E378" s="13">
        <v>45253</v>
      </c>
      <c r="F378" s="14" t="s">
        <v>37</v>
      </c>
      <c r="G378">
        <v>455</v>
      </c>
      <c r="H378">
        <v>541.09</v>
      </c>
      <c r="I378">
        <v>525.11</v>
      </c>
      <c r="J378">
        <v>8</v>
      </c>
      <c r="K378" s="14" t="s">
        <v>15</v>
      </c>
      <c r="L378" s="14">
        <f>IF(OR(Table1[[#This Row],[Order_Status]]="Delivered",Table1[[#This Row],[Delivery_Date]]&lt;&gt;"Not Yet Delivered"),Table1[[#This Row],[Delivery_Date]]-Table1[[#This Row],[Order_Date]],"Not Applicable")</f>
        <v>22</v>
      </c>
      <c r="M378" s="14">
        <f>Table1[[#This Row],[Unit_Cost]]-Table1[[#This Row],[Negotiated_Cost]]</f>
        <v>15.980000000000018</v>
      </c>
      <c r="N378" s="18">
        <f>Table1[[#This Row],[Defective_Units]]/Table1[[#This Row],[Quantity]]</f>
        <v>1.7582417582417582E-2</v>
      </c>
      <c r="O378" s="26">
        <f>(Table1[[#This Row],[Unit_Cost]]-Table1[[#This Row],[Negotiated_Cost]])/Table1[[#This Row],[Unit_Cost]]</f>
        <v>2.9532979726108442E-2</v>
      </c>
    </row>
    <row r="379" spans="1:15" x14ac:dyDescent="0.25">
      <c r="A379" t="s">
        <v>414</v>
      </c>
      <c r="B379" t="s">
        <v>40</v>
      </c>
      <c r="C379" s="14" t="s">
        <v>24</v>
      </c>
      <c r="D379" s="1">
        <v>45467</v>
      </c>
      <c r="E379" s="13">
        <v>45484</v>
      </c>
      <c r="F379" s="14" t="s">
        <v>14</v>
      </c>
      <c r="G379">
        <v>121</v>
      </c>
      <c r="H379">
        <v>13049.48</v>
      </c>
      <c r="I379">
        <v>12826.05</v>
      </c>
      <c r="J379">
        <v>2</v>
      </c>
      <c r="K379" s="14" t="s">
        <v>15</v>
      </c>
      <c r="L379" s="14">
        <f>IF(OR(Table1[[#This Row],[Order_Status]]="Delivered",Table1[[#This Row],[Delivery_Date]]&lt;&gt;"Not Yet Delivered"),Table1[[#This Row],[Delivery_Date]]-Table1[[#This Row],[Order_Date]],"Not Applicable")</f>
        <v>17</v>
      </c>
      <c r="M379" s="14">
        <f>Table1[[#This Row],[Unit_Cost]]-Table1[[#This Row],[Negotiated_Cost]]</f>
        <v>223.43000000000029</v>
      </c>
      <c r="N379" s="18">
        <f>Table1[[#This Row],[Defective_Units]]/Table1[[#This Row],[Quantity]]</f>
        <v>1.6528925619834711E-2</v>
      </c>
      <c r="O379" s="26">
        <f>(Table1[[#This Row],[Unit_Cost]]-Table1[[#This Row],[Negotiated_Cost]])/Table1[[#This Row],[Unit_Cost]]</f>
        <v>1.7121755043112852E-2</v>
      </c>
    </row>
    <row r="380" spans="1:15" x14ac:dyDescent="0.25">
      <c r="A380" t="s">
        <v>415</v>
      </c>
      <c r="B380" t="s">
        <v>32</v>
      </c>
      <c r="C380" s="14" t="s">
        <v>48</v>
      </c>
      <c r="D380" s="1">
        <v>45262</v>
      </c>
      <c r="E380" s="13">
        <v>45272</v>
      </c>
      <c r="F380" s="14" t="s">
        <v>14</v>
      </c>
      <c r="G380">
        <v>429</v>
      </c>
      <c r="H380">
        <v>5969.3</v>
      </c>
      <c r="I380">
        <v>5730.63</v>
      </c>
      <c r="J380">
        <v>7</v>
      </c>
      <c r="K380" s="14" t="s">
        <v>15</v>
      </c>
      <c r="L380" s="14">
        <f>IF(OR(Table1[[#This Row],[Order_Status]]="Delivered",Table1[[#This Row],[Delivery_Date]]&lt;&gt;"Not Yet Delivered"),Table1[[#This Row],[Delivery_Date]]-Table1[[#This Row],[Order_Date]],"Not Applicable")</f>
        <v>10</v>
      </c>
      <c r="M380" s="14">
        <f>Table1[[#This Row],[Unit_Cost]]-Table1[[#This Row],[Negotiated_Cost]]</f>
        <v>238.67000000000007</v>
      </c>
      <c r="N380" s="18">
        <f>Table1[[#This Row],[Defective_Units]]/Table1[[#This Row],[Quantity]]</f>
        <v>1.6317016317016316E-2</v>
      </c>
      <c r="O380" s="26">
        <f>(Table1[[#This Row],[Unit_Cost]]-Table1[[#This Row],[Negotiated_Cost]])/Table1[[#This Row],[Unit_Cost]]</f>
        <v>3.9982912569312995E-2</v>
      </c>
    </row>
    <row r="381" spans="1:15" x14ac:dyDescent="0.25">
      <c r="A381" t="s">
        <v>416</v>
      </c>
      <c r="B381" t="s">
        <v>17</v>
      </c>
      <c r="C381" s="14" t="s">
        <v>24</v>
      </c>
      <c r="D381" s="1">
        <v>45619</v>
      </c>
      <c r="E381" s="13">
        <v>45639</v>
      </c>
      <c r="F381" s="14" t="s">
        <v>14</v>
      </c>
      <c r="G381">
        <v>434</v>
      </c>
      <c r="H381">
        <v>11591.83</v>
      </c>
      <c r="I381">
        <v>11455.19</v>
      </c>
      <c r="J381">
        <v>0</v>
      </c>
      <c r="K381" s="14" t="s">
        <v>15</v>
      </c>
      <c r="L381" s="14">
        <f>IF(OR(Table1[[#This Row],[Order_Status]]="Delivered",Table1[[#This Row],[Delivery_Date]]&lt;&gt;"Not Yet Delivered"),Table1[[#This Row],[Delivery_Date]]-Table1[[#This Row],[Order_Date]],"Not Applicable")</f>
        <v>20</v>
      </c>
      <c r="M381" s="14">
        <f>Table1[[#This Row],[Unit_Cost]]-Table1[[#This Row],[Negotiated_Cost]]</f>
        <v>136.63999999999942</v>
      </c>
      <c r="N381" s="18">
        <f>Table1[[#This Row],[Defective_Units]]/Table1[[#This Row],[Quantity]]</f>
        <v>0</v>
      </c>
      <c r="O381" s="26">
        <f>(Table1[[#This Row],[Unit_Cost]]-Table1[[#This Row],[Negotiated_Cost]])/Table1[[#This Row],[Unit_Cost]]</f>
        <v>1.1787612482239597E-2</v>
      </c>
    </row>
    <row r="382" spans="1:15" x14ac:dyDescent="0.25">
      <c r="A382" t="s">
        <v>417</v>
      </c>
      <c r="B382" t="s">
        <v>35</v>
      </c>
      <c r="C382" s="14" t="s">
        <v>48</v>
      </c>
      <c r="D382" s="1">
        <v>45218</v>
      </c>
      <c r="E382" s="13">
        <v>45232</v>
      </c>
      <c r="F382" s="14" t="s">
        <v>14</v>
      </c>
      <c r="G382">
        <v>339</v>
      </c>
      <c r="H382">
        <v>6161.92</v>
      </c>
      <c r="I382">
        <v>6031.9</v>
      </c>
      <c r="J382">
        <v>9</v>
      </c>
      <c r="K382" s="14" t="s">
        <v>15</v>
      </c>
      <c r="L382" s="14">
        <f>IF(OR(Table1[[#This Row],[Order_Status]]="Delivered",Table1[[#This Row],[Delivery_Date]]&lt;&gt;"Not Yet Delivered"),Table1[[#This Row],[Delivery_Date]]-Table1[[#This Row],[Order_Date]],"Not Applicable")</f>
        <v>14</v>
      </c>
      <c r="M382" s="14">
        <f>Table1[[#This Row],[Unit_Cost]]-Table1[[#This Row],[Negotiated_Cost]]</f>
        <v>130.02000000000044</v>
      </c>
      <c r="N382" s="18">
        <f>Table1[[#This Row],[Defective_Units]]/Table1[[#This Row],[Quantity]]</f>
        <v>2.6548672566371681E-2</v>
      </c>
      <c r="O382" s="26">
        <f>(Table1[[#This Row],[Unit_Cost]]-Table1[[#This Row],[Negotiated_Cost]])/Table1[[#This Row],[Unit_Cost]]</f>
        <v>2.1100566057332851E-2</v>
      </c>
    </row>
    <row r="383" spans="1:15" x14ac:dyDescent="0.25">
      <c r="A383" t="s">
        <v>418</v>
      </c>
      <c r="B383" t="s">
        <v>27</v>
      </c>
      <c r="C383" s="14" t="s">
        <v>42</v>
      </c>
      <c r="D383" s="1">
        <v>45249</v>
      </c>
      <c r="E383" s="13">
        <v>45258</v>
      </c>
      <c r="F383" s="14" t="s">
        <v>14</v>
      </c>
      <c r="G383">
        <v>343</v>
      </c>
      <c r="H383">
        <v>11608.42</v>
      </c>
      <c r="I383">
        <v>11419.83</v>
      </c>
      <c r="J383">
        <v>2</v>
      </c>
      <c r="K383" s="14" t="s">
        <v>15</v>
      </c>
      <c r="L383" s="14">
        <f>IF(OR(Table1[[#This Row],[Order_Status]]="Delivered",Table1[[#This Row],[Delivery_Date]]&lt;&gt;"Not Yet Delivered"),Table1[[#This Row],[Delivery_Date]]-Table1[[#This Row],[Order_Date]],"Not Applicable")</f>
        <v>9</v>
      </c>
      <c r="M383" s="14">
        <f>Table1[[#This Row],[Unit_Cost]]-Table1[[#This Row],[Negotiated_Cost]]</f>
        <v>188.59000000000015</v>
      </c>
      <c r="N383" s="18">
        <f>Table1[[#This Row],[Defective_Units]]/Table1[[#This Row],[Quantity]]</f>
        <v>5.8309037900874635E-3</v>
      </c>
      <c r="O383" s="26">
        <f>(Table1[[#This Row],[Unit_Cost]]-Table1[[#This Row],[Negotiated_Cost]])/Table1[[#This Row],[Unit_Cost]]</f>
        <v>1.6245966289986074E-2</v>
      </c>
    </row>
    <row r="384" spans="1:15" x14ac:dyDescent="0.25">
      <c r="A384" t="s">
        <v>419</v>
      </c>
      <c r="B384" t="s">
        <v>40</v>
      </c>
      <c r="C384" s="14" t="s">
        <v>44</v>
      </c>
      <c r="D384" s="1">
        <v>45545</v>
      </c>
      <c r="E384" s="13">
        <v>45563</v>
      </c>
      <c r="F384" s="14" t="s">
        <v>14</v>
      </c>
      <c r="G384">
        <v>100</v>
      </c>
      <c r="H384">
        <v>8638.41</v>
      </c>
      <c r="I384">
        <v>8232.92</v>
      </c>
      <c r="J384">
        <v>0</v>
      </c>
      <c r="K384" s="14" t="s">
        <v>15</v>
      </c>
      <c r="L384" s="14">
        <f>IF(OR(Table1[[#This Row],[Order_Status]]="Delivered",Table1[[#This Row],[Delivery_Date]]&lt;&gt;"Not Yet Delivered"),Table1[[#This Row],[Delivery_Date]]-Table1[[#This Row],[Order_Date]],"Not Applicable")</f>
        <v>18</v>
      </c>
      <c r="M384" s="14">
        <f>Table1[[#This Row],[Unit_Cost]]-Table1[[#This Row],[Negotiated_Cost]]</f>
        <v>405.48999999999978</v>
      </c>
      <c r="N384" s="18">
        <f>Table1[[#This Row],[Defective_Units]]/Table1[[#This Row],[Quantity]]</f>
        <v>0</v>
      </c>
      <c r="O384" s="26">
        <f>(Table1[[#This Row],[Unit_Cost]]-Table1[[#This Row],[Negotiated_Cost]])/Table1[[#This Row],[Unit_Cost]]</f>
        <v>4.6940351291499219E-2</v>
      </c>
    </row>
    <row r="385" spans="1:15" x14ac:dyDescent="0.25">
      <c r="A385" t="s">
        <v>420</v>
      </c>
      <c r="B385" t="s">
        <v>12</v>
      </c>
      <c r="C385" s="14" t="s">
        <v>48</v>
      </c>
      <c r="D385" s="1">
        <v>45062</v>
      </c>
      <c r="E385" s="13">
        <v>45076</v>
      </c>
      <c r="F385" s="14" t="s">
        <v>14</v>
      </c>
      <c r="G385">
        <v>205</v>
      </c>
      <c r="H385">
        <v>6893.56</v>
      </c>
      <c r="I385">
        <v>6803.38</v>
      </c>
      <c r="J385">
        <v>4</v>
      </c>
      <c r="K385" s="14" t="s">
        <v>15</v>
      </c>
      <c r="L385" s="14">
        <f>IF(OR(Table1[[#This Row],[Order_Status]]="Delivered",Table1[[#This Row],[Delivery_Date]]&lt;&gt;"Not Yet Delivered"),Table1[[#This Row],[Delivery_Date]]-Table1[[#This Row],[Order_Date]],"Not Applicable")</f>
        <v>14</v>
      </c>
      <c r="M385" s="14">
        <f>Table1[[#This Row],[Unit_Cost]]-Table1[[#This Row],[Negotiated_Cost]]</f>
        <v>90.180000000000291</v>
      </c>
      <c r="N385" s="18">
        <f>Table1[[#This Row],[Defective_Units]]/Table1[[#This Row],[Quantity]]</f>
        <v>1.9512195121951219E-2</v>
      </c>
      <c r="O385" s="26">
        <f>(Table1[[#This Row],[Unit_Cost]]-Table1[[#This Row],[Negotiated_Cost]])/Table1[[#This Row],[Unit_Cost]]</f>
        <v>1.3081774873940357E-2</v>
      </c>
    </row>
    <row r="386" spans="1:15" x14ac:dyDescent="0.25">
      <c r="A386" t="s">
        <v>421</v>
      </c>
      <c r="B386" t="s">
        <v>35</v>
      </c>
      <c r="C386" s="14" t="s">
        <v>24</v>
      </c>
      <c r="D386" s="1">
        <v>44970</v>
      </c>
      <c r="E386" s="13">
        <v>44999</v>
      </c>
      <c r="F386" s="14" t="s">
        <v>14</v>
      </c>
      <c r="G386">
        <v>33</v>
      </c>
      <c r="H386">
        <v>12329.93</v>
      </c>
      <c r="I386">
        <v>12080.24</v>
      </c>
      <c r="J386">
        <v>0</v>
      </c>
      <c r="K386" s="14" t="s">
        <v>15</v>
      </c>
      <c r="L386" s="14">
        <f>IF(OR(Table1[[#This Row],[Order_Status]]="Delivered",Table1[[#This Row],[Delivery_Date]]&lt;&gt;"Not Yet Delivered"),Table1[[#This Row],[Delivery_Date]]-Table1[[#This Row],[Order_Date]],"Not Applicable")</f>
        <v>29</v>
      </c>
      <c r="M386" s="14">
        <f>Table1[[#This Row],[Unit_Cost]]-Table1[[#This Row],[Negotiated_Cost]]</f>
        <v>249.69000000000051</v>
      </c>
      <c r="N386" s="18">
        <f>Table1[[#This Row],[Defective_Units]]/Table1[[#This Row],[Quantity]]</f>
        <v>0</v>
      </c>
      <c r="O386" s="26">
        <f>(Table1[[#This Row],[Unit_Cost]]-Table1[[#This Row],[Negotiated_Cost]])/Table1[[#This Row],[Unit_Cost]]</f>
        <v>2.0250723240115759E-2</v>
      </c>
    </row>
    <row r="387" spans="1:15" x14ac:dyDescent="0.25">
      <c r="A387" t="s">
        <v>422</v>
      </c>
      <c r="B387" t="s">
        <v>35</v>
      </c>
      <c r="C387" s="14" t="s">
        <v>36</v>
      </c>
      <c r="D387" s="1">
        <v>45416</v>
      </c>
      <c r="E387" s="13">
        <v>45429</v>
      </c>
      <c r="F387" s="14" t="s">
        <v>14</v>
      </c>
      <c r="G387">
        <v>489</v>
      </c>
      <c r="H387">
        <v>552.75</v>
      </c>
      <c r="I387">
        <v>544.73</v>
      </c>
      <c r="J387">
        <v>5</v>
      </c>
      <c r="K387" s="14" t="s">
        <v>15</v>
      </c>
      <c r="L387" s="14">
        <f>IF(OR(Table1[[#This Row],[Order_Status]]="Delivered",Table1[[#This Row],[Delivery_Date]]&lt;&gt;"Not Yet Delivered"),Table1[[#This Row],[Delivery_Date]]-Table1[[#This Row],[Order_Date]],"Not Applicable")</f>
        <v>13</v>
      </c>
      <c r="M387" s="14">
        <f>Table1[[#This Row],[Unit_Cost]]-Table1[[#This Row],[Negotiated_Cost]]</f>
        <v>8.0199999999999818</v>
      </c>
      <c r="N387" s="18">
        <f>Table1[[#This Row],[Defective_Units]]/Table1[[#This Row],[Quantity]]</f>
        <v>1.0224948875255624E-2</v>
      </c>
      <c r="O387" s="26">
        <f>(Table1[[#This Row],[Unit_Cost]]-Table1[[#This Row],[Negotiated_Cost]])/Table1[[#This Row],[Unit_Cost]]</f>
        <v>1.4509271822704626E-2</v>
      </c>
    </row>
    <row r="388" spans="1:15" x14ac:dyDescent="0.25">
      <c r="A388" t="s">
        <v>423</v>
      </c>
      <c r="B388" t="s">
        <v>20</v>
      </c>
      <c r="C388" s="14" t="s">
        <v>42</v>
      </c>
      <c r="D388" s="1">
        <v>44966</v>
      </c>
      <c r="E388" s="13">
        <v>44979</v>
      </c>
      <c r="F388" s="14" t="s">
        <v>37</v>
      </c>
      <c r="G388">
        <v>241</v>
      </c>
      <c r="H388">
        <v>11125.9</v>
      </c>
      <c r="I388">
        <v>10741.96</v>
      </c>
      <c r="J388">
        <v>4</v>
      </c>
      <c r="K388" s="14" t="s">
        <v>15</v>
      </c>
      <c r="L388" s="14">
        <f>IF(OR(Table1[[#This Row],[Order_Status]]="Delivered",Table1[[#This Row],[Delivery_Date]]&lt;&gt;"Not Yet Delivered"),Table1[[#This Row],[Delivery_Date]]-Table1[[#This Row],[Order_Date]],"Not Applicable")</f>
        <v>13</v>
      </c>
      <c r="M388" s="14">
        <f>Table1[[#This Row],[Unit_Cost]]-Table1[[#This Row],[Negotiated_Cost]]</f>
        <v>383.94000000000051</v>
      </c>
      <c r="N388" s="18">
        <f>Table1[[#This Row],[Defective_Units]]/Table1[[#This Row],[Quantity]]</f>
        <v>1.6597510373443983E-2</v>
      </c>
      <c r="O388" s="26">
        <f>(Table1[[#This Row],[Unit_Cost]]-Table1[[#This Row],[Negotiated_Cost]])/Table1[[#This Row],[Unit_Cost]]</f>
        <v>3.4508668961612143E-2</v>
      </c>
    </row>
    <row r="389" spans="1:15" x14ac:dyDescent="0.25">
      <c r="A389" t="s">
        <v>424</v>
      </c>
      <c r="B389" t="s">
        <v>12</v>
      </c>
      <c r="C389" s="14" t="s">
        <v>28</v>
      </c>
      <c r="D389" s="1">
        <v>45297</v>
      </c>
      <c r="E389" s="13">
        <v>45315</v>
      </c>
      <c r="F389" s="14" t="s">
        <v>14</v>
      </c>
      <c r="G389">
        <v>350</v>
      </c>
      <c r="H389">
        <v>50102.29</v>
      </c>
      <c r="I389">
        <v>49977.53</v>
      </c>
      <c r="J389">
        <v>3</v>
      </c>
      <c r="K389" s="14" t="s">
        <v>25</v>
      </c>
      <c r="L389" s="14">
        <f>IF(OR(Table1[[#This Row],[Order_Status]]="Delivered",Table1[[#This Row],[Delivery_Date]]&lt;&gt;"Not Yet Delivered"),Table1[[#This Row],[Delivery_Date]]-Table1[[#This Row],[Order_Date]],"Not Applicable")</f>
        <v>18</v>
      </c>
      <c r="M389" s="14">
        <f>Table1[[#This Row],[Unit_Cost]]-Table1[[#This Row],[Negotiated_Cost]]</f>
        <v>124.76000000000204</v>
      </c>
      <c r="N389" s="18">
        <f>Table1[[#This Row],[Defective_Units]]/Table1[[#This Row],[Quantity]]</f>
        <v>8.5714285714285719E-3</v>
      </c>
      <c r="O389" s="26">
        <f>(Table1[[#This Row],[Unit_Cost]]-Table1[[#This Row],[Negotiated_Cost]])/Table1[[#This Row],[Unit_Cost]]</f>
        <v>2.4901057416737244E-3</v>
      </c>
    </row>
    <row r="390" spans="1:15" x14ac:dyDescent="0.25">
      <c r="A390" t="s">
        <v>425</v>
      </c>
      <c r="B390" t="s">
        <v>32</v>
      </c>
      <c r="C390" s="14" t="s">
        <v>50</v>
      </c>
      <c r="D390" s="1">
        <v>45611</v>
      </c>
      <c r="E390" s="13">
        <v>45625</v>
      </c>
      <c r="F390" s="14" t="s">
        <v>14</v>
      </c>
      <c r="G390">
        <v>484</v>
      </c>
      <c r="H390">
        <v>46065.67</v>
      </c>
      <c r="I390">
        <v>45221.68</v>
      </c>
      <c r="J390">
        <v>4</v>
      </c>
      <c r="K390" s="14" t="s">
        <v>15</v>
      </c>
      <c r="L390" s="14">
        <f>IF(OR(Table1[[#This Row],[Order_Status]]="Delivered",Table1[[#This Row],[Delivery_Date]]&lt;&gt;"Not Yet Delivered"),Table1[[#This Row],[Delivery_Date]]-Table1[[#This Row],[Order_Date]],"Not Applicable")</f>
        <v>14</v>
      </c>
      <c r="M390" s="14">
        <f>Table1[[#This Row],[Unit_Cost]]-Table1[[#This Row],[Negotiated_Cost]]</f>
        <v>843.98999999999796</v>
      </c>
      <c r="N390" s="18">
        <f>Table1[[#This Row],[Defective_Units]]/Table1[[#This Row],[Quantity]]</f>
        <v>8.2644628099173556E-3</v>
      </c>
      <c r="O390" s="26">
        <f>(Table1[[#This Row],[Unit_Cost]]-Table1[[#This Row],[Negotiated_Cost]])/Table1[[#This Row],[Unit_Cost]]</f>
        <v>1.832145283027465E-2</v>
      </c>
    </row>
    <row r="391" spans="1:15" x14ac:dyDescent="0.25">
      <c r="A391" t="s">
        <v>426</v>
      </c>
      <c r="B391" t="s">
        <v>35</v>
      </c>
      <c r="C391" s="14" t="s">
        <v>30</v>
      </c>
      <c r="D391" s="1">
        <v>45266</v>
      </c>
      <c r="E391" s="13">
        <v>45275</v>
      </c>
      <c r="F391" s="14" t="s">
        <v>14</v>
      </c>
      <c r="G391">
        <v>361</v>
      </c>
      <c r="H391">
        <v>926.77</v>
      </c>
      <c r="I391">
        <v>879.54</v>
      </c>
      <c r="J391">
        <v>0</v>
      </c>
      <c r="K391" s="14" t="s">
        <v>15</v>
      </c>
      <c r="L391" s="14">
        <f>IF(OR(Table1[[#This Row],[Order_Status]]="Delivered",Table1[[#This Row],[Delivery_Date]]&lt;&gt;"Not Yet Delivered"),Table1[[#This Row],[Delivery_Date]]-Table1[[#This Row],[Order_Date]],"Not Applicable")</f>
        <v>9</v>
      </c>
      <c r="M391" s="14">
        <f>Table1[[#This Row],[Unit_Cost]]-Table1[[#This Row],[Negotiated_Cost]]</f>
        <v>47.230000000000018</v>
      </c>
      <c r="N391" s="18">
        <f>Table1[[#This Row],[Defective_Units]]/Table1[[#This Row],[Quantity]]</f>
        <v>0</v>
      </c>
      <c r="O391" s="26">
        <f>(Table1[[#This Row],[Unit_Cost]]-Table1[[#This Row],[Negotiated_Cost]])/Table1[[#This Row],[Unit_Cost]]</f>
        <v>5.0961943092676737E-2</v>
      </c>
    </row>
    <row r="392" spans="1:15" x14ac:dyDescent="0.25">
      <c r="A392" t="s">
        <v>427</v>
      </c>
      <c r="B392" t="s">
        <v>40</v>
      </c>
      <c r="C392" s="14" t="s">
        <v>24</v>
      </c>
      <c r="D392" s="1">
        <v>45443</v>
      </c>
      <c r="E392" s="13">
        <v>45450</v>
      </c>
      <c r="F392" s="14" t="s">
        <v>14</v>
      </c>
      <c r="G392">
        <v>320</v>
      </c>
      <c r="H392">
        <v>12753.15</v>
      </c>
      <c r="I392">
        <v>12498.23</v>
      </c>
      <c r="J392">
        <v>1</v>
      </c>
      <c r="K392" s="14" t="s">
        <v>15</v>
      </c>
      <c r="L392" s="14">
        <f>IF(OR(Table1[[#This Row],[Order_Status]]="Delivered",Table1[[#This Row],[Delivery_Date]]&lt;&gt;"Not Yet Delivered"),Table1[[#This Row],[Delivery_Date]]-Table1[[#This Row],[Order_Date]],"Not Applicable")</f>
        <v>7</v>
      </c>
      <c r="M392" s="14">
        <f>Table1[[#This Row],[Unit_Cost]]-Table1[[#This Row],[Negotiated_Cost]]</f>
        <v>254.92000000000007</v>
      </c>
      <c r="N392" s="18">
        <f>Table1[[#This Row],[Defective_Units]]/Table1[[#This Row],[Quantity]]</f>
        <v>3.1250000000000002E-3</v>
      </c>
      <c r="O392" s="26">
        <f>(Table1[[#This Row],[Unit_Cost]]-Table1[[#This Row],[Negotiated_Cost]])/Table1[[#This Row],[Unit_Cost]]</f>
        <v>1.9988787083975338E-2</v>
      </c>
    </row>
    <row r="393" spans="1:15" x14ac:dyDescent="0.25">
      <c r="A393" t="s">
        <v>428</v>
      </c>
      <c r="B393" t="s">
        <v>35</v>
      </c>
      <c r="C393" s="14" t="s">
        <v>13</v>
      </c>
      <c r="D393" s="1">
        <v>45003</v>
      </c>
      <c r="E393" s="13">
        <v>45005</v>
      </c>
      <c r="F393" s="14" t="s">
        <v>14</v>
      </c>
      <c r="G393">
        <v>234</v>
      </c>
      <c r="H393">
        <v>3995.54</v>
      </c>
      <c r="I393">
        <v>3935.13</v>
      </c>
      <c r="J393">
        <v>0</v>
      </c>
      <c r="K393" s="14" t="s">
        <v>25</v>
      </c>
      <c r="L393" s="14">
        <f>IF(OR(Table1[[#This Row],[Order_Status]]="Delivered",Table1[[#This Row],[Delivery_Date]]&lt;&gt;"Not Yet Delivered"),Table1[[#This Row],[Delivery_Date]]-Table1[[#This Row],[Order_Date]],"Not Applicable")</f>
        <v>2</v>
      </c>
      <c r="M393" s="14">
        <f>Table1[[#This Row],[Unit_Cost]]-Table1[[#This Row],[Negotiated_Cost]]</f>
        <v>60.409999999999854</v>
      </c>
      <c r="N393" s="18">
        <f>Table1[[#This Row],[Defective_Units]]/Table1[[#This Row],[Quantity]]</f>
        <v>0</v>
      </c>
      <c r="O393" s="26">
        <f>(Table1[[#This Row],[Unit_Cost]]-Table1[[#This Row],[Negotiated_Cost]])/Table1[[#This Row],[Unit_Cost]]</f>
        <v>1.5119358084263918E-2</v>
      </c>
    </row>
    <row r="394" spans="1:15" x14ac:dyDescent="0.25">
      <c r="A394" t="s">
        <v>429</v>
      </c>
      <c r="B394" t="s">
        <v>46</v>
      </c>
      <c r="C394" s="14" t="s">
        <v>42</v>
      </c>
      <c r="D394" s="1">
        <v>45017</v>
      </c>
      <c r="E394" s="13">
        <v>45045</v>
      </c>
      <c r="F394" s="14" t="s">
        <v>14</v>
      </c>
      <c r="G394">
        <v>484</v>
      </c>
      <c r="H394">
        <v>12128.42</v>
      </c>
      <c r="I394">
        <v>11404.88</v>
      </c>
      <c r="J394">
        <v>0</v>
      </c>
      <c r="K394" s="14" t="s">
        <v>15</v>
      </c>
      <c r="L394" s="14">
        <f>IF(OR(Table1[[#This Row],[Order_Status]]="Delivered",Table1[[#This Row],[Delivery_Date]]&lt;&gt;"Not Yet Delivered"),Table1[[#This Row],[Delivery_Date]]-Table1[[#This Row],[Order_Date]],"Not Applicable")</f>
        <v>28</v>
      </c>
      <c r="M394" s="14">
        <f>Table1[[#This Row],[Unit_Cost]]-Table1[[#This Row],[Negotiated_Cost]]</f>
        <v>723.54000000000087</v>
      </c>
      <c r="N394" s="18">
        <f>Table1[[#This Row],[Defective_Units]]/Table1[[#This Row],[Quantity]]</f>
        <v>0</v>
      </c>
      <c r="O394" s="26">
        <f>(Table1[[#This Row],[Unit_Cost]]-Table1[[#This Row],[Negotiated_Cost]])/Table1[[#This Row],[Unit_Cost]]</f>
        <v>5.9656575217546956E-2</v>
      </c>
    </row>
    <row r="395" spans="1:15" x14ac:dyDescent="0.25">
      <c r="A395" t="s">
        <v>430</v>
      </c>
      <c r="B395" t="s">
        <v>17</v>
      </c>
      <c r="C395" s="14" t="s">
        <v>30</v>
      </c>
      <c r="D395" s="1">
        <v>45625</v>
      </c>
      <c r="E395" s="13">
        <v>45654</v>
      </c>
      <c r="F395" s="14" t="s">
        <v>14</v>
      </c>
      <c r="G395">
        <v>409</v>
      </c>
      <c r="H395">
        <v>874.81</v>
      </c>
      <c r="I395">
        <v>852.04</v>
      </c>
      <c r="J395">
        <v>0</v>
      </c>
      <c r="K395" s="14" t="s">
        <v>15</v>
      </c>
      <c r="L395" s="14">
        <f>IF(OR(Table1[[#This Row],[Order_Status]]="Delivered",Table1[[#This Row],[Delivery_Date]]&lt;&gt;"Not Yet Delivered"),Table1[[#This Row],[Delivery_Date]]-Table1[[#This Row],[Order_Date]],"Not Applicable")</f>
        <v>29</v>
      </c>
      <c r="M395" s="14">
        <f>Table1[[#This Row],[Unit_Cost]]-Table1[[#This Row],[Negotiated_Cost]]</f>
        <v>22.769999999999982</v>
      </c>
      <c r="N395" s="18">
        <f>Table1[[#This Row],[Defective_Units]]/Table1[[#This Row],[Quantity]]</f>
        <v>0</v>
      </c>
      <c r="O395" s="26">
        <f>(Table1[[#This Row],[Unit_Cost]]-Table1[[#This Row],[Negotiated_Cost]])/Table1[[#This Row],[Unit_Cost]]</f>
        <v>2.6028509047678904E-2</v>
      </c>
    </row>
    <row r="396" spans="1:15" x14ac:dyDescent="0.25">
      <c r="A396" t="s">
        <v>431</v>
      </c>
      <c r="B396" t="s">
        <v>20</v>
      </c>
      <c r="C396" s="14" t="s">
        <v>28</v>
      </c>
      <c r="D396" s="1">
        <v>45282</v>
      </c>
      <c r="E396" s="13">
        <v>45309</v>
      </c>
      <c r="F396" s="14" t="s">
        <v>14</v>
      </c>
      <c r="G396">
        <v>420</v>
      </c>
      <c r="H396">
        <v>44048.67</v>
      </c>
      <c r="I396">
        <v>42757.96</v>
      </c>
      <c r="J396">
        <v>8</v>
      </c>
      <c r="K396" s="14" t="s">
        <v>15</v>
      </c>
      <c r="L396" s="14">
        <f>IF(OR(Table1[[#This Row],[Order_Status]]="Delivered",Table1[[#This Row],[Delivery_Date]]&lt;&gt;"Not Yet Delivered"),Table1[[#This Row],[Delivery_Date]]-Table1[[#This Row],[Order_Date]],"Not Applicable")</f>
        <v>27</v>
      </c>
      <c r="M396" s="14">
        <f>Table1[[#This Row],[Unit_Cost]]-Table1[[#This Row],[Negotiated_Cost]]</f>
        <v>1290.7099999999991</v>
      </c>
      <c r="N396" s="18">
        <f>Table1[[#This Row],[Defective_Units]]/Table1[[#This Row],[Quantity]]</f>
        <v>1.9047619047619049E-2</v>
      </c>
      <c r="O396" s="26">
        <f>(Table1[[#This Row],[Unit_Cost]]-Table1[[#This Row],[Negotiated_Cost]])/Table1[[#This Row],[Unit_Cost]]</f>
        <v>2.9301906277760466E-2</v>
      </c>
    </row>
    <row r="397" spans="1:15" x14ac:dyDescent="0.25">
      <c r="A397" t="s">
        <v>432</v>
      </c>
      <c r="B397" t="s">
        <v>12</v>
      </c>
      <c r="C397" s="14" t="s">
        <v>48</v>
      </c>
      <c r="D397" s="1">
        <v>45499</v>
      </c>
      <c r="E397" s="13">
        <v>45510</v>
      </c>
      <c r="F397" s="14" t="s">
        <v>14</v>
      </c>
      <c r="G397">
        <v>33</v>
      </c>
      <c r="H397">
        <v>7035.26</v>
      </c>
      <c r="I397">
        <v>6799.84</v>
      </c>
      <c r="J397">
        <v>0</v>
      </c>
      <c r="K397" s="14" t="s">
        <v>15</v>
      </c>
      <c r="L397" s="14">
        <f>IF(OR(Table1[[#This Row],[Order_Status]]="Delivered",Table1[[#This Row],[Delivery_Date]]&lt;&gt;"Not Yet Delivered"),Table1[[#This Row],[Delivery_Date]]-Table1[[#This Row],[Order_Date]],"Not Applicable")</f>
        <v>11</v>
      </c>
      <c r="M397" s="14">
        <f>Table1[[#This Row],[Unit_Cost]]-Table1[[#This Row],[Negotiated_Cost]]</f>
        <v>235.42000000000007</v>
      </c>
      <c r="N397" s="18">
        <f>Table1[[#This Row],[Defective_Units]]/Table1[[#This Row],[Quantity]]</f>
        <v>0</v>
      </c>
      <c r="O397" s="26">
        <f>(Table1[[#This Row],[Unit_Cost]]-Table1[[#This Row],[Negotiated_Cost]])/Table1[[#This Row],[Unit_Cost]]</f>
        <v>3.3462871308238794E-2</v>
      </c>
    </row>
    <row r="398" spans="1:15" x14ac:dyDescent="0.25">
      <c r="A398" t="s">
        <v>433</v>
      </c>
      <c r="B398" t="s">
        <v>32</v>
      </c>
      <c r="C398" s="14" t="s">
        <v>42</v>
      </c>
      <c r="D398" s="1">
        <v>45621</v>
      </c>
      <c r="E398" s="13">
        <v>45641</v>
      </c>
      <c r="F398" s="14" t="s">
        <v>14</v>
      </c>
      <c r="G398">
        <v>32</v>
      </c>
      <c r="H398">
        <v>11076.67</v>
      </c>
      <c r="I398">
        <v>10552.72</v>
      </c>
      <c r="J398">
        <v>1</v>
      </c>
      <c r="K398" s="14" t="s">
        <v>15</v>
      </c>
      <c r="L398" s="14">
        <f>IF(OR(Table1[[#This Row],[Order_Status]]="Delivered",Table1[[#This Row],[Delivery_Date]]&lt;&gt;"Not Yet Delivered"),Table1[[#This Row],[Delivery_Date]]-Table1[[#This Row],[Order_Date]],"Not Applicable")</f>
        <v>20</v>
      </c>
      <c r="M398" s="14">
        <f>Table1[[#This Row],[Unit_Cost]]-Table1[[#This Row],[Negotiated_Cost]]</f>
        <v>523.95000000000073</v>
      </c>
      <c r="N398" s="18">
        <f>Table1[[#This Row],[Defective_Units]]/Table1[[#This Row],[Quantity]]</f>
        <v>3.125E-2</v>
      </c>
      <c r="O398" s="26">
        <f>(Table1[[#This Row],[Unit_Cost]]-Table1[[#This Row],[Negotiated_Cost]])/Table1[[#This Row],[Unit_Cost]]</f>
        <v>4.7302122388768533E-2</v>
      </c>
    </row>
    <row r="399" spans="1:15" x14ac:dyDescent="0.25">
      <c r="A399" t="s">
        <v>434</v>
      </c>
      <c r="B399" t="s">
        <v>20</v>
      </c>
      <c r="C399" s="14" t="s">
        <v>55</v>
      </c>
      <c r="D399" s="1">
        <v>44940</v>
      </c>
      <c r="E399" s="13">
        <v>44968</v>
      </c>
      <c r="F399" s="14" t="s">
        <v>14</v>
      </c>
      <c r="G399">
        <v>207</v>
      </c>
      <c r="H399">
        <v>14670.34</v>
      </c>
      <c r="I399">
        <v>14523.2</v>
      </c>
      <c r="J399">
        <v>4</v>
      </c>
      <c r="K399" s="14" t="s">
        <v>15</v>
      </c>
      <c r="L399" s="14">
        <f>IF(OR(Table1[[#This Row],[Order_Status]]="Delivered",Table1[[#This Row],[Delivery_Date]]&lt;&gt;"Not Yet Delivered"),Table1[[#This Row],[Delivery_Date]]-Table1[[#This Row],[Order_Date]],"Not Applicable")</f>
        <v>28</v>
      </c>
      <c r="M399" s="14">
        <f>Table1[[#This Row],[Unit_Cost]]-Table1[[#This Row],[Negotiated_Cost]]</f>
        <v>147.13999999999942</v>
      </c>
      <c r="N399" s="18">
        <f>Table1[[#This Row],[Defective_Units]]/Table1[[#This Row],[Quantity]]</f>
        <v>1.932367149758454E-2</v>
      </c>
      <c r="O399" s="26">
        <f>(Table1[[#This Row],[Unit_Cost]]-Table1[[#This Row],[Negotiated_Cost]])/Table1[[#This Row],[Unit_Cost]]</f>
        <v>1.0029760728108511E-2</v>
      </c>
    </row>
    <row r="400" spans="1:15" x14ac:dyDescent="0.25">
      <c r="A400" t="s">
        <v>435</v>
      </c>
      <c r="B400" t="s">
        <v>40</v>
      </c>
      <c r="C400" s="14" t="s">
        <v>36</v>
      </c>
      <c r="D400" s="1">
        <v>45351</v>
      </c>
      <c r="E400" s="13">
        <v>45362</v>
      </c>
      <c r="F400" s="14" t="s">
        <v>14</v>
      </c>
      <c r="G400">
        <v>63</v>
      </c>
      <c r="H400">
        <v>608.04999999999995</v>
      </c>
      <c r="I400">
        <v>595.23</v>
      </c>
      <c r="J400">
        <v>2</v>
      </c>
      <c r="K400" s="14" t="s">
        <v>15</v>
      </c>
      <c r="L400" s="14">
        <f>IF(OR(Table1[[#This Row],[Order_Status]]="Delivered",Table1[[#This Row],[Delivery_Date]]&lt;&gt;"Not Yet Delivered"),Table1[[#This Row],[Delivery_Date]]-Table1[[#This Row],[Order_Date]],"Not Applicable")</f>
        <v>11</v>
      </c>
      <c r="M400" s="14">
        <f>Table1[[#This Row],[Unit_Cost]]-Table1[[#This Row],[Negotiated_Cost]]</f>
        <v>12.819999999999936</v>
      </c>
      <c r="N400" s="18">
        <f>Table1[[#This Row],[Defective_Units]]/Table1[[#This Row],[Quantity]]</f>
        <v>3.1746031746031744E-2</v>
      </c>
      <c r="O400" s="26">
        <f>(Table1[[#This Row],[Unit_Cost]]-Table1[[#This Row],[Negotiated_Cost]])/Table1[[#This Row],[Unit_Cost]]</f>
        <v>2.1083792451278574E-2</v>
      </c>
    </row>
    <row r="401" spans="1:15" x14ac:dyDescent="0.25">
      <c r="A401" t="s">
        <v>436</v>
      </c>
      <c r="B401" t="s">
        <v>12</v>
      </c>
      <c r="C401" s="14" t="s">
        <v>18</v>
      </c>
      <c r="D401" s="1">
        <v>45332</v>
      </c>
      <c r="E401" s="13">
        <v>45347</v>
      </c>
      <c r="F401" s="14" t="s">
        <v>14</v>
      </c>
      <c r="G401">
        <v>218</v>
      </c>
      <c r="H401">
        <v>5512.24</v>
      </c>
      <c r="I401">
        <v>5331.3</v>
      </c>
      <c r="J401">
        <v>1</v>
      </c>
      <c r="K401" s="14" t="s">
        <v>15</v>
      </c>
      <c r="L401" s="14">
        <f>IF(OR(Table1[[#This Row],[Order_Status]]="Delivered",Table1[[#This Row],[Delivery_Date]]&lt;&gt;"Not Yet Delivered"),Table1[[#This Row],[Delivery_Date]]-Table1[[#This Row],[Order_Date]],"Not Applicable")</f>
        <v>15</v>
      </c>
      <c r="M401" s="14">
        <f>Table1[[#This Row],[Unit_Cost]]-Table1[[#This Row],[Negotiated_Cost]]</f>
        <v>180.9399999999996</v>
      </c>
      <c r="N401" s="18">
        <f>Table1[[#This Row],[Defective_Units]]/Table1[[#This Row],[Quantity]]</f>
        <v>4.5871559633027525E-3</v>
      </c>
      <c r="O401" s="26">
        <f>(Table1[[#This Row],[Unit_Cost]]-Table1[[#This Row],[Negotiated_Cost]])/Table1[[#This Row],[Unit_Cost]]</f>
        <v>3.2825130981234421E-2</v>
      </c>
    </row>
    <row r="402" spans="1:15" x14ac:dyDescent="0.25">
      <c r="A402" t="s">
        <v>437</v>
      </c>
      <c r="B402" t="s">
        <v>40</v>
      </c>
      <c r="C402" s="14" t="s">
        <v>42</v>
      </c>
      <c r="D402" s="1">
        <v>45222</v>
      </c>
      <c r="E402" s="13">
        <v>45251</v>
      </c>
      <c r="F402" s="14" t="s">
        <v>14</v>
      </c>
      <c r="G402">
        <v>122</v>
      </c>
      <c r="H402">
        <v>13248.8</v>
      </c>
      <c r="I402">
        <v>13177.43</v>
      </c>
      <c r="J402">
        <v>0</v>
      </c>
      <c r="K402" s="14" t="s">
        <v>15</v>
      </c>
      <c r="L402" s="14">
        <f>IF(OR(Table1[[#This Row],[Order_Status]]="Delivered",Table1[[#This Row],[Delivery_Date]]&lt;&gt;"Not Yet Delivered"),Table1[[#This Row],[Delivery_Date]]-Table1[[#This Row],[Order_Date]],"Not Applicable")</f>
        <v>29</v>
      </c>
      <c r="M402" s="14">
        <f>Table1[[#This Row],[Unit_Cost]]-Table1[[#This Row],[Negotiated_Cost]]</f>
        <v>71.369999999998981</v>
      </c>
      <c r="N402" s="18">
        <f>Table1[[#This Row],[Defective_Units]]/Table1[[#This Row],[Quantity]]</f>
        <v>0</v>
      </c>
      <c r="O402" s="26">
        <f>(Table1[[#This Row],[Unit_Cost]]-Table1[[#This Row],[Negotiated_Cost]])/Table1[[#This Row],[Unit_Cost]]</f>
        <v>5.3869029647967354E-3</v>
      </c>
    </row>
    <row r="403" spans="1:15" x14ac:dyDescent="0.25">
      <c r="A403" t="s">
        <v>438</v>
      </c>
      <c r="B403" t="s">
        <v>27</v>
      </c>
      <c r="C403" s="14" t="s">
        <v>55</v>
      </c>
      <c r="D403" s="1">
        <v>45364</v>
      </c>
      <c r="E403" s="13">
        <v>45376</v>
      </c>
      <c r="F403" s="14" t="s">
        <v>14</v>
      </c>
      <c r="G403">
        <v>30</v>
      </c>
      <c r="H403">
        <v>15216.95</v>
      </c>
      <c r="I403">
        <v>14390.59</v>
      </c>
      <c r="J403">
        <v>0</v>
      </c>
      <c r="K403" s="14" t="s">
        <v>15</v>
      </c>
      <c r="L403" s="14">
        <f>IF(OR(Table1[[#This Row],[Order_Status]]="Delivered",Table1[[#This Row],[Delivery_Date]]&lt;&gt;"Not Yet Delivered"),Table1[[#This Row],[Delivery_Date]]-Table1[[#This Row],[Order_Date]],"Not Applicable")</f>
        <v>12</v>
      </c>
      <c r="M403" s="14">
        <f>Table1[[#This Row],[Unit_Cost]]-Table1[[#This Row],[Negotiated_Cost]]</f>
        <v>826.36000000000058</v>
      </c>
      <c r="N403" s="18">
        <f>Table1[[#This Row],[Defective_Units]]/Table1[[#This Row],[Quantity]]</f>
        <v>0</v>
      </c>
      <c r="O403" s="26">
        <f>(Table1[[#This Row],[Unit_Cost]]-Table1[[#This Row],[Negotiated_Cost]])/Table1[[#This Row],[Unit_Cost]]</f>
        <v>5.4305231994585021E-2</v>
      </c>
    </row>
    <row r="404" spans="1:15" x14ac:dyDescent="0.25">
      <c r="A404" t="s">
        <v>439</v>
      </c>
      <c r="B404" t="s">
        <v>12</v>
      </c>
      <c r="C404" s="14" t="s">
        <v>30</v>
      </c>
      <c r="D404" s="1">
        <v>45365</v>
      </c>
      <c r="E404" s="14" t="s">
        <v>2057</v>
      </c>
      <c r="F404" s="14" t="s">
        <v>33</v>
      </c>
      <c r="G404">
        <v>148</v>
      </c>
      <c r="H404">
        <v>966.62</v>
      </c>
      <c r="I404">
        <v>943.23</v>
      </c>
      <c r="J404">
        <v>2</v>
      </c>
      <c r="K404" s="14" t="s">
        <v>15</v>
      </c>
      <c r="L404" s="14" t="str">
        <f>IF(OR(Table1[[#This Row],[Order_Status]]="Delivered",Table1[[#This Row],[Delivery_Date]]&lt;&gt;"Not Yet Delivered"),Table1[[#This Row],[Delivery_Date]]-Table1[[#This Row],[Order_Date]],"Not Applicable")</f>
        <v>Not Applicable</v>
      </c>
      <c r="M404" s="14">
        <f>Table1[[#This Row],[Unit_Cost]]-Table1[[#This Row],[Negotiated_Cost]]</f>
        <v>23.389999999999986</v>
      </c>
      <c r="N404" s="18">
        <f>Table1[[#This Row],[Defective_Units]]/Table1[[#This Row],[Quantity]]</f>
        <v>1.3513513513513514E-2</v>
      </c>
      <c r="O404" s="26">
        <f>(Table1[[#This Row],[Unit_Cost]]-Table1[[#This Row],[Negotiated_Cost]])/Table1[[#This Row],[Unit_Cost]]</f>
        <v>2.4197719889925706E-2</v>
      </c>
    </row>
    <row r="405" spans="1:15" x14ac:dyDescent="0.25">
      <c r="A405" t="s">
        <v>440</v>
      </c>
      <c r="B405" t="s">
        <v>46</v>
      </c>
      <c r="C405" s="14" t="s">
        <v>42</v>
      </c>
      <c r="D405" s="1">
        <v>45141</v>
      </c>
      <c r="E405" s="13">
        <v>45161</v>
      </c>
      <c r="F405" s="14" t="s">
        <v>14</v>
      </c>
      <c r="G405">
        <v>92</v>
      </c>
      <c r="H405">
        <v>12428.26</v>
      </c>
      <c r="I405">
        <v>11775.94</v>
      </c>
      <c r="J405">
        <v>2</v>
      </c>
      <c r="K405" s="14" t="s">
        <v>25</v>
      </c>
      <c r="L405" s="14">
        <f>IF(OR(Table1[[#This Row],[Order_Status]]="Delivered",Table1[[#This Row],[Delivery_Date]]&lt;&gt;"Not Yet Delivered"),Table1[[#This Row],[Delivery_Date]]-Table1[[#This Row],[Order_Date]],"Not Applicable")</f>
        <v>20</v>
      </c>
      <c r="M405" s="14">
        <f>Table1[[#This Row],[Unit_Cost]]-Table1[[#This Row],[Negotiated_Cost]]</f>
        <v>652.31999999999971</v>
      </c>
      <c r="N405" s="18">
        <f>Table1[[#This Row],[Defective_Units]]/Table1[[#This Row],[Quantity]]</f>
        <v>2.1739130434782608E-2</v>
      </c>
      <c r="O405" s="26">
        <f>(Table1[[#This Row],[Unit_Cost]]-Table1[[#This Row],[Negotiated_Cost]])/Table1[[#This Row],[Unit_Cost]]</f>
        <v>5.2486832428674628E-2</v>
      </c>
    </row>
    <row r="406" spans="1:15" x14ac:dyDescent="0.25">
      <c r="A406" t="s">
        <v>441</v>
      </c>
      <c r="B406" t="s">
        <v>40</v>
      </c>
      <c r="C406" s="14" t="s">
        <v>18</v>
      </c>
      <c r="D406" s="1">
        <v>45533</v>
      </c>
      <c r="E406" s="13">
        <v>45541</v>
      </c>
      <c r="F406" s="14" t="s">
        <v>14</v>
      </c>
      <c r="G406">
        <v>377</v>
      </c>
      <c r="H406">
        <v>5321.09</v>
      </c>
      <c r="I406">
        <v>5108.87</v>
      </c>
      <c r="J406">
        <v>4</v>
      </c>
      <c r="K406" s="14" t="s">
        <v>15</v>
      </c>
      <c r="L406" s="14">
        <f>IF(OR(Table1[[#This Row],[Order_Status]]="Delivered",Table1[[#This Row],[Delivery_Date]]&lt;&gt;"Not Yet Delivered"),Table1[[#This Row],[Delivery_Date]]-Table1[[#This Row],[Order_Date]],"Not Applicable")</f>
        <v>8</v>
      </c>
      <c r="M406" s="14">
        <f>Table1[[#This Row],[Unit_Cost]]-Table1[[#This Row],[Negotiated_Cost]]</f>
        <v>212.22000000000025</v>
      </c>
      <c r="N406" s="18">
        <f>Table1[[#This Row],[Defective_Units]]/Table1[[#This Row],[Quantity]]</f>
        <v>1.0610079575596816E-2</v>
      </c>
      <c r="O406" s="26">
        <f>(Table1[[#This Row],[Unit_Cost]]-Table1[[#This Row],[Negotiated_Cost]])/Table1[[#This Row],[Unit_Cost]]</f>
        <v>3.988280596644677E-2</v>
      </c>
    </row>
    <row r="407" spans="1:15" x14ac:dyDescent="0.25">
      <c r="A407" t="s">
        <v>442</v>
      </c>
      <c r="B407" t="s">
        <v>32</v>
      </c>
      <c r="C407" s="14" t="s">
        <v>24</v>
      </c>
      <c r="D407" s="1">
        <v>45449</v>
      </c>
      <c r="E407" s="13">
        <v>45452</v>
      </c>
      <c r="F407" s="14" t="s">
        <v>14</v>
      </c>
      <c r="G407">
        <v>102</v>
      </c>
      <c r="H407">
        <v>10908.03</v>
      </c>
      <c r="I407">
        <v>10391.51</v>
      </c>
      <c r="J407">
        <v>1</v>
      </c>
      <c r="K407" s="14" t="s">
        <v>15</v>
      </c>
      <c r="L407" s="14">
        <f>IF(OR(Table1[[#This Row],[Order_Status]]="Delivered",Table1[[#This Row],[Delivery_Date]]&lt;&gt;"Not Yet Delivered"),Table1[[#This Row],[Delivery_Date]]-Table1[[#This Row],[Order_Date]],"Not Applicable")</f>
        <v>3</v>
      </c>
      <c r="M407" s="14">
        <f>Table1[[#This Row],[Unit_Cost]]-Table1[[#This Row],[Negotiated_Cost]]</f>
        <v>516.52000000000044</v>
      </c>
      <c r="N407" s="18">
        <f>Table1[[#This Row],[Defective_Units]]/Table1[[#This Row],[Quantity]]</f>
        <v>9.8039215686274508E-3</v>
      </c>
      <c r="O407" s="26">
        <f>(Table1[[#This Row],[Unit_Cost]]-Table1[[#This Row],[Negotiated_Cost]])/Table1[[#This Row],[Unit_Cost]]</f>
        <v>4.7352271675087106E-2</v>
      </c>
    </row>
    <row r="408" spans="1:15" x14ac:dyDescent="0.25">
      <c r="A408" t="s">
        <v>443</v>
      </c>
      <c r="B408" t="s">
        <v>12</v>
      </c>
      <c r="C408" s="14" t="s">
        <v>36</v>
      </c>
      <c r="D408" s="1">
        <v>45564</v>
      </c>
      <c r="E408" s="13">
        <v>45588</v>
      </c>
      <c r="F408" s="14" t="s">
        <v>37</v>
      </c>
      <c r="G408">
        <v>300</v>
      </c>
      <c r="H408">
        <v>550.78</v>
      </c>
      <c r="I408">
        <v>518.02</v>
      </c>
      <c r="J408">
        <v>1</v>
      </c>
      <c r="K408" s="14" t="s">
        <v>15</v>
      </c>
      <c r="L408" s="14">
        <f>IF(OR(Table1[[#This Row],[Order_Status]]="Delivered",Table1[[#This Row],[Delivery_Date]]&lt;&gt;"Not Yet Delivered"),Table1[[#This Row],[Delivery_Date]]-Table1[[#This Row],[Order_Date]],"Not Applicable")</f>
        <v>24</v>
      </c>
      <c r="M408" s="14">
        <f>Table1[[#This Row],[Unit_Cost]]-Table1[[#This Row],[Negotiated_Cost]]</f>
        <v>32.759999999999991</v>
      </c>
      <c r="N408" s="18">
        <f>Table1[[#This Row],[Defective_Units]]/Table1[[#This Row],[Quantity]]</f>
        <v>3.3333333333333335E-3</v>
      </c>
      <c r="O408" s="26">
        <f>(Table1[[#This Row],[Unit_Cost]]-Table1[[#This Row],[Negotiated_Cost]])/Table1[[#This Row],[Unit_Cost]]</f>
        <v>5.9479283924615989E-2</v>
      </c>
    </row>
    <row r="409" spans="1:15" x14ac:dyDescent="0.25">
      <c r="A409" t="s">
        <v>444</v>
      </c>
      <c r="B409" t="s">
        <v>27</v>
      </c>
      <c r="C409" s="14" t="s">
        <v>21</v>
      </c>
      <c r="D409" s="1">
        <v>44965</v>
      </c>
      <c r="E409" s="13">
        <v>44970</v>
      </c>
      <c r="F409" s="14" t="s">
        <v>14</v>
      </c>
      <c r="G409">
        <v>32</v>
      </c>
      <c r="H409">
        <v>120.27</v>
      </c>
      <c r="I409">
        <v>117.92</v>
      </c>
      <c r="J409">
        <v>0</v>
      </c>
      <c r="K409" s="14" t="s">
        <v>15</v>
      </c>
      <c r="L409" s="14">
        <f>IF(OR(Table1[[#This Row],[Order_Status]]="Delivered",Table1[[#This Row],[Delivery_Date]]&lt;&gt;"Not Yet Delivered"),Table1[[#This Row],[Delivery_Date]]-Table1[[#This Row],[Order_Date]],"Not Applicable")</f>
        <v>5</v>
      </c>
      <c r="M409" s="14">
        <f>Table1[[#This Row],[Unit_Cost]]-Table1[[#This Row],[Negotiated_Cost]]</f>
        <v>2.3499999999999943</v>
      </c>
      <c r="N409" s="18">
        <f>Table1[[#This Row],[Defective_Units]]/Table1[[#This Row],[Quantity]]</f>
        <v>0</v>
      </c>
      <c r="O409" s="26">
        <f>(Table1[[#This Row],[Unit_Cost]]-Table1[[#This Row],[Negotiated_Cost]])/Table1[[#This Row],[Unit_Cost]]</f>
        <v>1.9539369751392654E-2</v>
      </c>
    </row>
    <row r="410" spans="1:15" x14ac:dyDescent="0.25">
      <c r="A410" t="s">
        <v>445</v>
      </c>
      <c r="B410" t="s">
        <v>40</v>
      </c>
      <c r="C410" s="14" t="s">
        <v>18</v>
      </c>
      <c r="D410" s="1">
        <v>45302</v>
      </c>
      <c r="E410" s="13">
        <v>45314</v>
      </c>
      <c r="F410" s="14" t="s">
        <v>14</v>
      </c>
      <c r="G410">
        <v>475</v>
      </c>
      <c r="H410">
        <v>5345.48</v>
      </c>
      <c r="I410">
        <v>5290.74</v>
      </c>
      <c r="J410">
        <v>5</v>
      </c>
      <c r="K410" s="14" t="s">
        <v>15</v>
      </c>
      <c r="L410" s="14">
        <f>IF(OR(Table1[[#This Row],[Order_Status]]="Delivered",Table1[[#This Row],[Delivery_Date]]&lt;&gt;"Not Yet Delivered"),Table1[[#This Row],[Delivery_Date]]-Table1[[#This Row],[Order_Date]],"Not Applicable")</f>
        <v>12</v>
      </c>
      <c r="M410" s="14">
        <f>Table1[[#This Row],[Unit_Cost]]-Table1[[#This Row],[Negotiated_Cost]]</f>
        <v>54.739999999999782</v>
      </c>
      <c r="N410" s="18">
        <f>Table1[[#This Row],[Defective_Units]]/Table1[[#This Row],[Quantity]]</f>
        <v>1.0526315789473684E-2</v>
      </c>
      <c r="O410" s="26">
        <f>(Table1[[#This Row],[Unit_Cost]]-Table1[[#This Row],[Negotiated_Cost]])/Table1[[#This Row],[Unit_Cost]]</f>
        <v>1.0240427426536023E-2</v>
      </c>
    </row>
    <row r="411" spans="1:15" x14ac:dyDescent="0.25">
      <c r="A411" t="s">
        <v>446</v>
      </c>
      <c r="B411" t="s">
        <v>35</v>
      </c>
      <c r="C411" s="14" t="s">
        <v>18</v>
      </c>
      <c r="D411" s="1">
        <v>45164</v>
      </c>
      <c r="E411" s="13">
        <v>45188</v>
      </c>
      <c r="F411" s="14" t="s">
        <v>14</v>
      </c>
      <c r="G411">
        <v>412</v>
      </c>
      <c r="H411">
        <v>5277.38</v>
      </c>
      <c r="I411">
        <v>5047.38</v>
      </c>
      <c r="J411">
        <v>3</v>
      </c>
      <c r="K411" s="14" t="s">
        <v>15</v>
      </c>
      <c r="L411" s="14">
        <f>IF(OR(Table1[[#This Row],[Order_Status]]="Delivered",Table1[[#This Row],[Delivery_Date]]&lt;&gt;"Not Yet Delivered"),Table1[[#This Row],[Delivery_Date]]-Table1[[#This Row],[Order_Date]],"Not Applicable")</f>
        <v>24</v>
      </c>
      <c r="M411" s="14">
        <f>Table1[[#This Row],[Unit_Cost]]-Table1[[#This Row],[Negotiated_Cost]]</f>
        <v>230</v>
      </c>
      <c r="N411" s="18">
        <f>Table1[[#This Row],[Defective_Units]]/Table1[[#This Row],[Quantity]]</f>
        <v>7.2815533980582527E-3</v>
      </c>
      <c r="O411" s="26">
        <f>(Table1[[#This Row],[Unit_Cost]]-Table1[[#This Row],[Negotiated_Cost]])/Table1[[#This Row],[Unit_Cost]]</f>
        <v>4.3582232092439811E-2</v>
      </c>
    </row>
    <row r="412" spans="1:15" x14ac:dyDescent="0.25">
      <c r="A412" t="s">
        <v>447</v>
      </c>
      <c r="B412" t="s">
        <v>46</v>
      </c>
      <c r="C412" s="14" t="s">
        <v>44</v>
      </c>
      <c r="D412" s="1">
        <v>45110</v>
      </c>
      <c r="E412" s="13">
        <v>45127</v>
      </c>
      <c r="F412" s="14" t="s">
        <v>14</v>
      </c>
      <c r="G412">
        <v>230</v>
      </c>
      <c r="H412">
        <v>8373.02</v>
      </c>
      <c r="I412">
        <v>8234.8700000000008</v>
      </c>
      <c r="J412">
        <v>5</v>
      </c>
      <c r="K412" s="14" t="s">
        <v>15</v>
      </c>
      <c r="L412" s="14">
        <f>IF(OR(Table1[[#This Row],[Order_Status]]="Delivered",Table1[[#This Row],[Delivery_Date]]&lt;&gt;"Not Yet Delivered"),Table1[[#This Row],[Delivery_Date]]-Table1[[#This Row],[Order_Date]],"Not Applicable")</f>
        <v>17</v>
      </c>
      <c r="M412" s="14">
        <f>Table1[[#This Row],[Unit_Cost]]-Table1[[#This Row],[Negotiated_Cost]]</f>
        <v>138.14999999999964</v>
      </c>
      <c r="N412" s="18">
        <f>Table1[[#This Row],[Defective_Units]]/Table1[[#This Row],[Quantity]]</f>
        <v>2.1739130434782608E-2</v>
      </c>
      <c r="O412" s="26">
        <f>(Table1[[#This Row],[Unit_Cost]]-Table1[[#This Row],[Negotiated_Cost]])/Table1[[#This Row],[Unit_Cost]]</f>
        <v>1.6499423147203714E-2</v>
      </c>
    </row>
    <row r="413" spans="1:15" x14ac:dyDescent="0.25">
      <c r="A413" t="s">
        <v>448</v>
      </c>
      <c r="B413" t="s">
        <v>40</v>
      </c>
      <c r="C413" s="14" t="s">
        <v>13</v>
      </c>
      <c r="D413" s="1">
        <v>45451</v>
      </c>
      <c r="E413" s="13">
        <v>45478</v>
      </c>
      <c r="F413" s="14" t="s">
        <v>14</v>
      </c>
      <c r="G413">
        <v>341</v>
      </c>
      <c r="H413">
        <v>4680.33</v>
      </c>
      <c r="I413">
        <v>4663.6000000000004</v>
      </c>
      <c r="J413">
        <v>5</v>
      </c>
      <c r="K413" s="14" t="s">
        <v>15</v>
      </c>
      <c r="L413" s="14">
        <f>IF(OR(Table1[[#This Row],[Order_Status]]="Delivered",Table1[[#This Row],[Delivery_Date]]&lt;&gt;"Not Yet Delivered"),Table1[[#This Row],[Delivery_Date]]-Table1[[#This Row],[Order_Date]],"Not Applicable")</f>
        <v>27</v>
      </c>
      <c r="M413" s="14">
        <f>Table1[[#This Row],[Unit_Cost]]-Table1[[#This Row],[Negotiated_Cost]]</f>
        <v>16.729999999999563</v>
      </c>
      <c r="N413" s="18">
        <f>Table1[[#This Row],[Defective_Units]]/Table1[[#This Row],[Quantity]]</f>
        <v>1.466275659824047E-2</v>
      </c>
      <c r="O413" s="26">
        <f>(Table1[[#This Row],[Unit_Cost]]-Table1[[#This Row],[Negotiated_Cost]])/Table1[[#This Row],[Unit_Cost]]</f>
        <v>3.5745342742925313E-3</v>
      </c>
    </row>
    <row r="414" spans="1:15" x14ac:dyDescent="0.25">
      <c r="A414" t="s">
        <v>449</v>
      </c>
      <c r="B414" t="s">
        <v>32</v>
      </c>
      <c r="C414" s="14" t="s">
        <v>21</v>
      </c>
      <c r="D414" s="1">
        <v>45137</v>
      </c>
      <c r="E414" s="13">
        <v>45156</v>
      </c>
      <c r="F414" s="14" t="s">
        <v>14</v>
      </c>
      <c r="G414">
        <v>448</v>
      </c>
      <c r="H414">
        <v>108.56</v>
      </c>
      <c r="I414">
        <v>107.65</v>
      </c>
      <c r="J414">
        <v>6</v>
      </c>
      <c r="K414" s="14" t="s">
        <v>15</v>
      </c>
      <c r="L414" s="14">
        <f>IF(OR(Table1[[#This Row],[Order_Status]]="Delivered",Table1[[#This Row],[Delivery_Date]]&lt;&gt;"Not Yet Delivered"),Table1[[#This Row],[Delivery_Date]]-Table1[[#This Row],[Order_Date]],"Not Applicable")</f>
        <v>19</v>
      </c>
      <c r="M414" s="14">
        <f>Table1[[#This Row],[Unit_Cost]]-Table1[[#This Row],[Negotiated_Cost]]</f>
        <v>0.90999999999999659</v>
      </c>
      <c r="N414" s="18">
        <f>Table1[[#This Row],[Defective_Units]]/Table1[[#This Row],[Quantity]]</f>
        <v>1.3392857142857142E-2</v>
      </c>
      <c r="O414" s="26">
        <f>(Table1[[#This Row],[Unit_Cost]]-Table1[[#This Row],[Negotiated_Cost]])/Table1[[#This Row],[Unit_Cost]]</f>
        <v>8.3824613117169915E-3</v>
      </c>
    </row>
    <row r="415" spans="1:15" x14ac:dyDescent="0.25">
      <c r="A415" t="s">
        <v>450</v>
      </c>
      <c r="B415" t="s">
        <v>46</v>
      </c>
      <c r="C415" s="14" t="s">
        <v>18</v>
      </c>
      <c r="D415" s="1">
        <v>45155</v>
      </c>
      <c r="E415" s="14" t="s">
        <v>2057</v>
      </c>
      <c r="F415" s="14" t="s">
        <v>33</v>
      </c>
      <c r="G415">
        <v>394</v>
      </c>
      <c r="H415">
        <v>5189.84</v>
      </c>
      <c r="I415">
        <v>5058.84</v>
      </c>
      <c r="J415">
        <v>2</v>
      </c>
      <c r="K415" s="14" t="s">
        <v>15</v>
      </c>
      <c r="L415" s="14" t="str">
        <f>IF(OR(Table1[[#This Row],[Order_Status]]="Delivered",Table1[[#This Row],[Delivery_Date]]&lt;&gt;"Not Yet Delivered"),Table1[[#This Row],[Delivery_Date]]-Table1[[#This Row],[Order_Date]],"Not Applicable")</f>
        <v>Not Applicable</v>
      </c>
      <c r="M415" s="14">
        <f>Table1[[#This Row],[Unit_Cost]]-Table1[[#This Row],[Negotiated_Cost]]</f>
        <v>131</v>
      </c>
      <c r="N415" s="18">
        <f>Table1[[#This Row],[Defective_Units]]/Table1[[#This Row],[Quantity]]</f>
        <v>5.076142131979695E-3</v>
      </c>
      <c r="O415" s="26">
        <f>(Table1[[#This Row],[Unit_Cost]]-Table1[[#This Row],[Negotiated_Cost]])/Table1[[#This Row],[Unit_Cost]]</f>
        <v>2.524162594607926E-2</v>
      </c>
    </row>
    <row r="416" spans="1:15" x14ac:dyDescent="0.25">
      <c r="A416" t="s">
        <v>451</v>
      </c>
      <c r="B416" t="s">
        <v>40</v>
      </c>
      <c r="C416" s="14" t="s">
        <v>21</v>
      </c>
      <c r="D416" s="1">
        <v>44998</v>
      </c>
      <c r="E416" s="14" t="s">
        <v>2057</v>
      </c>
      <c r="F416" s="14" t="s">
        <v>33</v>
      </c>
      <c r="G416">
        <v>285</v>
      </c>
      <c r="H416">
        <v>133.36000000000001</v>
      </c>
      <c r="I416">
        <v>127.59</v>
      </c>
      <c r="J416">
        <v>2</v>
      </c>
      <c r="K416" s="14" t="s">
        <v>15</v>
      </c>
      <c r="L416" s="14" t="str">
        <f>IF(OR(Table1[[#This Row],[Order_Status]]="Delivered",Table1[[#This Row],[Delivery_Date]]&lt;&gt;"Not Yet Delivered"),Table1[[#This Row],[Delivery_Date]]-Table1[[#This Row],[Order_Date]],"Not Applicable")</f>
        <v>Not Applicable</v>
      </c>
      <c r="M416" s="14">
        <f>Table1[[#This Row],[Unit_Cost]]-Table1[[#This Row],[Negotiated_Cost]]</f>
        <v>5.7700000000000102</v>
      </c>
      <c r="N416" s="18">
        <f>Table1[[#This Row],[Defective_Units]]/Table1[[#This Row],[Quantity]]</f>
        <v>7.0175438596491229E-3</v>
      </c>
      <c r="O416" s="26">
        <f>(Table1[[#This Row],[Unit_Cost]]-Table1[[#This Row],[Negotiated_Cost]])/Table1[[#This Row],[Unit_Cost]]</f>
        <v>4.3266346730653944E-2</v>
      </c>
    </row>
    <row r="417" spans="1:15" x14ac:dyDescent="0.25">
      <c r="A417" t="s">
        <v>452</v>
      </c>
      <c r="B417" t="s">
        <v>12</v>
      </c>
      <c r="C417" s="14" t="s">
        <v>24</v>
      </c>
      <c r="D417" s="1">
        <v>45569</v>
      </c>
      <c r="E417" s="13">
        <v>45599</v>
      </c>
      <c r="F417" s="14" t="s">
        <v>14</v>
      </c>
      <c r="G417">
        <v>241</v>
      </c>
      <c r="H417">
        <v>12977.83</v>
      </c>
      <c r="I417">
        <v>12902.45</v>
      </c>
      <c r="J417">
        <v>2</v>
      </c>
      <c r="K417" s="14" t="s">
        <v>15</v>
      </c>
      <c r="L417" s="14">
        <f>IF(OR(Table1[[#This Row],[Order_Status]]="Delivered",Table1[[#This Row],[Delivery_Date]]&lt;&gt;"Not Yet Delivered"),Table1[[#This Row],[Delivery_Date]]-Table1[[#This Row],[Order_Date]],"Not Applicable")</f>
        <v>30</v>
      </c>
      <c r="M417" s="14">
        <f>Table1[[#This Row],[Unit_Cost]]-Table1[[#This Row],[Negotiated_Cost]]</f>
        <v>75.3799999999992</v>
      </c>
      <c r="N417" s="18">
        <f>Table1[[#This Row],[Defective_Units]]/Table1[[#This Row],[Quantity]]</f>
        <v>8.2987551867219917E-3</v>
      </c>
      <c r="O417" s="26">
        <f>(Table1[[#This Row],[Unit_Cost]]-Table1[[#This Row],[Negotiated_Cost]])/Table1[[#This Row],[Unit_Cost]]</f>
        <v>5.8083670382490142E-3</v>
      </c>
    </row>
    <row r="418" spans="1:15" x14ac:dyDescent="0.25">
      <c r="A418" t="s">
        <v>453</v>
      </c>
      <c r="B418" t="s">
        <v>27</v>
      </c>
      <c r="C418" s="14" t="s">
        <v>24</v>
      </c>
      <c r="D418" s="1">
        <v>45313</v>
      </c>
      <c r="E418" s="13">
        <v>45343</v>
      </c>
      <c r="F418" s="14" t="s">
        <v>37</v>
      </c>
      <c r="G418">
        <v>260</v>
      </c>
      <c r="H418">
        <v>12118.14</v>
      </c>
      <c r="I418">
        <v>11795.88</v>
      </c>
      <c r="J418">
        <v>1</v>
      </c>
      <c r="K418" s="14" t="s">
        <v>15</v>
      </c>
      <c r="L418" s="14">
        <f>IF(OR(Table1[[#This Row],[Order_Status]]="Delivered",Table1[[#This Row],[Delivery_Date]]&lt;&gt;"Not Yet Delivered"),Table1[[#This Row],[Delivery_Date]]-Table1[[#This Row],[Order_Date]],"Not Applicable")</f>
        <v>30</v>
      </c>
      <c r="M418" s="14">
        <f>Table1[[#This Row],[Unit_Cost]]-Table1[[#This Row],[Negotiated_Cost]]</f>
        <v>322.26000000000022</v>
      </c>
      <c r="N418" s="18">
        <f>Table1[[#This Row],[Defective_Units]]/Table1[[#This Row],[Quantity]]</f>
        <v>3.8461538461538464E-3</v>
      </c>
      <c r="O418" s="26">
        <f>(Table1[[#This Row],[Unit_Cost]]-Table1[[#This Row],[Negotiated_Cost]])/Table1[[#This Row],[Unit_Cost]]</f>
        <v>2.6593190044016675E-2</v>
      </c>
    </row>
    <row r="419" spans="1:15" x14ac:dyDescent="0.25">
      <c r="A419" t="s">
        <v>454</v>
      </c>
      <c r="B419" t="s">
        <v>27</v>
      </c>
      <c r="C419" s="14" t="s">
        <v>36</v>
      </c>
      <c r="D419" s="1">
        <v>45522</v>
      </c>
      <c r="E419" s="14" t="s">
        <v>2057</v>
      </c>
      <c r="F419" s="14" t="s">
        <v>33</v>
      </c>
      <c r="G419">
        <v>491</v>
      </c>
      <c r="H419">
        <v>566.99</v>
      </c>
      <c r="I419">
        <v>558.54</v>
      </c>
      <c r="J419">
        <v>2</v>
      </c>
      <c r="K419" s="14" t="s">
        <v>15</v>
      </c>
      <c r="L419" s="14" t="str">
        <f>IF(OR(Table1[[#This Row],[Order_Status]]="Delivered",Table1[[#This Row],[Delivery_Date]]&lt;&gt;"Not Yet Delivered"),Table1[[#This Row],[Delivery_Date]]-Table1[[#This Row],[Order_Date]],"Not Applicable")</f>
        <v>Not Applicable</v>
      </c>
      <c r="M419" s="14">
        <f>Table1[[#This Row],[Unit_Cost]]-Table1[[#This Row],[Negotiated_Cost]]</f>
        <v>8.4500000000000455</v>
      </c>
      <c r="N419" s="18">
        <f>Table1[[#This Row],[Defective_Units]]/Table1[[#This Row],[Quantity]]</f>
        <v>4.0733197556008143E-3</v>
      </c>
      <c r="O419" s="26">
        <f>(Table1[[#This Row],[Unit_Cost]]-Table1[[#This Row],[Negotiated_Cost]])/Table1[[#This Row],[Unit_Cost]]</f>
        <v>1.4903261080442416E-2</v>
      </c>
    </row>
    <row r="420" spans="1:15" x14ac:dyDescent="0.25">
      <c r="A420" t="s">
        <v>455</v>
      </c>
      <c r="B420" t="s">
        <v>12</v>
      </c>
      <c r="C420" s="14" t="s">
        <v>30</v>
      </c>
      <c r="D420" s="1">
        <v>45643</v>
      </c>
      <c r="E420" s="13">
        <v>45659</v>
      </c>
      <c r="F420" s="14" t="s">
        <v>14</v>
      </c>
      <c r="G420">
        <v>341</v>
      </c>
      <c r="H420">
        <v>905.54</v>
      </c>
      <c r="I420">
        <v>876.11</v>
      </c>
      <c r="J420">
        <v>1</v>
      </c>
      <c r="K420" s="14" t="s">
        <v>25</v>
      </c>
      <c r="L420" s="14">
        <f>IF(OR(Table1[[#This Row],[Order_Status]]="Delivered",Table1[[#This Row],[Delivery_Date]]&lt;&gt;"Not Yet Delivered"),Table1[[#This Row],[Delivery_Date]]-Table1[[#This Row],[Order_Date]],"Not Applicable")</f>
        <v>16</v>
      </c>
      <c r="M420" s="14">
        <f>Table1[[#This Row],[Unit_Cost]]-Table1[[#This Row],[Negotiated_Cost]]</f>
        <v>29.42999999999995</v>
      </c>
      <c r="N420" s="18">
        <f>Table1[[#This Row],[Defective_Units]]/Table1[[#This Row],[Quantity]]</f>
        <v>2.9325513196480938E-3</v>
      </c>
      <c r="O420" s="26">
        <f>(Table1[[#This Row],[Unit_Cost]]-Table1[[#This Row],[Negotiated_Cost]])/Table1[[#This Row],[Unit_Cost]]</f>
        <v>3.2499944784327529E-2</v>
      </c>
    </row>
    <row r="421" spans="1:15" x14ac:dyDescent="0.25">
      <c r="A421" t="s">
        <v>456</v>
      </c>
      <c r="B421" t="s">
        <v>32</v>
      </c>
      <c r="C421" s="14" t="s">
        <v>13</v>
      </c>
      <c r="D421" s="1">
        <v>45254</v>
      </c>
      <c r="E421" s="13">
        <v>45268</v>
      </c>
      <c r="F421" s="14" t="s">
        <v>14</v>
      </c>
      <c r="G421">
        <v>268</v>
      </c>
      <c r="H421">
        <v>4060.84</v>
      </c>
      <c r="I421">
        <v>4008.65</v>
      </c>
      <c r="J421">
        <v>4</v>
      </c>
      <c r="K421" s="14" t="s">
        <v>15</v>
      </c>
      <c r="L421" s="14">
        <f>IF(OR(Table1[[#This Row],[Order_Status]]="Delivered",Table1[[#This Row],[Delivery_Date]]&lt;&gt;"Not Yet Delivered"),Table1[[#This Row],[Delivery_Date]]-Table1[[#This Row],[Order_Date]],"Not Applicable")</f>
        <v>14</v>
      </c>
      <c r="M421" s="14">
        <f>Table1[[#This Row],[Unit_Cost]]-Table1[[#This Row],[Negotiated_Cost]]</f>
        <v>52.190000000000055</v>
      </c>
      <c r="N421" s="18">
        <f>Table1[[#This Row],[Defective_Units]]/Table1[[#This Row],[Quantity]]</f>
        <v>1.4925373134328358E-2</v>
      </c>
      <c r="O421" s="26">
        <f>(Table1[[#This Row],[Unit_Cost]]-Table1[[#This Row],[Negotiated_Cost]])/Table1[[#This Row],[Unit_Cost]]</f>
        <v>1.2852020764176882E-2</v>
      </c>
    </row>
    <row r="422" spans="1:15" x14ac:dyDescent="0.25">
      <c r="A422" t="s">
        <v>457</v>
      </c>
      <c r="B422" t="s">
        <v>32</v>
      </c>
      <c r="C422" s="14" t="s">
        <v>28</v>
      </c>
      <c r="D422" s="1">
        <v>45648</v>
      </c>
      <c r="E422" s="13">
        <v>45667</v>
      </c>
      <c r="F422" s="14" t="s">
        <v>14</v>
      </c>
      <c r="G422">
        <v>405</v>
      </c>
      <c r="H422">
        <v>45241.48</v>
      </c>
      <c r="I422">
        <v>45065.51</v>
      </c>
      <c r="J422">
        <v>4</v>
      </c>
      <c r="K422" s="14" t="s">
        <v>15</v>
      </c>
      <c r="L422" s="14">
        <f>IF(OR(Table1[[#This Row],[Order_Status]]="Delivered",Table1[[#This Row],[Delivery_Date]]&lt;&gt;"Not Yet Delivered"),Table1[[#This Row],[Delivery_Date]]-Table1[[#This Row],[Order_Date]],"Not Applicable")</f>
        <v>19</v>
      </c>
      <c r="M422" s="14">
        <f>Table1[[#This Row],[Unit_Cost]]-Table1[[#This Row],[Negotiated_Cost]]</f>
        <v>175.97000000000116</v>
      </c>
      <c r="N422" s="18">
        <f>Table1[[#This Row],[Defective_Units]]/Table1[[#This Row],[Quantity]]</f>
        <v>9.876543209876543E-3</v>
      </c>
      <c r="O422" s="26">
        <f>(Table1[[#This Row],[Unit_Cost]]-Table1[[#This Row],[Negotiated_Cost]])/Table1[[#This Row],[Unit_Cost]]</f>
        <v>3.8895721360132592E-3</v>
      </c>
    </row>
    <row r="423" spans="1:15" x14ac:dyDescent="0.25">
      <c r="A423" t="s">
        <v>458</v>
      </c>
      <c r="B423" t="s">
        <v>35</v>
      </c>
      <c r="C423" s="14" t="s">
        <v>36</v>
      </c>
      <c r="D423" s="1">
        <v>45493</v>
      </c>
      <c r="E423" s="13">
        <v>45503</v>
      </c>
      <c r="F423" s="14" t="s">
        <v>14</v>
      </c>
      <c r="G423">
        <v>341</v>
      </c>
      <c r="H423">
        <v>550.70000000000005</v>
      </c>
      <c r="I423">
        <v>537.98</v>
      </c>
      <c r="J423">
        <v>3</v>
      </c>
      <c r="K423" s="14" t="s">
        <v>15</v>
      </c>
      <c r="L423" s="14">
        <f>IF(OR(Table1[[#This Row],[Order_Status]]="Delivered",Table1[[#This Row],[Delivery_Date]]&lt;&gt;"Not Yet Delivered"),Table1[[#This Row],[Delivery_Date]]-Table1[[#This Row],[Order_Date]],"Not Applicable")</f>
        <v>10</v>
      </c>
      <c r="M423" s="14">
        <f>Table1[[#This Row],[Unit_Cost]]-Table1[[#This Row],[Negotiated_Cost]]</f>
        <v>12.720000000000027</v>
      </c>
      <c r="N423" s="18">
        <f>Table1[[#This Row],[Defective_Units]]/Table1[[#This Row],[Quantity]]</f>
        <v>8.7976539589442824E-3</v>
      </c>
      <c r="O423" s="26">
        <f>(Table1[[#This Row],[Unit_Cost]]-Table1[[#This Row],[Negotiated_Cost]])/Table1[[#This Row],[Unit_Cost]]</f>
        <v>2.309787543126934E-2</v>
      </c>
    </row>
    <row r="424" spans="1:15" x14ac:dyDescent="0.25">
      <c r="A424" t="s">
        <v>459</v>
      </c>
      <c r="B424" t="s">
        <v>20</v>
      </c>
      <c r="C424" s="14" t="s">
        <v>50</v>
      </c>
      <c r="D424" s="1">
        <v>45234</v>
      </c>
      <c r="E424" s="13">
        <v>45238</v>
      </c>
      <c r="F424" s="14" t="s">
        <v>37</v>
      </c>
      <c r="G424">
        <v>141</v>
      </c>
      <c r="H424">
        <v>51951.83</v>
      </c>
      <c r="I424">
        <v>49335.58</v>
      </c>
      <c r="J424">
        <v>0</v>
      </c>
      <c r="K424" s="14" t="s">
        <v>15</v>
      </c>
      <c r="L424" s="14">
        <f>IF(OR(Table1[[#This Row],[Order_Status]]="Delivered",Table1[[#This Row],[Delivery_Date]]&lt;&gt;"Not Yet Delivered"),Table1[[#This Row],[Delivery_Date]]-Table1[[#This Row],[Order_Date]],"Not Applicable")</f>
        <v>4</v>
      </c>
      <c r="M424" s="14">
        <f>Table1[[#This Row],[Unit_Cost]]-Table1[[#This Row],[Negotiated_Cost]]</f>
        <v>2616.25</v>
      </c>
      <c r="N424" s="18">
        <f>Table1[[#This Row],[Defective_Units]]/Table1[[#This Row],[Quantity]]</f>
        <v>0</v>
      </c>
      <c r="O424" s="26">
        <f>(Table1[[#This Row],[Unit_Cost]]-Table1[[#This Row],[Negotiated_Cost]])/Table1[[#This Row],[Unit_Cost]]</f>
        <v>5.0359150004918016E-2</v>
      </c>
    </row>
    <row r="425" spans="1:15" x14ac:dyDescent="0.25">
      <c r="A425" t="s">
        <v>460</v>
      </c>
      <c r="B425" t="s">
        <v>20</v>
      </c>
      <c r="C425" s="14" t="s">
        <v>48</v>
      </c>
      <c r="D425" s="1">
        <v>44998</v>
      </c>
      <c r="E425" s="13">
        <v>45007</v>
      </c>
      <c r="F425" s="14" t="s">
        <v>14</v>
      </c>
      <c r="G425">
        <v>159</v>
      </c>
      <c r="H425">
        <v>5995.51</v>
      </c>
      <c r="I425">
        <v>5772.39</v>
      </c>
      <c r="J425">
        <v>0</v>
      </c>
      <c r="K425" s="14" t="s">
        <v>15</v>
      </c>
      <c r="L425" s="14">
        <f>IF(OR(Table1[[#This Row],[Order_Status]]="Delivered",Table1[[#This Row],[Delivery_Date]]&lt;&gt;"Not Yet Delivered"),Table1[[#This Row],[Delivery_Date]]-Table1[[#This Row],[Order_Date]],"Not Applicable")</f>
        <v>9</v>
      </c>
      <c r="M425" s="14">
        <f>Table1[[#This Row],[Unit_Cost]]-Table1[[#This Row],[Negotiated_Cost]]</f>
        <v>223.11999999999989</v>
      </c>
      <c r="N425" s="18">
        <f>Table1[[#This Row],[Defective_Units]]/Table1[[#This Row],[Quantity]]</f>
        <v>0</v>
      </c>
      <c r="O425" s="26">
        <f>(Table1[[#This Row],[Unit_Cost]]-Table1[[#This Row],[Negotiated_Cost]])/Table1[[#This Row],[Unit_Cost]]</f>
        <v>3.7214515529120938E-2</v>
      </c>
    </row>
    <row r="426" spans="1:15" x14ac:dyDescent="0.25">
      <c r="A426" t="s">
        <v>461</v>
      </c>
      <c r="B426" t="s">
        <v>35</v>
      </c>
      <c r="C426" s="14" t="s">
        <v>50</v>
      </c>
      <c r="D426" s="1">
        <v>45432</v>
      </c>
      <c r="E426" s="13">
        <v>45457</v>
      </c>
      <c r="F426" s="14" t="s">
        <v>14</v>
      </c>
      <c r="G426">
        <v>225</v>
      </c>
      <c r="H426">
        <v>54224.52</v>
      </c>
      <c r="I426">
        <v>53687.91</v>
      </c>
      <c r="J426">
        <v>0</v>
      </c>
      <c r="K426" s="14" t="s">
        <v>15</v>
      </c>
      <c r="L426" s="14">
        <f>IF(OR(Table1[[#This Row],[Order_Status]]="Delivered",Table1[[#This Row],[Delivery_Date]]&lt;&gt;"Not Yet Delivered"),Table1[[#This Row],[Delivery_Date]]-Table1[[#This Row],[Order_Date]],"Not Applicable")</f>
        <v>25</v>
      </c>
      <c r="M426" s="14">
        <f>Table1[[#This Row],[Unit_Cost]]-Table1[[#This Row],[Negotiated_Cost]]</f>
        <v>536.60999999999331</v>
      </c>
      <c r="N426" s="18">
        <f>Table1[[#This Row],[Defective_Units]]/Table1[[#This Row],[Quantity]]</f>
        <v>0</v>
      </c>
      <c r="O426" s="26">
        <f>(Table1[[#This Row],[Unit_Cost]]-Table1[[#This Row],[Negotiated_Cost]])/Table1[[#This Row],[Unit_Cost]]</f>
        <v>9.8960765351172007E-3</v>
      </c>
    </row>
    <row r="427" spans="1:15" x14ac:dyDescent="0.25">
      <c r="A427" t="s">
        <v>462</v>
      </c>
      <c r="B427" t="s">
        <v>35</v>
      </c>
      <c r="C427" s="14" t="s">
        <v>55</v>
      </c>
      <c r="D427" s="1">
        <v>45159</v>
      </c>
      <c r="E427" s="13">
        <v>45177</v>
      </c>
      <c r="F427" s="14" t="s">
        <v>14</v>
      </c>
      <c r="G427">
        <v>437</v>
      </c>
      <c r="H427">
        <v>14037.9</v>
      </c>
      <c r="I427">
        <v>13486.28</v>
      </c>
      <c r="J427">
        <v>0</v>
      </c>
      <c r="K427" s="14" t="s">
        <v>15</v>
      </c>
      <c r="L427" s="14">
        <f>IF(OR(Table1[[#This Row],[Order_Status]]="Delivered",Table1[[#This Row],[Delivery_Date]]&lt;&gt;"Not Yet Delivered"),Table1[[#This Row],[Delivery_Date]]-Table1[[#This Row],[Order_Date]],"Not Applicable")</f>
        <v>18</v>
      </c>
      <c r="M427" s="14">
        <f>Table1[[#This Row],[Unit_Cost]]-Table1[[#This Row],[Negotiated_Cost]]</f>
        <v>551.61999999999898</v>
      </c>
      <c r="N427" s="18">
        <f>Table1[[#This Row],[Defective_Units]]/Table1[[#This Row],[Quantity]]</f>
        <v>0</v>
      </c>
      <c r="O427" s="26">
        <f>(Table1[[#This Row],[Unit_Cost]]-Table1[[#This Row],[Negotiated_Cost]])/Table1[[#This Row],[Unit_Cost]]</f>
        <v>3.9295051254104887E-2</v>
      </c>
    </row>
    <row r="428" spans="1:15" x14ac:dyDescent="0.25">
      <c r="A428" t="s">
        <v>463</v>
      </c>
      <c r="B428" t="s">
        <v>20</v>
      </c>
      <c r="C428" s="14" t="s">
        <v>42</v>
      </c>
      <c r="D428" s="1">
        <v>44932</v>
      </c>
      <c r="E428" s="14" t="s">
        <v>2057</v>
      </c>
      <c r="F428" s="14" t="s">
        <v>22</v>
      </c>
      <c r="G428">
        <v>151</v>
      </c>
      <c r="H428">
        <v>11094.65</v>
      </c>
      <c r="I428">
        <v>10625.78</v>
      </c>
      <c r="J428">
        <v>2</v>
      </c>
      <c r="K428" s="14" t="s">
        <v>15</v>
      </c>
      <c r="L428" s="14" t="str">
        <f>IF(OR(Table1[[#This Row],[Order_Status]]="Delivered",Table1[[#This Row],[Delivery_Date]]&lt;&gt;"Not Yet Delivered"),Table1[[#This Row],[Delivery_Date]]-Table1[[#This Row],[Order_Date]],"Not Applicable")</f>
        <v>Not Applicable</v>
      </c>
      <c r="M428" s="14">
        <f>Table1[[#This Row],[Unit_Cost]]-Table1[[#This Row],[Negotiated_Cost]]</f>
        <v>468.86999999999898</v>
      </c>
      <c r="N428" s="18">
        <f>Table1[[#This Row],[Defective_Units]]/Table1[[#This Row],[Quantity]]</f>
        <v>1.3245033112582781E-2</v>
      </c>
      <c r="O428" s="26">
        <f>(Table1[[#This Row],[Unit_Cost]]-Table1[[#This Row],[Negotiated_Cost]])/Table1[[#This Row],[Unit_Cost]]</f>
        <v>4.2260909537479685E-2</v>
      </c>
    </row>
    <row r="429" spans="1:15" x14ac:dyDescent="0.25">
      <c r="A429" t="s">
        <v>464</v>
      </c>
      <c r="B429" t="s">
        <v>32</v>
      </c>
      <c r="C429" s="14" t="s">
        <v>30</v>
      </c>
      <c r="D429" s="1">
        <v>45144</v>
      </c>
      <c r="E429" s="13">
        <v>45165</v>
      </c>
      <c r="F429" s="14" t="s">
        <v>14</v>
      </c>
      <c r="G429">
        <v>181</v>
      </c>
      <c r="H429">
        <v>806.3</v>
      </c>
      <c r="I429">
        <v>804.53</v>
      </c>
      <c r="J429">
        <v>1</v>
      </c>
      <c r="K429" s="14" t="s">
        <v>15</v>
      </c>
      <c r="L429" s="14">
        <f>IF(OR(Table1[[#This Row],[Order_Status]]="Delivered",Table1[[#This Row],[Delivery_Date]]&lt;&gt;"Not Yet Delivered"),Table1[[#This Row],[Delivery_Date]]-Table1[[#This Row],[Order_Date]],"Not Applicable")</f>
        <v>21</v>
      </c>
      <c r="M429" s="14">
        <f>Table1[[#This Row],[Unit_Cost]]-Table1[[#This Row],[Negotiated_Cost]]</f>
        <v>1.7699999999999818</v>
      </c>
      <c r="N429" s="18">
        <f>Table1[[#This Row],[Defective_Units]]/Table1[[#This Row],[Quantity]]</f>
        <v>5.5248618784530384E-3</v>
      </c>
      <c r="O429" s="26">
        <f>(Table1[[#This Row],[Unit_Cost]]-Table1[[#This Row],[Negotiated_Cost]])/Table1[[#This Row],[Unit_Cost]]</f>
        <v>2.1952126999875751E-3</v>
      </c>
    </row>
    <row r="430" spans="1:15" x14ac:dyDescent="0.25">
      <c r="A430" t="s">
        <v>465</v>
      </c>
      <c r="B430" t="s">
        <v>27</v>
      </c>
      <c r="C430" s="14" t="s">
        <v>24</v>
      </c>
      <c r="D430" s="1">
        <v>45178</v>
      </c>
      <c r="E430" s="13">
        <v>45207</v>
      </c>
      <c r="F430" s="14" t="s">
        <v>14</v>
      </c>
      <c r="G430">
        <v>359</v>
      </c>
      <c r="H430">
        <v>12202.65</v>
      </c>
      <c r="I430">
        <v>11699.78</v>
      </c>
      <c r="J430">
        <v>4</v>
      </c>
      <c r="K430" s="14" t="s">
        <v>25</v>
      </c>
      <c r="L430" s="14">
        <f>IF(OR(Table1[[#This Row],[Order_Status]]="Delivered",Table1[[#This Row],[Delivery_Date]]&lt;&gt;"Not Yet Delivered"),Table1[[#This Row],[Delivery_Date]]-Table1[[#This Row],[Order_Date]],"Not Applicable")</f>
        <v>29</v>
      </c>
      <c r="M430" s="14">
        <f>Table1[[#This Row],[Unit_Cost]]-Table1[[#This Row],[Negotiated_Cost]]</f>
        <v>502.86999999999898</v>
      </c>
      <c r="N430" s="18">
        <f>Table1[[#This Row],[Defective_Units]]/Table1[[#This Row],[Quantity]]</f>
        <v>1.1142061281337047E-2</v>
      </c>
      <c r="O430" s="26">
        <f>(Table1[[#This Row],[Unit_Cost]]-Table1[[#This Row],[Negotiated_Cost]])/Table1[[#This Row],[Unit_Cost]]</f>
        <v>4.1209901128033584E-2</v>
      </c>
    </row>
    <row r="431" spans="1:15" x14ac:dyDescent="0.25">
      <c r="A431" t="s">
        <v>466</v>
      </c>
      <c r="B431" t="s">
        <v>35</v>
      </c>
      <c r="C431" s="14" t="s">
        <v>18</v>
      </c>
      <c r="D431" s="1">
        <v>45646</v>
      </c>
      <c r="E431" s="13">
        <v>45656</v>
      </c>
      <c r="F431" s="14" t="s">
        <v>14</v>
      </c>
      <c r="G431">
        <v>374</v>
      </c>
      <c r="H431">
        <v>5467.47</v>
      </c>
      <c r="I431">
        <v>5159.7</v>
      </c>
      <c r="J431">
        <v>4</v>
      </c>
      <c r="K431" s="14" t="s">
        <v>15</v>
      </c>
      <c r="L431" s="14">
        <f>IF(OR(Table1[[#This Row],[Order_Status]]="Delivered",Table1[[#This Row],[Delivery_Date]]&lt;&gt;"Not Yet Delivered"),Table1[[#This Row],[Delivery_Date]]-Table1[[#This Row],[Order_Date]],"Not Applicable")</f>
        <v>10</v>
      </c>
      <c r="M431" s="14">
        <f>Table1[[#This Row],[Unit_Cost]]-Table1[[#This Row],[Negotiated_Cost]]</f>
        <v>307.77000000000044</v>
      </c>
      <c r="N431" s="18">
        <f>Table1[[#This Row],[Defective_Units]]/Table1[[#This Row],[Quantity]]</f>
        <v>1.06951871657754E-2</v>
      </c>
      <c r="O431" s="26">
        <f>(Table1[[#This Row],[Unit_Cost]]-Table1[[#This Row],[Negotiated_Cost]])/Table1[[#This Row],[Unit_Cost]]</f>
        <v>5.6291118195435995E-2</v>
      </c>
    </row>
    <row r="432" spans="1:15" x14ac:dyDescent="0.25">
      <c r="A432" t="s">
        <v>467</v>
      </c>
      <c r="B432" t="s">
        <v>40</v>
      </c>
      <c r="C432" s="14" t="s">
        <v>48</v>
      </c>
      <c r="D432" s="1">
        <v>45505</v>
      </c>
      <c r="E432" s="13">
        <v>45515</v>
      </c>
      <c r="F432" s="14" t="s">
        <v>37</v>
      </c>
      <c r="G432">
        <v>254</v>
      </c>
      <c r="H432">
        <v>6603.03</v>
      </c>
      <c r="I432">
        <v>6230.66</v>
      </c>
      <c r="J432">
        <v>4</v>
      </c>
      <c r="K432" s="14" t="s">
        <v>15</v>
      </c>
      <c r="L432" s="14">
        <f>IF(OR(Table1[[#This Row],[Order_Status]]="Delivered",Table1[[#This Row],[Delivery_Date]]&lt;&gt;"Not Yet Delivered"),Table1[[#This Row],[Delivery_Date]]-Table1[[#This Row],[Order_Date]],"Not Applicable")</f>
        <v>10</v>
      </c>
      <c r="M432" s="14">
        <f>Table1[[#This Row],[Unit_Cost]]-Table1[[#This Row],[Negotiated_Cost]]</f>
        <v>372.36999999999989</v>
      </c>
      <c r="N432" s="18">
        <f>Table1[[#This Row],[Defective_Units]]/Table1[[#This Row],[Quantity]]</f>
        <v>1.5748031496062992E-2</v>
      </c>
      <c r="O432" s="26">
        <f>(Table1[[#This Row],[Unit_Cost]]-Table1[[#This Row],[Negotiated_Cost]])/Table1[[#This Row],[Unit_Cost]]</f>
        <v>5.6393807085534958E-2</v>
      </c>
    </row>
    <row r="433" spans="1:15" x14ac:dyDescent="0.25">
      <c r="A433" t="s">
        <v>468</v>
      </c>
      <c r="B433" t="s">
        <v>17</v>
      </c>
      <c r="C433" s="14" t="s">
        <v>36</v>
      </c>
      <c r="D433" s="1">
        <v>45209</v>
      </c>
      <c r="E433" s="13">
        <v>45219</v>
      </c>
      <c r="F433" s="14" t="s">
        <v>14</v>
      </c>
      <c r="G433">
        <v>468</v>
      </c>
      <c r="H433">
        <v>534.63</v>
      </c>
      <c r="I433">
        <v>517.38</v>
      </c>
      <c r="J433">
        <v>3</v>
      </c>
      <c r="K433" s="14" t="s">
        <v>15</v>
      </c>
      <c r="L433" s="14">
        <f>IF(OR(Table1[[#This Row],[Order_Status]]="Delivered",Table1[[#This Row],[Delivery_Date]]&lt;&gt;"Not Yet Delivered"),Table1[[#This Row],[Delivery_Date]]-Table1[[#This Row],[Order_Date]],"Not Applicable")</f>
        <v>10</v>
      </c>
      <c r="M433" s="14">
        <f>Table1[[#This Row],[Unit_Cost]]-Table1[[#This Row],[Negotiated_Cost]]</f>
        <v>17.25</v>
      </c>
      <c r="N433" s="18">
        <f>Table1[[#This Row],[Defective_Units]]/Table1[[#This Row],[Quantity]]</f>
        <v>6.41025641025641E-3</v>
      </c>
      <c r="O433" s="26">
        <f>(Table1[[#This Row],[Unit_Cost]]-Table1[[#This Row],[Negotiated_Cost]])/Table1[[#This Row],[Unit_Cost]]</f>
        <v>3.2265304977273999E-2</v>
      </c>
    </row>
    <row r="434" spans="1:15" x14ac:dyDescent="0.25">
      <c r="A434" t="s">
        <v>469</v>
      </c>
      <c r="B434" t="s">
        <v>12</v>
      </c>
      <c r="C434" s="14" t="s">
        <v>30</v>
      </c>
      <c r="D434" s="1">
        <v>45397</v>
      </c>
      <c r="E434" s="13">
        <v>45399</v>
      </c>
      <c r="F434" s="14" t="s">
        <v>14</v>
      </c>
      <c r="G434">
        <v>136</v>
      </c>
      <c r="H434">
        <v>923.89</v>
      </c>
      <c r="I434">
        <v>906.76</v>
      </c>
      <c r="J434">
        <v>4</v>
      </c>
      <c r="K434" s="14" t="s">
        <v>15</v>
      </c>
      <c r="L434" s="14">
        <f>IF(OR(Table1[[#This Row],[Order_Status]]="Delivered",Table1[[#This Row],[Delivery_Date]]&lt;&gt;"Not Yet Delivered"),Table1[[#This Row],[Delivery_Date]]-Table1[[#This Row],[Order_Date]],"Not Applicable")</f>
        <v>2</v>
      </c>
      <c r="M434" s="14">
        <f>Table1[[#This Row],[Unit_Cost]]-Table1[[#This Row],[Negotiated_Cost]]</f>
        <v>17.129999999999995</v>
      </c>
      <c r="N434" s="18">
        <f>Table1[[#This Row],[Defective_Units]]/Table1[[#This Row],[Quantity]]</f>
        <v>2.9411764705882353E-2</v>
      </c>
      <c r="O434" s="26">
        <f>(Table1[[#This Row],[Unit_Cost]]-Table1[[#This Row],[Negotiated_Cost]])/Table1[[#This Row],[Unit_Cost]]</f>
        <v>1.8541168320903998E-2</v>
      </c>
    </row>
    <row r="435" spans="1:15" x14ac:dyDescent="0.25">
      <c r="A435" t="s">
        <v>470</v>
      </c>
      <c r="B435" t="s">
        <v>20</v>
      </c>
      <c r="C435" s="14" t="s">
        <v>30</v>
      </c>
      <c r="D435" s="1">
        <v>45554</v>
      </c>
      <c r="E435" s="13">
        <v>45575</v>
      </c>
      <c r="F435" s="14" t="s">
        <v>14</v>
      </c>
      <c r="G435">
        <v>218</v>
      </c>
      <c r="H435">
        <v>830.13</v>
      </c>
      <c r="I435">
        <v>804.52</v>
      </c>
      <c r="J435">
        <v>1</v>
      </c>
      <c r="K435" s="14" t="s">
        <v>15</v>
      </c>
      <c r="L435" s="14">
        <f>IF(OR(Table1[[#This Row],[Order_Status]]="Delivered",Table1[[#This Row],[Delivery_Date]]&lt;&gt;"Not Yet Delivered"),Table1[[#This Row],[Delivery_Date]]-Table1[[#This Row],[Order_Date]],"Not Applicable")</f>
        <v>21</v>
      </c>
      <c r="M435" s="14">
        <f>Table1[[#This Row],[Unit_Cost]]-Table1[[#This Row],[Negotiated_Cost]]</f>
        <v>25.610000000000014</v>
      </c>
      <c r="N435" s="18">
        <f>Table1[[#This Row],[Defective_Units]]/Table1[[#This Row],[Quantity]]</f>
        <v>4.5871559633027525E-3</v>
      </c>
      <c r="O435" s="26">
        <f>(Table1[[#This Row],[Unit_Cost]]-Table1[[#This Row],[Negotiated_Cost]])/Table1[[#This Row],[Unit_Cost]]</f>
        <v>3.0850589666678731E-2</v>
      </c>
    </row>
    <row r="436" spans="1:15" x14ac:dyDescent="0.25">
      <c r="A436" t="s">
        <v>471</v>
      </c>
      <c r="B436" t="s">
        <v>46</v>
      </c>
      <c r="C436" s="14" t="s">
        <v>48</v>
      </c>
      <c r="D436" s="1">
        <v>44996</v>
      </c>
      <c r="E436" s="13">
        <v>45020</v>
      </c>
      <c r="F436" s="14" t="s">
        <v>14</v>
      </c>
      <c r="G436">
        <v>117</v>
      </c>
      <c r="H436">
        <v>6083.84</v>
      </c>
      <c r="I436">
        <v>5798.35</v>
      </c>
      <c r="J436">
        <v>3</v>
      </c>
      <c r="K436" s="14" t="s">
        <v>15</v>
      </c>
      <c r="L436" s="14">
        <f>IF(OR(Table1[[#This Row],[Order_Status]]="Delivered",Table1[[#This Row],[Delivery_Date]]&lt;&gt;"Not Yet Delivered"),Table1[[#This Row],[Delivery_Date]]-Table1[[#This Row],[Order_Date]],"Not Applicable")</f>
        <v>24</v>
      </c>
      <c r="M436" s="14">
        <f>Table1[[#This Row],[Unit_Cost]]-Table1[[#This Row],[Negotiated_Cost]]</f>
        <v>285.48999999999978</v>
      </c>
      <c r="N436" s="18">
        <f>Table1[[#This Row],[Defective_Units]]/Table1[[#This Row],[Quantity]]</f>
        <v>2.564102564102564E-2</v>
      </c>
      <c r="O436" s="26">
        <f>(Table1[[#This Row],[Unit_Cost]]-Table1[[#This Row],[Negotiated_Cost]])/Table1[[#This Row],[Unit_Cost]]</f>
        <v>4.6925954660214562E-2</v>
      </c>
    </row>
    <row r="437" spans="1:15" x14ac:dyDescent="0.25">
      <c r="A437" t="s">
        <v>472</v>
      </c>
      <c r="B437" t="s">
        <v>35</v>
      </c>
      <c r="C437" s="14" t="s">
        <v>13</v>
      </c>
      <c r="D437" s="1">
        <v>45478</v>
      </c>
      <c r="E437" s="13">
        <v>45487</v>
      </c>
      <c r="F437" s="14" t="s">
        <v>37</v>
      </c>
      <c r="G437">
        <v>246</v>
      </c>
      <c r="H437">
        <v>4230.53</v>
      </c>
      <c r="I437">
        <v>4215.9799999999996</v>
      </c>
      <c r="J437">
        <v>2</v>
      </c>
      <c r="K437" s="14" t="s">
        <v>15</v>
      </c>
      <c r="L437" s="14">
        <f>IF(OR(Table1[[#This Row],[Order_Status]]="Delivered",Table1[[#This Row],[Delivery_Date]]&lt;&gt;"Not Yet Delivered"),Table1[[#This Row],[Delivery_Date]]-Table1[[#This Row],[Order_Date]],"Not Applicable")</f>
        <v>9</v>
      </c>
      <c r="M437" s="14">
        <f>Table1[[#This Row],[Unit_Cost]]-Table1[[#This Row],[Negotiated_Cost]]</f>
        <v>14.550000000000182</v>
      </c>
      <c r="N437" s="18">
        <f>Table1[[#This Row],[Defective_Units]]/Table1[[#This Row],[Quantity]]</f>
        <v>8.130081300813009E-3</v>
      </c>
      <c r="O437" s="26">
        <f>(Table1[[#This Row],[Unit_Cost]]-Table1[[#This Row],[Negotiated_Cost]])/Table1[[#This Row],[Unit_Cost]]</f>
        <v>3.4392853850463614E-3</v>
      </c>
    </row>
    <row r="438" spans="1:15" x14ac:dyDescent="0.25">
      <c r="A438" t="s">
        <v>473</v>
      </c>
      <c r="B438" t="s">
        <v>46</v>
      </c>
      <c r="C438" s="14" t="s">
        <v>13</v>
      </c>
      <c r="D438" s="1">
        <v>44982</v>
      </c>
      <c r="E438" s="14" t="s">
        <v>2057</v>
      </c>
      <c r="F438" s="14" t="s">
        <v>33</v>
      </c>
      <c r="G438">
        <v>447</v>
      </c>
      <c r="H438">
        <v>4397.78</v>
      </c>
      <c r="I438">
        <v>4190.5600000000004</v>
      </c>
      <c r="J438">
        <v>2</v>
      </c>
      <c r="K438" s="14" t="s">
        <v>15</v>
      </c>
      <c r="L438" s="14" t="str">
        <f>IF(OR(Table1[[#This Row],[Order_Status]]="Delivered",Table1[[#This Row],[Delivery_Date]]&lt;&gt;"Not Yet Delivered"),Table1[[#This Row],[Delivery_Date]]-Table1[[#This Row],[Order_Date]],"Not Applicable")</f>
        <v>Not Applicable</v>
      </c>
      <c r="M438" s="14">
        <f>Table1[[#This Row],[Unit_Cost]]-Table1[[#This Row],[Negotiated_Cost]]</f>
        <v>207.21999999999935</v>
      </c>
      <c r="N438" s="18">
        <f>Table1[[#This Row],[Defective_Units]]/Table1[[#This Row],[Quantity]]</f>
        <v>4.4742729306487695E-3</v>
      </c>
      <c r="O438" s="26">
        <f>(Table1[[#This Row],[Unit_Cost]]-Table1[[#This Row],[Negotiated_Cost]])/Table1[[#This Row],[Unit_Cost]]</f>
        <v>4.7119228337933992E-2</v>
      </c>
    </row>
    <row r="439" spans="1:15" x14ac:dyDescent="0.25">
      <c r="A439" t="s">
        <v>474</v>
      </c>
      <c r="B439" t="s">
        <v>12</v>
      </c>
      <c r="C439" s="14" t="s">
        <v>18</v>
      </c>
      <c r="D439" s="1">
        <v>44956</v>
      </c>
      <c r="E439" s="13">
        <v>44983</v>
      </c>
      <c r="F439" s="14" t="s">
        <v>37</v>
      </c>
      <c r="G439">
        <v>271</v>
      </c>
      <c r="H439">
        <v>5481.16</v>
      </c>
      <c r="I439">
        <v>5186.25</v>
      </c>
      <c r="J439">
        <v>4</v>
      </c>
      <c r="K439" s="14" t="s">
        <v>15</v>
      </c>
      <c r="L439" s="14">
        <f>IF(OR(Table1[[#This Row],[Order_Status]]="Delivered",Table1[[#This Row],[Delivery_Date]]&lt;&gt;"Not Yet Delivered"),Table1[[#This Row],[Delivery_Date]]-Table1[[#This Row],[Order_Date]],"Not Applicable")</f>
        <v>27</v>
      </c>
      <c r="M439" s="14">
        <f>Table1[[#This Row],[Unit_Cost]]-Table1[[#This Row],[Negotiated_Cost]]</f>
        <v>294.90999999999985</v>
      </c>
      <c r="N439" s="18">
        <f>Table1[[#This Row],[Defective_Units]]/Table1[[#This Row],[Quantity]]</f>
        <v>1.4760147601476014E-2</v>
      </c>
      <c r="O439" s="26">
        <f>(Table1[[#This Row],[Unit_Cost]]-Table1[[#This Row],[Negotiated_Cost]])/Table1[[#This Row],[Unit_Cost]]</f>
        <v>5.3804304198381336E-2</v>
      </c>
    </row>
    <row r="440" spans="1:15" x14ac:dyDescent="0.25">
      <c r="A440" t="s">
        <v>475</v>
      </c>
      <c r="B440" t="s">
        <v>27</v>
      </c>
      <c r="C440" s="14" t="s">
        <v>21</v>
      </c>
      <c r="D440" s="1">
        <v>45532</v>
      </c>
      <c r="E440" s="13">
        <v>45557</v>
      </c>
      <c r="F440" s="14" t="s">
        <v>14</v>
      </c>
      <c r="G440">
        <v>461</v>
      </c>
      <c r="H440">
        <v>115.52</v>
      </c>
      <c r="I440">
        <v>114.01</v>
      </c>
      <c r="J440">
        <v>0</v>
      </c>
      <c r="K440" s="14" t="s">
        <v>15</v>
      </c>
      <c r="L440" s="14">
        <f>IF(OR(Table1[[#This Row],[Order_Status]]="Delivered",Table1[[#This Row],[Delivery_Date]]&lt;&gt;"Not Yet Delivered"),Table1[[#This Row],[Delivery_Date]]-Table1[[#This Row],[Order_Date]],"Not Applicable")</f>
        <v>25</v>
      </c>
      <c r="M440" s="14">
        <f>Table1[[#This Row],[Unit_Cost]]-Table1[[#This Row],[Negotiated_Cost]]</f>
        <v>1.5099999999999909</v>
      </c>
      <c r="N440" s="18">
        <f>Table1[[#This Row],[Defective_Units]]/Table1[[#This Row],[Quantity]]</f>
        <v>0</v>
      </c>
      <c r="O440" s="26">
        <f>(Table1[[#This Row],[Unit_Cost]]-Table1[[#This Row],[Negotiated_Cost]])/Table1[[#This Row],[Unit_Cost]]</f>
        <v>1.3071329639889119E-2</v>
      </c>
    </row>
    <row r="441" spans="1:15" x14ac:dyDescent="0.25">
      <c r="A441" t="s">
        <v>476</v>
      </c>
      <c r="B441" t="s">
        <v>32</v>
      </c>
      <c r="C441" s="14" t="s">
        <v>13</v>
      </c>
      <c r="D441" s="1">
        <v>45478</v>
      </c>
      <c r="E441" s="13">
        <v>45489</v>
      </c>
      <c r="F441" s="14" t="s">
        <v>14</v>
      </c>
      <c r="G441">
        <v>105</v>
      </c>
      <c r="H441">
        <v>3916.85</v>
      </c>
      <c r="I441">
        <v>3741.26</v>
      </c>
      <c r="J441">
        <v>3</v>
      </c>
      <c r="K441" s="14" t="s">
        <v>15</v>
      </c>
      <c r="L441" s="14">
        <f>IF(OR(Table1[[#This Row],[Order_Status]]="Delivered",Table1[[#This Row],[Delivery_Date]]&lt;&gt;"Not Yet Delivered"),Table1[[#This Row],[Delivery_Date]]-Table1[[#This Row],[Order_Date]],"Not Applicable")</f>
        <v>11</v>
      </c>
      <c r="M441" s="14">
        <f>Table1[[#This Row],[Unit_Cost]]-Table1[[#This Row],[Negotiated_Cost]]</f>
        <v>175.58999999999969</v>
      </c>
      <c r="N441" s="18">
        <f>Table1[[#This Row],[Defective_Units]]/Table1[[#This Row],[Quantity]]</f>
        <v>2.8571428571428571E-2</v>
      </c>
      <c r="O441" s="26">
        <f>(Table1[[#This Row],[Unit_Cost]]-Table1[[#This Row],[Negotiated_Cost]])/Table1[[#This Row],[Unit_Cost]]</f>
        <v>4.4829390964678174E-2</v>
      </c>
    </row>
    <row r="442" spans="1:15" x14ac:dyDescent="0.25">
      <c r="A442" t="s">
        <v>477</v>
      </c>
      <c r="B442" t="s">
        <v>32</v>
      </c>
      <c r="C442" s="14" t="s">
        <v>18</v>
      </c>
      <c r="D442" s="1">
        <v>45613</v>
      </c>
      <c r="E442" s="13">
        <v>45631</v>
      </c>
      <c r="F442" s="14" t="s">
        <v>37</v>
      </c>
      <c r="G442">
        <v>277</v>
      </c>
      <c r="H442">
        <v>4685.3599999999997</v>
      </c>
      <c r="I442">
        <v>4463.01</v>
      </c>
      <c r="J442">
        <v>4</v>
      </c>
      <c r="K442" s="14" t="s">
        <v>15</v>
      </c>
      <c r="L442" s="14">
        <f>IF(OR(Table1[[#This Row],[Order_Status]]="Delivered",Table1[[#This Row],[Delivery_Date]]&lt;&gt;"Not Yet Delivered"),Table1[[#This Row],[Delivery_Date]]-Table1[[#This Row],[Order_Date]],"Not Applicable")</f>
        <v>18</v>
      </c>
      <c r="M442" s="14">
        <f>Table1[[#This Row],[Unit_Cost]]-Table1[[#This Row],[Negotiated_Cost]]</f>
        <v>222.34999999999945</v>
      </c>
      <c r="N442" s="18">
        <f>Table1[[#This Row],[Defective_Units]]/Table1[[#This Row],[Quantity]]</f>
        <v>1.444043321299639E-2</v>
      </c>
      <c r="O442" s="26">
        <f>(Table1[[#This Row],[Unit_Cost]]-Table1[[#This Row],[Negotiated_Cost]])/Table1[[#This Row],[Unit_Cost]]</f>
        <v>4.7456332064131565E-2</v>
      </c>
    </row>
    <row r="443" spans="1:15" x14ac:dyDescent="0.25">
      <c r="A443" t="s">
        <v>478</v>
      </c>
      <c r="B443" t="s">
        <v>46</v>
      </c>
      <c r="C443" s="14" t="s">
        <v>18</v>
      </c>
      <c r="D443" s="1">
        <v>45581</v>
      </c>
      <c r="E443" s="13">
        <v>45603</v>
      </c>
      <c r="F443" s="14" t="s">
        <v>14</v>
      </c>
      <c r="G443">
        <v>314</v>
      </c>
      <c r="H443">
        <v>5309.78</v>
      </c>
      <c r="I443">
        <v>5240.17</v>
      </c>
      <c r="J443">
        <v>1</v>
      </c>
      <c r="K443" s="14" t="s">
        <v>15</v>
      </c>
      <c r="L443" s="14">
        <f>IF(OR(Table1[[#This Row],[Order_Status]]="Delivered",Table1[[#This Row],[Delivery_Date]]&lt;&gt;"Not Yet Delivered"),Table1[[#This Row],[Delivery_Date]]-Table1[[#This Row],[Order_Date]],"Not Applicable")</f>
        <v>22</v>
      </c>
      <c r="M443" s="14">
        <f>Table1[[#This Row],[Unit_Cost]]-Table1[[#This Row],[Negotiated_Cost]]</f>
        <v>69.609999999999673</v>
      </c>
      <c r="N443" s="18">
        <f>Table1[[#This Row],[Defective_Units]]/Table1[[#This Row],[Quantity]]</f>
        <v>3.1847133757961785E-3</v>
      </c>
      <c r="O443" s="26">
        <f>(Table1[[#This Row],[Unit_Cost]]-Table1[[#This Row],[Negotiated_Cost]])/Table1[[#This Row],[Unit_Cost]]</f>
        <v>1.3109771026294815E-2</v>
      </c>
    </row>
    <row r="444" spans="1:15" x14ac:dyDescent="0.25">
      <c r="A444" t="s">
        <v>479</v>
      </c>
      <c r="B444" t="s">
        <v>20</v>
      </c>
      <c r="C444" s="14" t="s">
        <v>13</v>
      </c>
      <c r="D444" s="1">
        <v>44952</v>
      </c>
      <c r="E444" s="13">
        <v>44959</v>
      </c>
      <c r="F444" s="14" t="s">
        <v>14</v>
      </c>
      <c r="G444">
        <v>307</v>
      </c>
      <c r="H444">
        <v>4020.19</v>
      </c>
      <c r="I444">
        <v>3877.33</v>
      </c>
      <c r="J444">
        <v>3</v>
      </c>
      <c r="K444" s="14" t="s">
        <v>15</v>
      </c>
      <c r="L444" s="14">
        <f>IF(OR(Table1[[#This Row],[Order_Status]]="Delivered",Table1[[#This Row],[Delivery_Date]]&lt;&gt;"Not Yet Delivered"),Table1[[#This Row],[Delivery_Date]]-Table1[[#This Row],[Order_Date]],"Not Applicable")</f>
        <v>7</v>
      </c>
      <c r="M444" s="14">
        <f>Table1[[#This Row],[Unit_Cost]]-Table1[[#This Row],[Negotiated_Cost]]</f>
        <v>142.86000000000013</v>
      </c>
      <c r="N444" s="18">
        <f>Table1[[#This Row],[Defective_Units]]/Table1[[#This Row],[Quantity]]</f>
        <v>9.7719869706840382E-3</v>
      </c>
      <c r="O444" s="26">
        <f>(Table1[[#This Row],[Unit_Cost]]-Table1[[#This Row],[Negotiated_Cost]])/Table1[[#This Row],[Unit_Cost]]</f>
        <v>3.5535633887950599E-2</v>
      </c>
    </row>
    <row r="445" spans="1:15" x14ac:dyDescent="0.25">
      <c r="A445" t="s">
        <v>480</v>
      </c>
      <c r="B445" t="s">
        <v>35</v>
      </c>
      <c r="C445" s="14" t="s">
        <v>13</v>
      </c>
      <c r="D445" s="1">
        <v>45482</v>
      </c>
      <c r="E445" s="13">
        <v>45498</v>
      </c>
      <c r="F445" s="14" t="s">
        <v>14</v>
      </c>
      <c r="G445">
        <v>379</v>
      </c>
      <c r="H445">
        <v>4206.2</v>
      </c>
      <c r="I445">
        <v>4149.0600000000004</v>
      </c>
      <c r="J445">
        <v>0</v>
      </c>
      <c r="K445" s="14" t="s">
        <v>15</v>
      </c>
      <c r="L445" s="14">
        <f>IF(OR(Table1[[#This Row],[Order_Status]]="Delivered",Table1[[#This Row],[Delivery_Date]]&lt;&gt;"Not Yet Delivered"),Table1[[#This Row],[Delivery_Date]]-Table1[[#This Row],[Order_Date]],"Not Applicable")</f>
        <v>16</v>
      </c>
      <c r="M445" s="14">
        <f>Table1[[#This Row],[Unit_Cost]]-Table1[[#This Row],[Negotiated_Cost]]</f>
        <v>57.139999999999418</v>
      </c>
      <c r="N445" s="18">
        <f>Table1[[#This Row],[Defective_Units]]/Table1[[#This Row],[Quantity]]</f>
        <v>0</v>
      </c>
      <c r="O445" s="26">
        <f>(Table1[[#This Row],[Unit_Cost]]-Table1[[#This Row],[Negotiated_Cost]])/Table1[[#This Row],[Unit_Cost]]</f>
        <v>1.3584708287765541E-2</v>
      </c>
    </row>
    <row r="446" spans="1:15" x14ac:dyDescent="0.25">
      <c r="A446" t="s">
        <v>481</v>
      </c>
      <c r="B446" t="s">
        <v>35</v>
      </c>
      <c r="C446" s="14" t="s">
        <v>44</v>
      </c>
      <c r="D446" s="1">
        <v>44970</v>
      </c>
      <c r="E446" s="13">
        <v>44978</v>
      </c>
      <c r="F446" s="14" t="s">
        <v>14</v>
      </c>
      <c r="G446">
        <v>364</v>
      </c>
      <c r="H446">
        <v>8316.0499999999993</v>
      </c>
      <c r="I446">
        <v>8035.72</v>
      </c>
      <c r="J446">
        <v>1</v>
      </c>
      <c r="K446" s="14" t="s">
        <v>15</v>
      </c>
      <c r="L446" s="14">
        <f>IF(OR(Table1[[#This Row],[Order_Status]]="Delivered",Table1[[#This Row],[Delivery_Date]]&lt;&gt;"Not Yet Delivered"),Table1[[#This Row],[Delivery_Date]]-Table1[[#This Row],[Order_Date]],"Not Applicable")</f>
        <v>8</v>
      </c>
      <c r="M446" s="14">
        <f>Table1[[#This Row],[Unit_Cost]]-Table1[[#This Row],[Negotiated_Cost]]</f>
        <v>280.32999999999902</v>
      </c>
      <c r="N446" s="18">
        <f>Table1[[#This Row],[Defective_Units]]/Table1[[#This Row],[Quantity]]</f>
        <v>2.7472527472527475E-3</v>
      </c>
      <c r="O446" s="26">
        <f>(Table1[[#This Row],[Unit_Cost]]-Table1[[#This Row],[Negotiated_Cost]])/Table1[[#This Row],[Unit_Cost]]</f>
        <v>3.3709513531063308E-2</v>
      </c>
    </row>
    <row r="447" spans="1:15" x14ac:dyDescent="0.25">
      <c r="A447" t="s">
        <v>482</v>
      </c>
      <c r="B447" t="s">
        <v>35</v>
      </c>
      <c r="C447" s="14" t="s">
        <v>44</v>
      </c>
      <c r="D447" s="1">
        <v>45324</v>
      </c>
      <c r="E447" s="13">
        <v>45329</v>
      </c>
      <c r="F447" s="14" t="s">
        <v>14</v>
      </c>
      <c r="G447">
        <v>425</v>
      </c>
      <c r="H447">
        <v>8061.51</v>
      </c>
      <c r="I447">
        <v>7769</v>
      </c>
      <c r="J447">
        <v>2</v>
      </c>
      <c r="K447" s="14" t="s">
        <v>15</v>
      </c>
      <c r="L447" s="14">
        <f>IF(OR(Table1[[#This Row],[Order_Status]]="Delivered",Table1[[#This Row],[Delivery_Date]]&lt;&gt;"Not Yet Delivered"),Table1[[#This Row],[Delivery_Date]]-Table1[[#This Row],[Order_Date]],"Not Applicable")</f>
        <v>5</v>
      </c>
      <c r="M447" s="14">
        <f>Table1[[#This Row],[Unit_Cost]]-Table1[[#This Row],[Negotiated_Cost]]</f>
        <v>292.51000000000022</v>
      </c>
      <c r="N447" s="18">
        <f>Table1[[#This Row],[Defective_Units]]/Table1[[#This Row],[Quantity]]</f>
        <v>4.7058823529411761E-3</v>
      </c>
      <c r="O447" s="26">
        <f>(Table1[[#This Row],[Unit_Cost]]-Table1[[#This Row],[Negotiated_Cost]])/Table1[[#This Row],[Unit_Cost]]</f>
        <v>3.6284765509191234E-2</v>
      </c>
    </row>
    <row r="448" spans="1:15" x14ac:dyDescent="0.25">
      <c r="A448" t="s">
        <v>483</v>
      </c>
      <c r="B448" t="s">
        <v>12</v>
      </c>
      <c r="C448" s="14" t="s">
        <v>44</v>
      </c>
      <c r="D448" s="1">
        <v>45163</v>
      </c>
      <c r="E448" s="14" t="s">
        <v>2057</v>
      </c>
      <c r="F448" s="14" t="s">
        <v>22</v>
      </c>
      <c r="G448">
        <v>198</v>
      </c>
      <c r="H448">
        <v>8986.09</v>
      </c>
      <c r="I448">
        <v>8571.68</v>
      </c>
      <c r="J448">
        <v>2</v>
      </c>
      <c r="K448" s="14" t="s">
        <v>15</v>
      </c>
      <c r="L448" s="14" t="str">
        <f>IF(OR(Table1[[#This Row],[Order_Status]]="Delivered",Table1[[#This Row],[Delivery_Date]]&lt;&gt;"Not Yet Delivered"),Table1[[#This Row],[Delivery_Date]]-Table1[[#This Row],[Order_Date]],"Not Applicable")</f>
        <v>Not Applicable</v>
      </c>
      <c r="M448" s="14">
        <f>Table1[[#This Row],[Unit_Cost]]-Table1[[#This Row],[Negotiated_Cost]]</f>
        <v>414.40999999999985</v>
      </c>
      <c r="N448" s="18">
        <f>Table1[[#This Row],[Defective_Units]]/Table1[[#This Row],[Quantity]]</f>
        <v>1.0101010101010102E-2</v>
      </c>
      <c r="O448" s="26">
        <f>(Table1[[#This Row],[Unit_Cost]]-Table1[[#This Row],[Negotiated_Cost]])/Table1[[#This Row],[Unit_Cost]]</f>
        <v>4.6116831680964677E-2</v>
      </c>
    </row>
    <row r="449" spans="1:15" x14ac:dyDescent="0.25">
      <c r="A449" t="s">
        <v>484</v>
      </c>
      <c r="B449" t="s">
        <v>46</v>
      </c>
      <c r="C449" s="14" t="s">
        <v>13</v>
      </c>
      <c r="D449" s="1">
        <v>45509</v>
      </c>
      <c r="E449" s="13">
        <v>45535</v>
      </c>
      <c r="F449" s="14" t="s">
        <v>14</v>
      </c>
      <c r="G449">
        <v>368</v>
      </c>
      <c r="H449">
        <v>4365.78</v>
      </c>
      <c r="I449">
        <v>4270.28</v>
      </c>
      <c r="J449">
        <v>0</v>
      </c>
      <c r="K449" s="14" t="s">
        <v>15</v>
      </c>
      <c r="L449" s="14">
        <f>IF(OR(Table1[[#This Row],[Order_Status]]="Delivered",Table1[[#This Row],[Delivery_Date]]&lt;&gt;"Not Yet Delivered"),Table1[[#This Row],[Delivery_Date]]-Table1[[#This Row],[Order_Date]],"Not Applicable")</f>
        <v>26</v>
      </c>
      <c r="M449" s="14">
        <f>Table1[[#This Row],[Unit_Cost]]-Table1[[#This Row],[Negotiated_Cost]]</f>
        <v>95.5</v>
      </c>
      <c r="N449" s="18">
        <f>Table1[[#This Row],[Defective_Units]]/Table1[[#This Row],[Quantity]]</f>
        <v>0</v>
      </c>
      <c r="O449" s="26">
        <f>(Table1[[#This Row],[Unit_Cost]]-Table1[[#This Row],[Negotiated_Cost]])/Table1[[#This Row],[Unit_Cost]]</f>
        <v>2.1874670734668263E-2</v>
      </c>
    </row>
    <row r="450" spans="1:15" x14ac:dyDescent="0.25">
      <c r="A450" t="s">
        <v>485</v>
      </c>
      <c r="B450" t="s">
        <v>46</v>
      </c>
      <c r="C450" s="14" t="s">
        <v>36</v>
      </c>
      <c r="D450" s="1">
        <v>45349</v>
      </c>
      <c r="E450" s="13">
        <v>45373</v>
      </c>
      <c r="F450" s="14" t="s">
        <v>37</v>
      </c>
      <c r="G450">
        <v>64</v>
      </c>
      <c r="H450">
        <v>540.83000000000004</v>
      </c>
      <c r="I450">
        <v>537.38</v>
      </c>
      <c r="J450">
        <v>2</v>
      </c>
      <c r="K450" s="14" t="s">
        <v>15</v>
      </c>
      <c r="L450" s="14">
        <f>IF(OR(Table1[[#This Row],[Order_Status]]="Delivered",Table1[[#This Row],[Delivery_Date]]&lt;&gt;"Not Yet Delivered"),Table1[[#This Row],[Delivery_Date]]-Table1[[#This Row],[Order_Date]],"Not Applicable")</f>
        <v>24</v>
      </c>
      <c r="M450" s="14">
        <f>Table1[[#This Row],[Unit_Cost]]-Table1[[#This Row],[Negotiated_Cost]]</f>
        <v>3.4500000000000455</v>
      </c>
      <c r="N450" s="18">
        <f>Table1[[#This Row],[Defective_Units]]/Table1[[#This Row],[Quantity]]</f>
        <v>3.125E-2</v>
      </c>
      <c r="O450" s="26">
        <f>(Table1[[#This Row],[Unit_Cost]]-Table1[[#This Row],[Negotiated_Cost]])/Table1[[#This Row],[Unit_Cost]]</f>
        <v>6.3790840005178064E-3</v>
      </c>
    </row>
    <row r="451" spans="1:15" x14ac:dyDescent="0.25">
      <c r="A451" t="s">
        <v>486</v>
      </c>
      <c r="B451" t="s">
        <v>46</v>
      </c>
      <c r="C451" s="14" t="s">
        <v>30</v>
      </c>
      <c r="D451" s="1">
        <v>44932</v>
      </c>
      <c r="E451" s="13">
        <v>44959</v>
      </c>
      <c r="F451" s="14" t="s">
        <v>14</v>
      </c>
      <c r="G451">
        <v>292</v>
      </c>
      <c r="H451">
        <v>883.92</v>
      </c>
      <c r="I451">
        <v>844.12</v>
      </c>
      <c r="J451">
        <v>2</v>
      </c>
      <c r="K451" s="14" t="s">
        <v>15</v>
      </c>
      <c r="L451" s="14">
        <f>IF(OR(Table1[[#This Row],[Order_Status]]="Delivered",Table1[[#This Row],[Delivery_Date]]&lt;&gt;"Not Yet Delivered"),Table1[[#This Row],[Delivery_Date]]-Table1[[#This Row],[Order_Date]],"Not Applicable")</f>
        <v>27</v>
      </c>
      <c r="M451" s="14">
        <f>Table1[[#This Row],[Unit_Cost]]-Table1[[#This Row],[Negotiated_Cost]]</f>
        <v>39.799999999999955</v>
      </c>
      <c r="N451" s="18">
        <f>Table1[[#This Row],[Defective_Units]]/Table1[[#This Row],[Quantity]]</f>
        <v>6.8493150684931503E-3</v>
      </c>
      <c r="O451" s="26">
        <f>(Table1[[#This Row],[Unit_Cost]]-Table1[[#This Row],[Negotiated_Cost]])/Table1[[#This Row],[Unit_Cost]]</f>
        <v>4.5026699248800747E-2</v>
      </c>
    </row>
    <row r="452" spans="1:15" x14ac:dyDescent="0.25">
      <c r="A452" t="s">
        <v>487</v>
      </c>
      <c r="B452" t="s">
        <v>40</v>
      </c>
      <c r="C452" s="14" t="s">
        <v>42</v>
      </c>
      <c r="D452" s="1">
        <v>45032</v>
      </c>
      <c r="E452" s="13">
        <v>45037</v>
      </c>
      <c r="F452" s="14" t="s">
        <v>14</v>
      </c>
      <c r="G452">
        <v>143</v>
      </c>
      <c r="H452">
        <v>13291.02</v>
      </c>
      <c r="I452">
        <v>13049.15</v>
      </c>
      <c r="J452">
        <v>2</v>
      </c>
      <c r="K452" s="14" t="s">
        <v>15</v>
      </c>
      <c r="L452" s="14">
        <f>IF(OR(Table1[[#This Row],[Order_Status]]="Delivered",Table1[[#This Row],[Delivery_Date]]&lt;&gt;"Not Yet Delivered"),Table1[[#This Row],[Delivery_Date]]-Table1[[#This Row],[Order_Date]],"Not Applicable")</f>
        <v>5</v>
      </c>
      <c r="M452" s="14">
        <f>Table1[[#This Row],[Unit_Cost]]-Table1[[#This Row],[Negotiated_Cost]]</f>
        <v>241.8700000000008</v>
      </c>
      <c r="N452" s="18">
        <f>Table1[[#This Row],[Defective_Units]]/Table1[[#This Row],[Quantity]]</f>
        <v>1.3986013986013986E-2</v>
      </c>
      <c r="O452" s="26">
        <f>(Table1[[#This Row],[Unit_Cost]]-Table1[[#This Row],[Negotiated_Cost]])/Table1[[#This Row],[Unit_Cost]]</f>
        <v>1.8198001357307474E-2</v>
      </c>
    </row>
    <row r="453" spans="1:15" x14ac:dyDescent="0.25">
      <c r="A453" t="s">
        <v>488</v>
      </c>
      <c r="B453" t="s">
        <v>32</v>
      </c>
      <c r="C453" s="14" t="s">
        <v>24</v>
      </c>
      <c r="D453" s="1">
        <v>45119</v>
      </c>
      <c r="E453" s="14" t="s">
        <v>2057</v>
      </c>
      <c r="F453" s="14" t="s">
        <v>22</v>
      </c>
      <c r="G453">
        <v>472</v>
      </c>
      <c r="H453">
        <v>11337.51</v>
      </c>
      <c r="I453">
        <v>11078.57</v>
      </c>
      <c r="J453">
        <v>2</v>
      </c>
      <c r="K453" s="14" t="s">
        <v>15</v>
      </c>
      <c r="L453" s="14" t="str">
        <f>IF(OR(Table1[[#This Row],[Order_Status]]="Delivered",Table1[[#This Row],[Delivery_Date]]&lt;&gt;"Not Yet Delivered"),Table1[[#This Row],[Delivery_Date]]-Table1[[#This Row],[Order_Date]],"Not Applicable")</f>
        <v>Not Applicable</v>
      </c>
      <c r="M453" s="14">
        <f>Table1[[#This Row],[Unit_Cost]]-Table1[[#This Row],[Negotiated_Cost]]</f>
        <v>258.94000000000051</v>
      </c>
      <c r="N453" s="18">
        <f>Table1[[#This Row],[Defective_Units]]/Table1[[#This Row],[Quantity]]</f>
        <v>4.2372881355932203E-3</v>
      </c>
      <c r="O453" s="26">
        <f>(Table1[[#This Row],[Unit_Cost]]-Table1[[#This Row],[Negotiated_Cost]])/Table1[[#This Row],[Unit_Cost]]</f>
        <v>2.2839230130778321E-2</v>
      </c>
    </row>
    <row r="454" spans="1:15" x14ac:dyDescent="0.25">
      <c r="A454" t="s">
        <v>489</v>
      </c>
      <c r="B454" t="s">
        <v>12</v>
      </c>
      <c r="C454" s="14" t="s">
        <v>21</v>
      </c>
      <c r="D454" s="1">
        <v>45525</v>
      </c>
      <c r="E454" s="13">
        <v>45535</v>
      </c>
      <c r="F454" s="14" t="s">
        <v>14</v>
      </c>
      <c r="G454">
        <v>274</v>
      </c>
      <c r="H454">
        <v>128.84</v>
      </c>
      <c r="I454">
        <v>122.04</v>
      </c>
      <c r="J454">
        <v>2</v>
      </c>
      <c r="K454" s="14" t="s">
        <v>15</v>
      </c>
      <c r="L454" s="14">
        <f>IF(OR(Table1[[#This Row],[Order_Status]]="Delivered",Table1[[#This Row],[Delivery_Date]]&lt;&gt;"Not Yet Delivered"),Table1[[#This Row],[Delivery_Date]]-Table1[[#This Row],[Order_Date]],"Not Applicable")</f>
        <v>10</v>
      </c>
      <c r="M454" s="14">
        <f>Table1[[#This Row],[Unit_Cost]]-Table1[[#This Row],[Negotiated_Cost]]</f>
        <v>6.7999999999999972</v>
      </c>
      <c r="N454" s="18">
        <f>Table1[[#This Row],[Defective_Units]]/Table1[[#This Row],[Quantity]]</f>
        <v>7.2992700729927005E-3</v>
      </c>
      <c r="O454" s="26">
        <f>(Table1[[#This Row],[Unit_Cost]]-Table1[[#This Row],[Negotiated_Cost]])/Table1[[#This Row],[Unit_Cost]]</f>
        <v>5.2778640173859026E-2</v>
      </c>
    </row>
    <row r="455" spans="1:15" x14ac:dyDescent="0.25">
      <c r="A455" t="s">
        <v>490</v>
      </c>
      <c r="B455" t="s">
        <v>35</v>
      </c>
      <c r="C455" s="14" t="s">
        <v>30</v>
      </c>
      <c r="D455" s="1">
        <v>45653</v>
      </c>
      <c r="E455" s="13">
        <v>45678</v>
      </c>
      <c r="F455" s="14" t="s">
        <v>14</v>
      </c>
      <c r="G455">
        <v>34</v>
      </c>
      <c r="H455">
        <v>929.84</v>
      </c>
      <c r="I455">
        <v>881.33</v>
      </c>
      <c r="J455">
        <v>1</v>
      </c>
      <c r="K455" s="14" t="s">
        <v>15</v>
      </c>
      <c r="L455" s="14">
        <f>IF(OR(Table1[[#This Row],[Order_Status]]="Delivered",Table1[[#This Row],[Delivery_Date]]&lt;&gt;"Not Yet Delivered"),Table1[[#This Row],[Delivery_Date]]-Table1[[#This Row],[Order_Date]],"Not Applicable")</f>
        <v>25</v>
      </c>
      <c r="M455" s="14">
        <f>Table1[[#This Row],[Unit_Cost]]-Table1[[#This Row],[Negotiated_Cost]]</f>
        <v>48.509999999999991</v>
      </c>
      <c r="N455" s="18">
        <f>Table1[[#This Row],[Defective_Units]]/Table1[[#This Row],[Quantity]]</f>
        <v>2.9411764705882353E-2</v>
      </c>
      <c r="O455" s="26">
        <f>(Table1[[#This Row],[Unit_Cost]]-Table1[[#This Row],[Negotiated_Cost]])/Table1[[#This Row],[Unit_Cost]]</f>
        <v>5.2170265852189611E-2</v>
      </c>
    </row>
    <row r="456" spans="1:15" x14ac:dyDescent="0.25">
      <c r="A456" t="s">
        <v>491</v>
      </c>
      <c r="B456" t="s">
        <v>32</v>
      </c>
      <c r="C456" s="14" t="s">
        <v>44</v>
      </c>
      <c r="D456" s="1">
        <v>45301</v>
      </c>
      <c r="E456" s="13">
        <v>45322</v>
      </c>
      <c r="F456" s="14" t="s">
        <v>14</v>
      </c>
      <c r="G456">
        <v>131</v>
      </c>
      <c r="H456">
        <v>7366.37</v>
      </c>
      <c r="I456">
        <v>7216.86</v>
      </c>
      <c r="J456">
        <v>0</v>
      </c>
      <c r="K456" s="14" t="s">
        <v>15</v>
      </c>
      <c r="L456" s="14">
        <f>IF(OR(Table1[[#This Row],[Order_Status]]="Delivered",Table1[[#This Row],[Delivery_Date]]&lt;&gt;"Not Yet Delivered"),Table1[[#This Row],[Delivery_Date]]-Table1[[#This Row],[Order_Date]],"Not Applicable")</f>
        <v>21</v>
      </c>
      <c r="M456" s="14">
        <f>Table1[[#This Row],[Unit_Cost]]-Table1[[#This Row],[Negotiated_Cost]]</f>
        <v>149.51000000000022</v>
      </c>
      <c r="N456" s="18">
        <f>Table1[[#This Row],[Defective_Units]]/Table1[[#This Row],[Quantity]]</f>
        <v>0</v>
      </c>
      <c r="O456" s="26">
        <f>(Table1[[#This Row],[Unit_Cost]]-Table1[[#This Row],[Negotiated_Cost]])/Table1[[#This Row],[Unit_Cost]]</f>
        <v>2.0296292475126855E-2</v>
      </c>
    </row>
    <row r="457" spans="1:15" x14ac:dyDescent="0.25">
      <c r="A457" t="s">
        <v>492</v>
      </c>
      <c r="B457" t="s">
        <v>46</v>
      </c>
      <c r="C457" s="14" t="s">
        <v>55</v>
      </c>
      <c r="D457" s="1">
        <v>45429</v>
      </c>
      <c r="E457" s="13">
        <v>45442</v>
      </c>
      <c r="F457" s="14" t="s">
        <v>14</v>
      </c>
      <c r="G457">
        <v>213</v>
      </c>
      <c r="H457">
        <v>13892.44</v>
      </c>
      <c r="I457">
        <v>13782.75</v>
      </c>
      <c r="J457">
        <v>2</v>
      </c>
      <c r="K457" s="14" t="s">
        <v>15</v>
      </c>
      <c r="L457" s="14">
        <f>IF(OR(Table1[[#This Row],[Order_Status]]="Delivered",Table1[[#This Row],[Delivery_Date]]&lt;&gt;"Not Yet Delivered"),Table1[[#This Row],[Delivery_Date]]-Table1[[#This Row],[Order_Date]],"Not Applicable")</f>
        <v>13</v>
      </c>
      <c r="M457" s="14">
        <f>Table1[[#This Row],[Unit_Cost]]-Table1[[#This Row],[Negotiated_Cost]]</f>
        <v>109.69000000000051</v>
      </c>
      <c r="N457" s="18">
        <f>Table1[[#This Row],[Defective_Units]]/Table1[[#This Row],[Quantity]]</f>
        <v>9.3896713615023476E-3</v>
      </c>
      <c r="O457" s="26">
        <f>(Table1[[#This Row],[Unit_Cost]]-Table1[[#This Row],[Negotiated_Cost]])/Table1[[#This Row],[Unit_Cost]]</f>
        <v>7.895661237334874E-3</v>
      </c>
    </row>
    <row r="458" spans="1:15" x14ac:dyDescent="0.25">
      <c r="A458" t="s">
        <v>493</v>
      </c>
      <c r="B458" t="s">
        <v>27</v>
      </c>
      <c r="C458" s="14" t="s">
        <v>24</v>
      </c>
      <c r="D458" s="1">
        <v>45409</v>
      </c>
      <c r="E458" s="13">
        <v>45422</v>
      </c>
      <c r="F458" s="14" t="s">
        <v>14</v>
      </c>
      <c r="G458">
        <v>191</v>
      </c>
      <c r="H458">
        <v>12877.38</v>
      </c>
      <c r="I458">
        <v>12113.47</v>
      </c>
      <c r="J458">
        <v>1</v>
      </c>
      <c r="K458" s="14" t="s">
        <v>15</v>
      </c>
      <c r="L458" s="14">
        <f>IF(OR(Table1[[#This Row],[Order_Status]]="Delivered",Table1[[#This Row],[Delivery_Date]]&lt;&gt;"Not Yet Delivered"),Table1[[#This Row],[Delivery_Date]]-Table1[[#This Row],[Order_Date]],"Not Applicable")</f>
        <v>13</v>
      </c>
      <c r="M458" s="14">
        <f>Table1[[#This Row],[Unit_Cost]]-Table1[[#This Row],[Negotiated_Cost]]</f>
        <v>763.90999999999985</v>
      </c>
      <c r="N458" s="18">
        <f>Table1[[#This Row],[Defective_Units]]/Table1[[#This Row],[Quantity]]</f>
        <v>5.235602094240838E-3</v>
      </c>
      <c r="O458" s="26">
        <f>(Table1[[#This Row],[Unit_Cost]]-Table1[[#This Row],[Negotiated_Cost]])/Table1[[#This Row],[Unit_Cost]]</f>
        <v>5.9321849630903173E-2</v>
      </c>
    </row>
    <row r="459" spans="1:15" x14ac:dyDescent="0.25">
      <c r="A459" t="s">
        <v>494</v>
      </c>
      <c r="B459" t="s">
        <v>40</v>
      </c>
      <c r="C459" s="14" t="s">
        <v>30</v>
      </c>
      <c r="D459" s="1">
        <v>45568</v>
      </c>
      <c r="E459" s="14" t="s">
        <v>2057</v>
      </c>
      <c r="F459" s="14" t="s">
        <v>33</v>
      </c>
      <c r="G459">
        <v>478</v>
      </c>
      <c r="H459">
        <v>945.78</v>
      </c>
      <c r="I459">
        <v>929.29</v>
      </c>
      <c r="J459">
        <v>2</v>
      </c>
      <c r="K459" s="14" t="s">
        <v>15</v>
      </c>
      <c r="L459" s="14" t="str">
        <f>IF(OR(Table1[[#This Row],[Order_Status]]="Delivered",Table1[[#This Row],[Delivery_Date]]&lt;&gt;"Not Yet Delivered"),Table1[[#This Row],[Delivery_Date]]-Table1[[#This Row],[Order_Date]],"Not Applicable")</f>
        <v>Not Applicable</v>
      </c>
      <c r="M459" s="14">
        <f>Table1[[#This Row],[Unit_Cost]]-Table1[[#This Row],[Negotiated_Cost]]</f>
        <v>16.490000000000009</v>
      </c>
      <c r="N459" s="18">
        <f>Table1[[#This Row],[Defective_Units]]/Table1[[#This Row],[Quantity]]</f>
        <v>4.1841004184100415E-3</v>
      </c>
      <c r="O459" s="26">
        <f>(Table1[[#This Row],[Unit_Cost]]-Table1[[#This Row],[Negotiated_Cost]])/Table1[[#This Row],[Unit_Cost]]</f>
        <v>1.743534437184124E-2</v>
      </c>
    </row>
    <row r="460" spans="1:15" x14ac:dyDescent="0.25">
      <c r="A460" t="s">
        <v>495</v>
      </c>
      <c r="B460" t="s">
        <v>12</v>
      </c>
      <c r="C460" s="14" t="s">
        <v>18</v>
      </c>
      <c r="D460" s="1">
        <v>44938</v>
      </c>
      <c r="E460" s="13">
        <v>44968</v>
      </c>
      <c r="F460" s="14" t="s">
        <v>14</v>
      </c>
      <c r="G460">
        <v>145</v>
      </c>
      <c r="H460">
        <v>5677.76</v>
      </c>
      <c r="I460">
        <v>5611.55</v>
      </c>
      <c r="J460">
        <v>0</v>
      </c>
      <c r="K460" s="14" t="s">
        <v>15</v>
      </c>
      <c r="L460" s="14">
        <f>IF(OR(Table1[[#This Row],[Order_Status]]="Delivered",Table1[[#This Row],[Delivery_Date]]&lt;&gt;"Not Yet Delivered"),Table1[[#This Row],[Delivery_Date]]-Table1[[#This Row],[Order_Date]],"Not Applicable")</f>
        <v>30</v>
      </c>
      <c r="M460" s="14">
        <f>Table1[[#This Row],[Unit_Cost]]-Table1[[#This Row],[Negotiated_Cost]]</f>
        <v>66.210000000000036</v>
      </c>
      <c r="N460" s="18">
        <f>Table1[[#This Row],[Defective_Units]]/Table1[[#This Row],[Quantity]]</f>
        <v>0</v>
      </c>
      <c r="O460" s="26">
        <f>(Table1[[#This Row],[Unit_Cost]]-Table1[[#This Row],[Negotiated_Cost]])/Table1[[#This Row],[Unit_Cost]]</f>
        <v>1.16612889590261E-2</v>
      </c>
    </row>
    <row r="461" spans="1:15" x14ac:dyDescent="0.25">
      <c r="A461" t="s">
        <v>496</v>
      </c>
      <c r="B461" t="s">
        <v>12</v>
      </c>
      <c r="C461" s="14" t="s">
        <v>30</v>
      </c>
      <c r="D461" s="1">
        <v>45556</v>
      </c>
      <c r="E461" s="13">
        <v>45580</v>
      </c>
      <c r="F461" s="14" t="s">
        <v>14</v>
      </c>
      <c r="G461">
        <v>353</v>
      </c>
      <c r="H461">
        <v>959.34</v>
      </c>
      <c r="I461">
        <v>918.32</v>
      </c>
      <c r="J461">
        <v>2</v>
      </c>
      <c r="K461" s="14" t="s">
        <v>15</v>
      </c>
      <c r="L461" s="14">
        <f>IF(OR(Table1[[#This Row],[Order_Status]]="Delivered",Table1[[#This Row],[Delivery_Date]]&lt;&gt;"Not Yet Delivered"),Table1[[#This Row],[Delivery_Date]]-Table1[[#This Row],[Order_Date]],"Not Applicable")</f>
        <v>24</v>
      </c>
      <c r="M461" s="14">
        <f>Table1[[#This Row],[Unit_Cost]]-Table1[[#This Row],[Negotiated_Cost]]</f>
        <v>41.019999999999982</v>
      </c>
      <c r="N461" s="18">
        <f>Table1[[#This Row],[Defective_Units]]/Table1[[#This Row],[Quantity]]</f>
        <v>5.6657223796033997E-3</v>
      </c>
      <c r="O461" s="26">
        <f>(Table1[[#This Row],[Unit_Cost]]-Table1[[#This Row],[Negotiated_Cost]])/Table1[[#This Row],[Unit_Cost]]</f>
        <v>4.2758563178852106E-2</v>
      </c>
    </row>
    <row r="462" spans="1:15" x14ac:dyDescent="0.25">
      <c r="A462" t="s">
        <v>497</v>
      </c>
      <c r="B462" t="s">
        <v>46</v>
      </c>
      <c r="C462" s="14" t="s">
        <v>36</v>
      </c>
      <c r="D462" s="1">
        <v>45121</v>
      </c>
      <c r="E462" s="13">
        <v>45141</v>
      </c>
      <c r="F462" s="14" t="s">
        <v>14</v>
      </c>
      <c r="G462">
        <v>403</v>
      </c>
      <c r="H462">
        <v>537.61</v>
      </c>
      <c r="I462">
        <v>522.45000000000005</v>
      </c>
      <c r="J462">
        <v>1</v>
      </c>
      <c r="K462" s="14" t="s">
        <v>15</v>
      </c>
      <c r="L462" s="14">
        <f>IF(OR(Table1[[#This Row],[Order_Status]]="Delivered",Table1[[#This Row],[Delivery_Date]]&lt;&gt;"Not Yet Delivered"),Table1[[#This Row],[Delivery_Date]]-Table1[[#This Row],[Order_Date]],"Not Applicable")</f>
        <v>20</v>
      </c>
      <c r="M462" s="14">
        <f>Table1[[#This Row],[Unit_Cost]]-Table1[[#This Row],[Negotiated_Cost]]</f>
        <v>15.159999999999968</v>
      </c>
      <c r="N462" s="18">
        <f>Table1[[#This Row],[Defective_Units]]/Table1[[#This Row],[Quantity]]</f>
        <v>2.4813895781637717E-3</v>
      </c>
      <c r="O462" s="26">
        <f>(Table1[[#This Row],[Unit_Cost]]-Table1[[#This Row],[Negotiated_Cost]])/Table1[[#This Row],[Unit_Cost]]</f>
        <v>2.8198880229162344E-2</v>
      </c>
    </row>
    <row r="463" spans="1:15" x14ac:dyDescent="0.25">
      <c r="A463" t="s">
        <v>498</v>
      </c>
      <c r="B463" t="s">
        <v>20</v>
      </c>
      <c r="C463" s="14" t="s">
        <v>30</v>
      </c>
      <c r="D463" s="1">
        <v>45090</v>
      </c>
      <c r="E463" s="13">
        <v>45096</v>
      </c>
      <c r="F463" s="14" t="s">
        <v>37</v>
      </c>
      <c r="G463">
        <v>390</v>
      </c>
      <c r="H463">
        <v>854.51</v>
      </c>
      <c r="I463">
        <v>838.09</v>
      </c>
      <c r="J463">
        <v>4</v>
      </c>
      <c r="K463" s="14" t="s">
        <v>15</v>
      </c>
      <c r="L463" s="14">
        <f>IF(OR(Table1[[#This Row],[Order_Status]]="Delivered",Table1[[#This Row],[Delivery_Date]]&lt;&gt;"Not Yet Delivered"),Table1[[#This Row],[Delivery_Date]]-Table1[[#This Row],[Order_Date]],"Not Applicable")</f>
        <v>6</v>
      </c>
      <c r="M463" s="14">
        <f>Table1[[#This Row],[Unit_Cost]]-Table1[[#This Row],[Negotiated_Cost]]</f>
        <v>16.419999999999959</v>
      </c>
      <c r="N463" s="18">
        <f>Table1[[#This Row],[Defective_Units]]/Table1[[#This Row],[Quantity]]</f>
        <v>1.0256410256410256E-2</v>
      </c>
      <c r="O463" s="26">
        <f>(Table1[[#This Row],[Unit_Cost]]-Table1[[#This Row],[Negotiated_Cost]])/Table1[[#This Row],[Unit_Cost]]</f>
        <v>1.9215690863769831E-2</v>
      </c>
    </row>
    <row r="464" spans="1:15" x14ac:dyDescent="0.25">
      <c r="A464" t="s">
        <v>499</v>
      </c>
      <c r="B464" t="s">
        <v>32</v>
      </c>
      <c r="C464" s="14" t="s">
        <v>42</v>
      </c>
      <c r="D464" s="1">
        <v>45147</v>
      </c>
      <c r="E464" s="13">
        <v>45152</v>
      </c>
      <c r="F464" s="14" t="s">
        <v>14</v>
      </c>
      <c r="G464">
        <v>360</v>
      </c>
      <c r="H464">
        <v>11551.49</v>
      </c>
      <c r="I464">
        <v>11479.19</v>
      </c>
      <c r="J464">
        <v>1</v>
      </c>
      <c r="K464" s="14" t="s">
        <v>15</v>
      </c>
      <c r="L464" s="14">
        <f>IF(OR(Table1[[#This Row],[Order_Status]]="Delivered",Table1[[#This Row],[Delivery_Date]]&lt;&gt;"Not Yet Delivered"),Table1[[#This Row],[Delivery_Date]]-Table1[[#This Row],[Order_Date]],"Not Applicable")</f>
        <v>5</v>
      </c>
      <c r="M464" s="14">
        <f>Table1[[#This Row],[Unit_Cost]]-Table1[[#This Row],[Negotiated_Cost]]</f>
        <v>72.299999999999272</v>
      </c>
      <c r="N464" s="18">
        <f>Table1[[#This Row],[Defective_Units]]/Table1[[#This Row],[Quantity]]</f>
        <v>2.7777777777777779E-3</v>
      </c>
      <c r="O464" s="26">
        <f>(Table1[[#This Row],[Unit_Cost]]-Table1[[#This Row],[Negotiated_Cost]])/Table1[[#This Row],[Unit_Cost]]</f>
        <v>6.2589328303101393E-3</v>
      </c>
    </row>
    <row r="465" spans="1:15" x14ac:dyDescent="0.25">
      <c r="A465" t="s">
        <v>500</v>
      </c>
      <c r="B465" t="s">
        <v>12</v>
      </c>
      <c r="C465" s="14" t="s">
        <v>48</v>
      </c>
      <c r="D465" s="1">
        <v>44935</v>
      </c>
      <c r="E465" s="13">
        <v>44956</v>
      </c>
      <c r="F465" s="14" t="s">
        <v>14</v>
      </c>
      <c r="G465">
        <v>292</v>
      </c>
      <c r="H465">
        <v>7090.64</v>
      </c>
      <c r="I465">
        <v>6834.1</v>
      </c>
      <c r="J465">
        <v>1</v>
      </c>
      <c r="K465" s="14" t="s">
        <v>15</v>
      </c>
      <c r="L465" s="14">
        <f>IF(OR(Table1[[#This Row],[Order_Status]]="Delivered",Table1[[#This Row],[Delivery_Date]]&lt;&gt;"Not Yet Delivered"),Table1[[#This Row],[Delivery_Date]]-Table1[[#This Row],[Order_Date]],"Not Applicable")</f>
        <v>21</v>
      </c>
      <c r="M465" s="14">
        <f>Table1[[#This Row],[Unit_Cost]]-Table1[[#This Row],[Negotiated_Cost]]</f>
        <v>256.53999999999996</v>
      </c>
      <c r="N465" s="18">
        <f>Table1[[#This Row],[Defective_Units]]/Table1[[#This Row],[Quantity]]</f>
        <v>3.4246575342465752E-3</v>
      </c>
      <c r="O465" s="26">
        <f>(Table1[[#This Row],[Unit_Cost]]-Table1[[#This Row],[Negotiated_Cost]])/Table1[[#This Row],[Unit_Cost]]</f>
        <v>3.6180090936784259E-2</v>
      </c>
    </row>
    <row r="466" spans="1:15" x14ac:dyDescent="0.25">
      <c r="A466" t="s">
        <v>501</v>
      </c>
      <c r="B466" t="s">
        <v>27</v>
      </c>
      <c r="C466" s="14" t="s">
        <v>21</v>
      </c>
      <c r="D466" s="1">
        <v>45515</v>
      </c>
      <c r="E466" s="14" t="s">
        <v>2057</v>
      </c>
      <c r="F466" s="14" t="s">
        <v>22</v>
      </c>
      <c r="G466">
        <v>302</v>
      </c>
      <c r="H466">
        <v>121.59</v>
      </c>
      <c r="I466">
        <v>117.98</v>
      </c>
      <c r="J466">
        <v>2</v>
      </c>
      <c r="K466" s="14" t="s">
        <v>15</v>
      </c>
      <c r="L466" s="14" t="str">
        <f>IF(OR(Table1[[#This Row],[Order_Status]]="Delivered",Table1[[#This Row],[Delivery_Date]]&lt;&gt;"Not Yet Delivered"),Table1[[#This Row],[Delivery_Date]]-Table1[[#This Row],[Order_Date]],"Not Applicable")</f>
        <v>Not Applicable</v>
      </c>
      <c r="M466" s="14">
        <f>Table1[[#This Row],[Unit_Cost]]-Table1[[#This Row],[Negotiated_Cost]]</f>
        <v>3.6099999999999994</v>
      </c>
      <c r="N466" s="18">
        <f>Table1[[#This Row],[Defective_Units]]/Table1[[#This Row],[Quantity]]</f>
        <v>6.6225165562913907E-3</v>
      </c>
      <c r="O466" s="26">
        <f>(Table1[[#This Row],[Unit_Cost]]-Table1[[#This Row],[Negotiated_Cost]])/Table1[[#This Row],[Unit_Cost]]</f>
        <v>2.9689941607040048E-2</v>
      </c>
    </row>
    <row r="467" spans="1:15" x14ac:dyDescent="0.25">
      <c r="A467" t="s">
        <v>502</v>
      </c>
      <c r="B467" t="s">
        <v>20</v>
      </c>
      <c r="C467" s="14" t="s">
        <v>24</v>
      </c>
      <c r="D467" s="1">
        <v>45115</v>
      </c>
      <c r="E467" s="13">
        <v>45118</v>
      </c>
      <c r="F467" s="14" t="s">
        <v>14</v>
      </c>
      <c r="G467">
        <v>419</v>
      </c>
      <c r="H467">
        <v>11696.79</v>
      </c>
      <c r="I467">
        <v>11323.2</v>
      </c>
      <c r="J467">
        <v>4</v>
      </c>
      <c r="K467" s="14" t="s">
        <v>15</v>
      </c>
      <c r="L467" s="14">
        <f>IF(OR(Table1[[#This Row],[Order_Status]]="Delivered",Table1[[#This Row],[Delivery_Date]]&lt;&gt;"Not Yet Delivered"),Table1[[#This Row],[Delivery_Date]]-Table1[[#This Row],[Order_Date]],"Not Applicable")</f>
        <v>3</v>
      </c>
      <c r="M467" s="14">
        <f>Table1[[#This Row],[Unit_Cost]]-Table1[[#This Row],[Negotiated_Cost]]</f>
        <v>373.59000000000015</v>
      </c>
      <c r="N467" s="18">
        <f>Table1[[#This Row],[Defective_Units]]/Table1[[#This Row],[Quantity]]</f>
        <v>9.5465393794749408E-3</v>
      </c>
      <c r="O467" s="26">
        <f>(Table1[[#This Row],[Unit_Cost]]-Table1[[#This Row],[Negotiated_Cost]])/Table1[[#This Row],[Unit_Cost]]</f>
        <v>3.19395321280454E-2</v>
      </c>
    </row>
    <row r="468" spans="1:15" x14ac:dyDescent="0.25">
      <c r="A468" t="s">
        <v>503</v>
      </c>
      <c r="B468" t="s">
        <v>46</v>
      </c>
      <c r="C468" s="14" t="s">
        <v>13</v>
      </c>
      <c r="D468" s="1">
        <v>45033</v>
      </c>
      <c r="E468" s="13">
        <v>45038</v>
      </c>
      <c r="F468" s="14" t="s">
        <v>14</v>
      </c>
      <c r="G468">
        <v>92</v>
      </c>
      <c r="H468">
        <v>4319.3</v>
      </c>
      <c r="I468">
        <v>4204.28</v>
      </c>
      <c r="J468">
        <v>0</v>
      </c>
      <c r="K468" s="14" t="s">
        <v>15</v>
      </c>
      <c r="L468" s="14">
        <f>IF(OR(Table1[[#This Row],[Order_Status]]="Delivered",Table1[[#This Row],[Delivery_Date]]&lt;&gt;"Not Yet Delivered"),Table1[[#This Row],[Delivery_Date]]-Table1[[#This Row],[Order_Date]],"Not Applicable")</f>
        <v>5</v>
      </c>
      <c r="M468" s="14">
        <f>Table1[[#This Row],[Unit_Cost]]-Table1[[#This Row],[Negotiated_Cost]]</f>
        <v>115.02000000000044</v>
      </c>
      <c r="N468" s="18">
        <f>Table1[[#This Row],[Defective_Units]]/Table1[[#This Row],[Quantity]]</f>
        <v>0</v>
      </c>
      <c r="O468" s="26">
        <f>(Table1[[#This Row],[Unit_Cost]]-Table1[[#This Row],[Negotiated_Cost]])/Table1[[#This Row],[Unit_Cost]]</f>
        <v>2.6629314935290541E-2</v>
      </c>
    </row>
    <row r="469" spans="1:15" x14ac:dyDescent="0.25">
      <c r="A469" t="s">
        <v>504</v>
      </c>
      <c r="B469" t="s">
        <v>12</v>
      </c>
      <c r="C469" s="14" t="s">
        <v>42</v>
      </c>
      <c r="D469" s="1">
        <v>45247</v>
      </c>
      <c r="E469" s="13">
        <v>45250</v>
      </c>
      <c r="F469" s="14" t="s">
        <v>14</v>
      </c>
      <c r="G469">
        <v>51</v>
      </c>
      <c r="H469">
        <v>12162</v>
      </c>
      <c r="I469">
        <v>11990.78</v>
      </c>
      <c r="J469">
        <v>0</v>
      </c>
      <c r="K469" s="14" t="s">
        <v>15</v>
      </c>
      <c r="L469" s="14">
        <f>IF(OR(Table1[[#This Row],[Order_Status]]="Delivered",Table1[[#This Row],[Delivery_Date]]&lt;&gt;"Not Yet Delivered"),Table1[[#This Row],[Delivery_Date]]-Table1[[#This Row],[Order_Date]],"Not Applicable")</f>
        <v>3</v>
      </c>
      <c r="M469" s="14">
        <f>Table1[[#This Row],[Unit_Cost]]-Table1[[#This Row],[Negotiated_Cost]]</f>
        <v>171.21999999999935</v>
      </c>
      <c r="N469" s="18">
        <f>Table1[[#This Row],[Defective_Units]]/Table1[[#This Row],[Quantity]]</f>
        <v>0</v>
      </c>
      <c r="O469" s="26">
        <f>(Table1[[#This Row],[Unit_Cost]]-Table1[[#This Row],[Negotiated_Cost]])/Table1[[#This Row],[Unit_Cost]]</f>
        <v>1.4078276599243492E-2</v>
      </c>
    </row>
    <row r="470" spans="1:15" x14ac:dyDescent="0.25">
      <c r="A470" t="s">
        <v>505</v>
      </c>
      <c r="B470" t="s">
        <v>17</v>
      </c>
      <c r="C470" s="14" t="s">
        <v>28</v>
      </c>
      <c r="D470" s="1">
        <v>45257</v>
      </c>
      <c r="E470" s="13">
        <v>45285</v>
      </c>
      <c r="F470" s="14" t="s">
        <v>14</v>
      </c>
      <c r="G470">
        <v>497</v>
      </c>
      <c r="H470">
        <v>43144.18</v>
      </c>
      <c r="I470">
        <v>40948.42</v>
      </c>
      <c r="J470">
        <v>7</v>
      </c>
      <c r="K470" s="14" t="s">
        <v>15</v>
      </c>
      <c r="L470" s="14">
        <f>IF(OR(Table1[[#This Row],[Order_Status]]="Delivered",Table1[[#This Row],[Delivery_Date]]&lt;&gt;"Not Yet Delivered"),Table1[[#This Row],[Delivery_Date]]-Table1[[#This Row],[Order_Date]],"Not Applicable")</f>
        <v>28</v>
      </c>
      <c r="M470" s="14">
        <f>Table1[[#This Row],[Unit_Cost]]-Table1[[#This Row],[Negotiated_Cost]]</f>
        <v>2195.760000000002</v>
      </c>
      <c r="N470" s="18">
        <f>Table1[[#This Row],[Defective_Units]]/Table1[[#This Row],[Quantity]]</f>
        <v>1.4084507042253521E-2</v>
      </c>
      <c r="O470" s="26">
        <f>(Table1[[#This Row],[Unit_Cost]]-Table1[[#This Row],[Negotiated_Cost]])/Table1[[#This Row],[Unit_Cost]]</f>
        <v>5.0893538827253226E-2</v>
      </c>
    </row>
    <row r="471" spans="1:15" x14ac:dyDescent="0.25">
      <c r="A471" t="s">
        <v>506</v>
      </c>
      <c r="B471" t="s">
        <v>32</v>
      </c>
      <c r="C471" s="14" t="s">
        <v>30</v>
      </c>
      <c r="D471" s="1">
        <v>45022</v>
      </c>
      <c r="E471" s="13">
        <v>45024</v>
      </c>
      <c r="F471" s="14" t="s">
        <v>14</v>
      </c>
      <c r="G471">
        <v>385</v>
      </c>
      <c r="H471">
        <v>824.43</v>
      </c>
      <c r="I471">
        <v>821.61</v>
      </c>
      <c r="J471">
        <v>4</v>
      </c>
      <c r="K471" s="14" t="s">
        <v>15</v>
      </c>
      <c r="L471" s="14">
        <f>IF(OR(Table1[[#This Row],[Order_Status]]="Delivered",Table1[[#This Row],[Delivery_Date]]&lt;&gt;"Not Yet Delivered"),Table1[[#This Row],[Delivery_Date]]-Table1[[#This Row],[Order_Date]],"Not Applicable")</f>
        <v>2</v>
      </c>
      <c r="M471" s="14">
        <f>Table1[[#This Row],[Unit_Cost]]-Table1[[#This Row],[Negotiated_Cost]]</f>
        <v>2.8199999999999363</v>
      </c>
      <c r="N471" s="18">
        <f>Table1[[#This Row],[Defective_Units]]/Table1[[#This Row],[Quantity]]</f>
        <v>1.038961038961039E-2</v>
      </c>
      <c r="O471" s="26">
        <f>(Table1[[#This Row],[Unit_Cost]]-Table1[[#This Row],[Negotiated_Cost]])/Table1[[#This Row],[Unit_Cost]]</f>
        <v>3.4205451038898833E-3</v>
      </c>
    </row>
    <row r="472" spans="1:15" x14ac:dyDescent="0.25">
      <c r="A472" t="s">
        <v>507</v>
      </c>
      <c r="B472" t="s">
        <v>20</v>
      </c>
      <c r="C472" s="14" t="s">
        <v>55</v>
      </c>
      <c r="D472" s="1">
        <v>45394</v>
      </c>
      <c r="E472" s="13">
        <v>45397</v>
      </c>
      <c r="F472" s="14" t="s">
        <v>14</v>
      </c>
      <c r="G472">
        <v>246</v>
      </c>
      <c r="H472">
        <v>13159.96</v>
      </c>
      <c r="I472">
        <v>12950.05</v>
      </c>
      <c r="J472">
        <v>2</v>
      </c>
      <c r="K472" s="14" t="s">
        <v>15</v>
      </c>
      <c r="L472" s="14">
        <f>IF(OR(Table1[[#This Row],[Order_Status]]="Delivered",Table1[[#This Row],[Delivery_Date]]&lt;&gt;"Not Yet Delivered"),Table1[[#This Row],[Delivery_Date]]-Table1[[#This Row],[Order_Date]],"Not Applicable")</f>
        <v>3</v>
      </c>
      <c r="M472" s="14">
        <f>Table1[[#This Row],[Unit_Cost]]-Table1[[#This Row],[Negotiated_Cost]]</f>
        <v>209.90999999999985</v>
      </c>
      <c r="N472" s="18">
        <f>Table1[[#This Row],[Defective_Units]]/Table1[[#This Row],[Quantity]]</f>
        <v>8.130081300813009E-3</v>
      </c>
      <c r="O472" s="26">
        <f>(Table1[[#This Row],[Unit_Cost]]-Table1[[#This Row],[Negotiated_Cost]])/Table1[[#This Row],[Unit_Cost]]</f>
        <v>1.5950656384973803E-2</v>
      </c>
    </row>
    <row r="473" spans="1:15" x14ac:dyDescent="0.25">
      <c r="A473" t="s">
        <v>508</v>
      </c>
      <c r="B473" t="s">
        <v>20</v>
      </c>
      <c r="C473" s="14" t="s">
        <v>44</v>
      </c>
      <c r="D473" s="1">
        <v>45448</v>
      </c>
      <c r="E473" s="13">
        <v>45456</v>
      </c>
      <c r="F473" s="14" t="s">
        <v>14</v>
      </c>
      <c r="G473">
        <v>356</v>
      </c>
      <c r="H473">
        <v>8460.3799999999992</v>
      </c>
      <c r="I473">
        <v>8380.18</v>
      </c>
      <c r="J473">
        <v>3</v>
      </c>
      <c r="K473" s="14" t="s">
        <v>15</v>
      </c>
      <c r="L473" s="14">
        <f>IF(OR(Table1[[#This Row],[Order_Status]]="Delivered",Table1[[#This Row],[Delivery_Date]]&lt;&gt;"Not Yet Delivered"),Table1[[#This Row],[Delivery_Date]]-Table1[[#This Row],[Order_Date]],"Not Applicable")</f>
        <v>8</v>
      </c>
      <c r="M473" s="14">
        <f>Table1[[#This Row],[Unit_Cost]]-Table1[[#This Row],[Negotiated_Cost]]</f>
        <v>80.199999999998909</v>
      </c>
      <c r="N473" s="18">
        <f>Table1[[#This Row],[Defective_Units]]/Table1[[#This Row],[Quantity]]</f>
        <v>8.4269662921348312E-3</v>
      </c>
      <c r="O473" s="26">
        <f>(Table1[[#This Row],[Unit_Cost]]-Table1[[#This Row],[Negotiated_Cost]])/Table1[[#This Row],[Unit_Cost]]</f>
        <v>9.4794796451221942E-3</v>
      </c>
    </row>
    <row r="474" spans="1:15" x14ac:dyDescent="0.25">
      <c r="A474" t="s">
        <v>509</v>
      </c>
      <c r="B474" t="s">
        <v>27</v>
      </c>
      <c r="C474" s="14" t="s">
        <v>42</v>
      </c>
      <c r="D474" s="1">
        <v>45597</v>
      </c>
      <c r="E474" s="13">
        <v>45610</v>
      </c>
      <c r="F474" s="14" t="s">
        <v>14</v>
      </c>
      <c r="G474">
        <v>61</v>
      </c>
      <c r="H474">
        <v>12923.44</v>
      </c>
      <c r="I474">
        <v>12187.13</v>
      </c>
      <c r="J474">
        <v>0</v>
      </c>
      <c r="K474" s="14" t="s">
        <v>15</v>
      </c>
      <c r="L474" s="14">
        <f>IF(OR(Table1[[#This Row],[Order_Status]]="Delivered",Table1[[#This Row],[Delivery_Date]]&lt;&gt;"Not Yet Delivered"),Table1[[#This Row],[Delivery_Date]]-Table1[[#This Row],[Order_Date]],"Not Applicable")</f>
        <v>13</v>
      </c>
      <c r="M474" s="14">
        <f>Table1[[#This Row],[Unit_Cost]]-Table1[[#This Row],[Negotiated_Cost]]</f>
        <v>736.31000000000131</v>
      </c>
      <c r="N474" s="18">
        <f>Table1[[#This Row],[Defective_Units]]/Table1[[#This Row],[Quantity]]</f>
        <v>0</v>
      </c>
      <c r="O474" s="26">
        <f>(Table1[[#This Row],[Unit_Cost]]-Table1[[#This Row],[Negotiated_Cost]])/Table1[[#This Row],[Unit_Cost]]</f>
        <v>5.6974768327937554E-2</v>
      </c>
    </row>
    <row r="475" spans="1:15" x14ac:dyDescent="0.25">
      <c r="A475" t="s">
        <v>510</v>
      </c>
      <c r="B475" t="s">
        <v>27</v>
      </c>
      <c r="C475" s="14" t="s">
        <v>36</v>
      </c>
      <c r="D475" s="1">
        <v>45654</v>
      </c>
      <c r="E475" s="13">
        <v>45677</v>
      </c>
      <c r="F475" s="14" t="s">
        <v>14</v>
      </c>
      <c r="G475">
        <v>402</v>
      </c>
      <c r="H475">
        <v>581.21</v>
      </c>
      <c r="I475">
        <v>576.42999999999995</v>
      </c>
      <c r="J475">
        <v>4</v>
      </c>
      <c r="K475" s="14" t="s">
        <v>15</v>
      </c>
      <c r="L475" s="14">
        <f>IF(OR(Table1[[#This Row],[Order_Status]]="Delivered",Table1[[#This Row],[Delivery_Date]]&lt;&gt;"Not Yet Delivered"),Table1[[#This Row],[Delivery_Date]]-Table1[[#This Row],[Order_Date]],"Not Applicable")</f>
        <v>23</v>
      </c>
      <c r="M475" s="14">
        <f>Table1[[#This Row],[Unit_Cost]]-Table1[[#This Row],[Negotiated_Cost]]</f>
        <v>4.7800000000000864</v>
      </c>
      <c r="N475" s="18">
        <f>Table1[[#This Row],[Defective_Units]]/Table1[[#This Row],[Quantity]]</f>
        <v>9.9502487562189053E-3</v>
      </c>
      <c r="O475" s="26">
        <f>(Table1[[#This Row],[Unit_Cost]]-Table1[[#This Row],[Negotiated_Cost]])/Table1[[#This Row],[Unit_Cost]]</f>
        <v>8.2242218819361095E-3</v>
      </c>
    </row>
    <row r="476" spans="1:15" x14ac:dyDescent="0.25">
      <c r="A476" t="s">
        <v>511</v>
      </c>
      <c r="B476" t="s">
        <v>35</v>
      </c>
      <c r="C476" s="14" t="s">
        <v>30</v>
      </c>
      <c r="D476" s="1">
        <v>45655</v>
      </c>
      <c r="E476" s="13">
        <v>45674</v>
      </c>
      <c r="F476" s="14" t="s">
        <v>14</v>
      </c>
      <c r="G476">
        <v>100</v>
      </c>
      <c r="H476">
        <v>919.05</v>
      </c>
      <c r="I476">
        <v>901.38</v>
      </c>
      <c r="J476">
        <v>1</v>
      </c>
      <c r="K476" s="14" t="s">
        <v>15</v>
      </c>
      <c r="L476" s="14">
        <f>IF(OR(Table1[[#This Row],[Order_Status]]="Delivered",Table1[[#This Row],[Delivery_Date]]&lt;&gt;"Not Yet Delivered"),Table1[[#This Row],[Delivery_Date]]-Table1[[#This Row],[Order_Date]],"Not Applicable")</f>
        <v>19</v>
      </c>
      <c r="M476" s="14">
        <f>Table1[[#This Row],[Unit_Cost]]-Table1[[#This Row],[Negotiated_Cost]]</f>
        <v>17.669999999999959</v>
      </c>
      <c r="N476" s="18">
        <f>Table1[[#This Row],[Defective_Units]]/Table1[[#This Row],[Quantity]]</f>
        <v>0.01</v>
      </c>
      <c r="O476" s="26">
        <f>(Table1[[#This Row],[Unit_Cost]]-Table1[[#This Row],[Negotiated_Cost]])/Table1[[#This Row],[Unit_Cost]]</f>
        <v>1.9226375061204462E-2</v>
      </c>
    </row>
    <row r="477" spans="1:15" x14ac:dyDescent="0.25">
      <c r="A477" t="s">
        <v>512</v>
      </c>
      <c r="B477" t="s">
        <v>12</v>
      </c>
      <c r="C477" s="14" t="s">
        <v>36</v>
      </c>
      <c r="D477" s="1">
        <v>45587</v>
      </c>
      <c r="E477" s="13">
        <v>45602</v>
      </c>
      <c r="F477" s="14" t="s">
        <v>37</v>
      </c>
      <c r="G477">
        <v>108</v>
      </c>
      <c r="H477">
        <v>551.70000000000005</v>
      </c>
      <c r="I477">
        <v>533.24</v>
      </c>
      <c r="J477">
        <v>1</v>
      </c>
      <c r="K477" s="14" t="s">
        <v>15</v>
      </c>
      <c r="L477" s="14">
        <f>IF(OR(Table1[[#This Row],[Order_Status]]="Delivered",Table1[[#This Row],[Delivery_Date]]&lt;&gt;"Not Yet Delivered"),Table1[[#This Row],[Delivery_Date]]-Table1[[#This Row],[Order_Date]],"Not Applicable")</f>
        <v>15</v>
      </c>
      <c r="M477" s="14">
        <f>Table1[[#This Row],[Unit_Cost]]-Table1[[#This Row],[Negotiated_Cost]]</f>
        <v>18.460000000000036</v>
      </c>
      <c r="N477" s="18">
        <f>Table1[[#This Row],[Defective_Units]]/Table1[[#This Row],[Quantity]]</f>
        <v>9.2592592592592587E-3</v>
      </c>
      <c r="O477" s="26">
        <f>(Table1[[#This Row],[Unit_Cost]]-Table1[[#This Row],[Negotiated_Cost]])/Table1[[#This Row],[Unit_Cost]]</f>
        <v>3.3460213884357506E-2</v>
      </c>
    </row>
    <row r="478" spans="1:15" x14ac:dyDescent="0.25">
      <c r="A478" t="s">
        <v>513</v>
      </c>
      <c r="B478" t="s">
        <v>32</v>
      </c>
      <c r="C478" s="14" t="s">
        <v>13</v>
      </c>
      <c r="D478" s="1">
        <v>45453</v>
      </c>
      <c r="E478" s="13">
        <v>45466</v>
      </c>
      <c r="F478" s="14" t="s">
        <v>14</v>
      </c>
      <c r="G478">
        <v>48</v>
      </c>
      <c r="H478">
        <v>4060.72</v>
      </c>
      <c r="I478">
        <v>3929.32</v>
      </c>
      <c r="J478">
        <v>0</v>
      </c>
      <c r="K478" s="14" t="s">
        <v>15</v>
      </c>
      <c r="L478" s="14">
        <f>IF(OR(Table1[[#This Row],[Order_Status]]="Delivered",Table1[[#This Row],[Delivery_Date]]&lt;&gt;"Not Yet Delivered"),Table1[[#This Row],[Delivery_Date]]-Table1[[#This Row],[Order_Date]],"Not Applicable")</f>
        <v>13</v>
      </c>
      <c r="M478" s="14">
        <f>Table1[[#This Row],[Unit_Cost]]-Table1[[#This Row],[Negotiated_Cost]]</f>
        <v>131.39999999999964</v>
      </c>
      <c r="N478" s="18">
        <f>Table1[[#This Row],[Defective_Units]]/Table1[[#This Row],[Quantity]]</f>
        <v>0</v>
      </c>
      <c r="O478" s="26">
        <f>(Table1[[#This Row],[Unit_Cost]]-Table1[[#This Row],[Negotiated_Cost]])/Table1[[#This Row],[Unit_Cost]]</f>
        <v>3.2358793514450548E-2</v>
      </c>
    </row>
    <row r="479" spans="1:15" x14ac:dyDescent="0.25">
      <c r="A479" t="s">
        <v>514</v>
      </c>
      <c r="B479" t="s">
        <v>32</v>
      </c>
      <c r="C479" s="14" t="s">
        <v>42</v>
      </c>
      <c r="D479" s="1">
        <v>44969</v>
      </c>
      <c r="E479" s="13">
        <v>44998</v>
      </c>
      <c r="F479" s="14" t="s">
        <v>14</v>
      </c>
      <c r="G479">
        <v>357</v>
      </c>
      <c r="H479">
        <v>10395.66</v>
      </c>
      <c r="I479">
        <v>9973.2199999999993</v>
      </c>
      <c r="J479">
        <v>0</v>
      </c>
      <c r="K479" s="14" t="s">
        <v>15</v>
      </c>
      <c r="L479" s="14">
        <f>IF(OR(Table1[[#This Row],[Order_Status]]="Delivered",Table1[[#This Row],[Delivery_Date]]&lt;&gt;"Not Yet Delivered"),Table1[[#This Row],[Delivery_Date]]-Table1[[#This Row],[Order_Date]],"Not Applicable")</f>
        <v>29</v>
      </c>
      <c r="M479" s="14">
        <f>Table1[[#This Row],[Unit_Cost]]-Table1[[#This Row],[Negotiated_Cost]]</f>
        <v>422.44000000000051</v>
      </c>
      <c r="N479" s="18">
        <f>Table1[[#This Row],[Defective_Units]]/Table1[[#This Row],[Quantity]]</f>
        <v>0</v>
      </c>
      <c r="O479" s="26">
        <f>(Table1[[#This Row],[Unit_Cost]]-Table1[[#This Row],[Negotiated_Cost]])/Table1[[#This Row],[Unit_Cost]]</f>
        <v>4.0636188563304351E-2</v>
      </c>
    </row>
    <row r="480" spans="1:15" x14ac:dyDescent="0.25">
      <c r="A480" t="s">
        <v>515</v>
      </c>
      <c r="B480" t="s">
        <v>12</v>
      </c>
      <c r="C480" s="14" t="s">
        <v>42</v>
      </c>
      <c r="D480" s="1">
        <v>45217</v>
      </c>
      <c r="E480" s="13">
        <v>45243</v>
      </c>
      <c r="F480" s="14" t="s">
        <v>14</v>
      </c>
      <c r="G480">
        <v>137</v>
      </c>
      <c r="H480">
        <v>12621.87</v>
      </c>
      <c r="I480">
        <v>11928.97</v>
      </c>
      <c r="J480">
        <v>6</v>
      </c>
      <c r="K480" s="14" t="s">
        <v>15</v>
      </c>
      <c r="L480" s="14">
        <f>IF(OR(Table1[[#This Row],[Order_Status]]="Delivered",Table1[[#This Row],[Delivery_Date]]&lt;&gt;"Not Yet Delivered"),Table1[[#This Row],[Delivery_Date]]-Table1[[#This Row],[Order_Date]],"Not Applicable")</f>
        <v>26</v>
      </c>
      <c r="M480" s="14">
        <f>Table1[[#This Row],[Unit_Cost]]-Table1[[#This Row],[Negotiated_Cost]]</f>
        <v>692.90000000000146</v>
      </c>
      <c r="N480" s="18">
        <f>Table1[[#This Row],[Defective_Units]]/Table1[[#This Row],[Quantity]]</f>
        <v>4.3795620437956206E-2</v>
      </c>
      <c r="O480" s="26">
        <f>(Table1[[#This Row],[Unit_Cost]]-Table1[[#This Row],[Negotiated_Cost]])/Table1[[#This Row],[Unit_Cost]]</f>
        <v>5.4896778369607782E-2</v>
      </c>
    </row>
    <row r="481" spans="1:15" x14ac:dyDescent="0.25">
      <c r="A481" t="s">
        <v>516</v>
      </c>
      <c r="B481" t="s">
        <v>40</v>
      </c>
      <c r="C481" s="14" t="s">
        <v>18</v>
      </c>
      <c r="D481" s="1">
        <v>45567</v>
      </c>
      <c r="E481" s="14" t="s">
        <v>2057</v>
      </c>
      <c r="F481" s="14" t="s">
        <v>22</v>
      </c>
      <c r="G481">
        <v>216</v>
      </c>
      <c r="H481">
        <v>5372.05</v>
      </c>
      <c r="I481">
        <v>5075.8500000000004</v>
      </c>
      <c r="J481">
        <v>2</v>
      </c>
      <c r="K481" s="14" t="s">
        <v>15</v>
      </c>
      <c r="L481" s="14" t="str">
        <f>IF(OR(Table1[[#This Row],[Order_Status]]="Delivered",Table1[[#This Row],[Delivery_Date]]&lt;&gt;"Not Yet Delivered"),Table1[[#This Row],[Delivery_Date]]-Table1[[#This Row],[Order_Date]],"Not Applicable")</f>
        <v>Not Applicable</v>
      </c>
      <c r="M481" s="14">
        <f>Table1[[#This Row],[Unit_Cost]]-Table1[[#This Row],[Negotiated_Cost]]</f>
        <v>296.19999999999982</v>
      </c>
      <c r="N481" s="18">
        <f>Table1[[#This Row],[Defective_Units]]/Table1[[#This Row],[Quantity]]</f>
        <v>9.2592592592592587E-3</v>
      </c>
      <c r="O481" s="26">
        <f>(Table1[[#This Row],[Unit_Cost]]-Table1[[#This Row],[Negotiated_Cost]])/Table1[[#This Row],[Unit_Cost]]</f>
        <v>5.5137238112080079E-2</v>
      </c>
    </row>
    <row r="482" spans="1:15" x14ac:dyDescent="0.25">
      <c r="A482" t="s">
        <v>517</v>
      </c>
      <c r="B482" t="s">
        <v>27</v>
      </c>
      <c r="C482" s="14" t="s">
        <v>55</v>
      </c>
      <c r="D482" s="1">
        <v>45454</v>
      </c>
      <c r="E482" s="13">
        <v>45481</v>
      </c>
      <c r="F482" s="14" t="s">
        <v>14</v>
      </c>
      <c r="G482">
        <v>103</v>
      </c>
      <c r="H482">
        <v>15484.51</v>
      </c>
      <c r="I482">
        <v>14986.36</v>
      </c>
      <c r="J482">
        <v>1</v>
      </c>
      <c r="K482" s="14" t="s">
        <v>15</v>
      </c>
      <c r="L482" s="14">
        <f>IF(OR(Table1[[#This Row],[Order_Status]]="Delivered",Table1[[#This Row],[Delivery_Date]]&lt;&gt;"Not Yet Delivered"),Table1[[#This Row],[Delivery_Date]]-Table1[[#This Row],[Order_Date]],"Not Applicable")</f>
        <v>27</v>
      </c>
      <c r="M482" s="14">
        <f>Table1[[#This Row],[Unit_Cost]]-Table1[[#This Row],[Negotiated_Cost]]</f>
        <v>498.14999999999964</v>
      </c>
      <c r="N482" s="18">
        <f>Table1[[#This Row],[Defective_Units]]/Table1[[#This Row],[Quantity]]</f>
        <v>9.7087378640776691E-3</v>
      </c>
      <c r="O482" s="26">
        <f>(Table1[[#This Row],[Unit_Cost]]-Table1[[#This Row],[Negotiated_Cost]])/Table1[[#This Row],[Unit_Cost]]</f>
        <v>3.2170859781807733E-2</v>
      </c>
    </row>
    <row r="483" spans="1:15" x14ac:dyDescent="0.25">
      <c r="A483" t="s">
        <v>518</v>
      </c>
      <c r="B483" t="s">
        <v>46</v>
      </c>
      <c r="C483" s="14" t="s">
        <v>18</v>
      </c>
      <c r="D483" s="1">
        <v>45038</v>
      </c>
      <c r="E483" s="13">
        <v>45044</v>
      </c>
      <c r="F483" s="14" t="s">
        <v>14</v>
      </c>
      <c r="G483">
        <v>439</v>
      </c>
      <c r="H483">
        <v>5064.3999999999996</v>
      </c>
      <c r="I483">
        <v>4984.9399999999996</v>
      </c>
      <c r="J483">
        <v>7</v>
      </c>
      <c r="K483" s="14" t="s">
        <v>15</v>
      </c>
      <c r="L483" s="14">
        <f>IF(OR(Table1[[#This Row],[Order_Status]]="Delivered",Table1[[#This Row],[Delivery_Date]]&lt;&gt;"Not Yet Delivered"),Table1[[#This Row],[Delivery_Date]]-Table1[[#This Row],[Order_Date]],"Not Applicable")</f>
        <v>6</v>
      </c>
      <c r="M483" s="14">
        <f>Table1[[#This Row],[Unit_Cost]]-Table1[[#This Row],[Negotiated_Cost]]</f>
        <v>79.460000000000036</v>
      </c>
      <c r="N483" s="18">
        <f>Table1[[#This Row],[Defective_Units]]/Table1[[#This Row],[Quantity]]</f>
        <v>1.5945330296127564E-2</v>
      </c>
      <c r="O483" s="26">
        <f>(Table1[[#This Row],[Unit_Cost]]-Table1[[#This Row],[Negotiated_Cost]])/Table1[[#This Row],[Unit_Cost]]</f>
        <v>1.5689913908853971E-2</v>
      </c>
    </row>
    <row r="484" spans="1:15" x14ac:dyDescent="0.25">
      <c r="A484" t="s">
        <v>519</v>
      </c>
      <c r="B484" t="s">
        <v>17</v>
      </c>
      <c r="C484" s="14" t="s">
        <v>30</v>
      </c>
      <c r="D484" s="1">
        <v>45028</v>
      </c>
      <c r="E484" s="13">
        <v>45057</v>
      </c>
      <c r="F484" s="14" t="s">
        <v>37</v>
      </c>
      <c r="G484">
        <v>479</v>
      </c>
      <c r="H484">
        <v>858.1</v>
      </c>
      <c r="I484">
        <v>816.22</v>
      </c>
      <c r="J484">
        <v>3</v>
      </c>
      <c r="K484" s="14" t="s">
        <v>15</v>
      </c>
      <c r="L484" s="14">
        <f>IF(OR(Table1[[#This Row],[Order_Status]]="Delivered",Table1[[#This Row],[Delivery_Date]]&lt;&gt;"Not Yet Delivered"),Table1[[#This Row],[Delivery_Date]]-Table1[[#This Row],[Order_Date]],"Not Applicable")</f>
        <v>29</v>
      </c>
      <c r="M484" s="14">
        <f>Table1[[#This Row],[Unit_Cost]]-Table1[[#This Row],[Negotiated_Cost]]</f>
        <v>41.879999999999995</v>
      </c>
      <c r="N484" s="18">
        <f>Table1[[#This Row],[Defective_Units]]/Table1[[#This Row],[Quantity]]</f>
        <v>6.2630480167014616E-3</v>
      </c>
      <c r="O484" s="26">
        <f>(Table1[[#This Row],[Unit_Cost]]-Table1[[#This Row],[Negotiated_Cost]])/Table1[[#This Row],[Unit_Cost]]</f>
        <v>4.8805500524414396E-2</v>
      </c>
    </row>
    <row r="485" spans="1:15" x14ac:dyDescent="0.25">
      <c r="A485" t="s">
        <v>520</v>
      </c>
      <c r="B485" t="s">
        <v>17</v>
      </c>
      <c r="C485" s="14" t="s">
        <v>42</v>
      </c>
      <c r="D485" s="1">
        <v>45126</v>
      </c>
      <c r="E485" s="13">
        <v>45150</v>
      </c>
      <c r="F485" s="14" t="s">
        <v>14</v>
      </c>
      <c r="G485">
        <v>302</v>
      </c>
      <c r="H485">
        <v>11311.9</v>
      </c>
      <c r="I485">
        <v>10824.76</v>
      </c>
      <c r="J485">
        <v>1</v>
      </c>
      <c r="K485" s="14" t="s">
        <v>15</v>
      </c>
      <c r="L485" s="14">
        <f>IF(OR(Table1[[#This Row],[Order_Status]]="Delivered",Table1[[#This Row],[Delivery_Date]]&lt;&gt;"Not Yet Delivered"),Table1[[#This Row],[Delivery_Date]]-Table1[[#This Row],[Order_Date]],"Not Applicable")</f>
        <v>24</v>
      </c>
      <c r="M485" s="14">
        <f>Table1[[#This Row],[Unit_Cost]]-Table1[[#This Row],[Negotiated_Cost]]</f>
        <v>487.13999999999942</v>
      </c>
      <c r="N485" s="18">
        <f>Table1[[#This Row],[Defective_Units]]/Table1[[#This Row],[Quantity]]</f>
        <v>3.3112582781456954E-3</v>
      </c>
      <c r="O485" s="26">
        <f>(Table1[[#This Row],[Unit_Cost]]-Table1[[#This Row],[Negotiated_Cost]])/Table1[[#This Row],[Unit_Cost]]</f>
        <v>4.3064383525313998E-2</v>
      </c>
    </row>
    <row r="486" spans="1:15" x14ac:dyDescent="0.25">
      <c r="A486" t="s">
        <v>521</v>
      </c>
      <c r="B486" t="s">
        <v>17</v>
      </c>
      <c r="C486" s="14" t="s">
        <v>13</v>
      </c>
      <c r="D486" s="1">
        <v>45133</v>
      </c>
      <c r="E486" s="13">
        <v>45144</v>
      </c>
      <c r="F486" s="14" t="s">
        <v>37</v>
      </c>
      <c r="G486">
        <v>483</v>
      </c>
      <c r="H486">
        <v>3742.72</v>
      </c>
      <c r="I486">
        <v>3528.96</v>
      </c>
      <c r="J486">
        <v>1</v>
      </c>
      <c r="K486" s="14" t="s">
        <v>15</v>
      </c>
      <c r="L486" s="14">
        <f>IF(OR(Table1[[#This Row],[Order_Status]]="Delivered",Table1[[#This Row],[Delivery_Date]]&lt;&gt;"Not Yet Delivered"),Table1[[#This Row],[Delivery_Date]]-Table1[[#This Row],[Order_Date]],"Not Applicable")</f>
        <v>11</v>
      </c>
      <c r="M486" s="14">
        <f>Table1[[#This Row],[Unit_Cost]]-Table1[[#This Row],[Negotiated_Cost]]</f>
        <v>213.75999999999976</v>
      </c>
      <c r="N486" s="18">
        <f>Table1[[#This Row],[Defective_Units]]/Table1[[#This Row],[Quantity]]</f>
        <v>2.070393374741201E-3</v>
      </c>
      <c r="O486" s="26">
        <f>(Table1[[#This Row],[Unit_Cost]]-Table1[[#This Row],[Negotiated_Cost]])/Table1[[#This Row],[Unit_Cost]]</f>
        <v>5.7113543091655207E-2</v>
      </c>
    </row>
    <row r="487" spans="1:15" x14ac:dyDescent="0.25">
      <c r="A487" t="s">
        <v>522</v>
      </c>
      <c r="B487" t="s">
        <v>32</v>
      </c>
      <c r="C487" s="14" t="s">
        <v>30</v>
      </c>
      <c r="D487" s="1">
        <v>45295</v>
      </c>
      <c r="E487" s="13">
        <v>45304</v>
      </c>
      <c r="F487" s="14" t="s">
        <v>14</v>
      </c>
      <c r="G487">
        <v>430</v>
      </c>
      <c r="H487">
        <v>793.61</v>
      </c>
      <c r="I487">
        <v>792.52</v>
      </c>
      <c r="J487">
        <v>5</v>
      </c>
      <c r="K487" s="14" t="s">
        <v>15</v>
      </c>
      <c r="L487" s="14">
        <f>IF(OR(Table1[[#This Row],[Order_Status]]="Delivered",Table1[[#This Row],[Delivery_Date]]&lt;&gt;"Not Yet Delivered"),Table1[[#This Row],[Delivery_Date]]-Table1[[#This Row],[Order_Date]],"Not Applicable")</f>
        <v>9</v>
      </c>
      <c r="M487" s="14">
        <f>Table1[[#This Row],[Unit_Cost]]-Table1[[#This Row],[Negotiated_Cost]]</f>
        <v>1.0900000000000318</v>
      </c>
      <c r="N487" s="18">
        <f>Table1[[#This Row],[Defective_Units]]/Table1[[#This Row],[Quantity]]</f>
        <v>1.1627906976744186E-2</v>
      </c>
      <c r="O487" s="26">
        <f>(Table1[[#This Row],[Unit_Cost]]-Table1[[#This Row],[Negotiated_Cost]])/Table1[[#This Row],[Unit_Cost]]</f>
        <v>1.3734705963886944E-3</v>
      </c>
    </row>
    <row r="488" spans="1:15" x14ac:dyDescent="0.25">
      <c r="A488" t="s">
        <v>523</v>
      </c>
      <c r="B488" t="s">
        <v>20</v>
      </c>
      <c r="C488" s="14" t="s">
        <v>30</v>
      </c>
      <c r="D488" s="1">
        <v>45592</v>
      </c>
      <c r="E488" s="13">
        <v>45614</v>
      </c>
      <c r="F488" s="14" t="s">
        <v>14</v>
      </c>
      <c r="G488">
        <v>362</v>
      </c>
      <c r="H488">
        <v>869.85</v>
      </c>
      <c r="I488">
        <v>836.38</v>
      </c>
      <c r="J488">
        <v>9</v>
      </c>
      <c r="K488" s="14" t="s">
        <v>25</v>
      </c>
      <c r="L488" s="14">
        <f>IF(OR(Table1[[#This Row],[Order_Status]]="Delivered",Table1[[#This Row],[Delivery_Date]]&lt;&gt;"Not Yet Delivered"),Table1[[#This Row],[Delivery_Date]]-Table1[[#This Row],[Order_Date]],"Not Applicable")</f>
        <v>22</v>
      </c>
      <c r="M488" s="14">
        <f>Table1[[#This Row],[Unit_Cost]]-Table1[[#This Row],[Negotiated_Cost]]</f>
        <v>33.470000000000027</v>
      </c>
      <c r="N488" s="18">
        <f>Table1[[#This Row],[Defective_Units]]/Table1[[#This Row],[Quantity]]</f>
        <v>2.4861878453038673E-2</v>
      </c>
      <c r="O488" s="26">
        <f>(Table1[[#This Row],[Unit_Cost]]-Table1[[#This Row],[Negotiated_Cost]])/Table1[[#This Row],[Unit_Cost]]</f>
        <v>3.8477898488245128E-2</v>
      </c>
    </row>
    <row r="489" spans="1:15" x14ac:dyDescent="0.25">
      <c r="A489" t="s">
        <v>524</v>
      </c>
      <c r="B489" t="s">
        <v>32</v>
      </c>
      <c r="C489" s="14" t="s">
        <v>55</v>
      </c>
      <c r="D489" s="1">
        <v>45042</v>
      </c>
      <c r="E489" s="13">
        <v>45050</v>
      </c>
      <c r="F489" s="14" t="s">
        <v>14</v>
      </c>
      <c r="G489">
        <v>122</v>
      </c>
      <c r="H489">
        <v>13545.09</v>
      </c>
      <c r="I489">
        <v>13488.72</v>
      </c>
      <c r="J489">
        <v>3</v>
      </c>
      <c r="K489" s="14" t="s">
        <v>15</v>
      </c>
      <c r="L489" s="14">
        <f>IF(OR(Table1[[#This Row],[Order_Status]]="Delivered",Table1[[#This Row],[Delivery_Date]]&lt;&gt;"Not Yet Delivered"),Table1[[#This Row],[Delivery_Date]]-Table1[[#This Row],[Order_Date]],"Not Applicable")</f>
        <v>8</v>
      </c>
      <c r="M489" s="14">
        <f>Table1[[#This Row],[Unit_Cost]]-Table1[[#This Row],[Negotiated_Cost]]</f>
        <v>56.3700000000008</v>
      </c>
      <c r="N489" s="18">
        <f>Table1[[#This Row],[Defective_Units]]/Table1[[#This Row],[Quantity]]</f>
        <v>2.4590163934426229E-2</v>
      </c>
      <c r="O489" s="26">
        <f>(Table1[[#This Row],[Unit_Cost]]-Table1[[#This Row],[Negotiated_Cost]])/Table1[[#This Row],[Unit_Cost]]</f>
        <v>4.1616556257655576E-3</v>
      </c>
    </row>
    <row r="490" spans="1:15" x14ac:dyDescent="0.25">
      <c r="A490" t="s">
        <v>525</v>
      </c>
      <c r="B490" t="s">
        <v>27</v>
      </c>
      <c r="C490" s="14" t="s">
        <v>13</v>
      </c>
      <c r="D490" s="1">
        <v>45466</v>
      </c>
      <c r="E490" s="13">
        <v>45489</v>
      </c>
      <c r="F490" s="14" t="s">
        <v>14</v>
      </c>
      <c r="G490">
        <v>239</v>
      </c>
      <c r="H490">
        <v>4525.2700000000004</v>
      </c>
      <c r="I490">
        <v>4356.34</v>
      </c>
      <c r="J490">
        <v>0</v>
      </c>
      <c r="K490" s="14" t="s">
        <v>15</v>
      </c>
      <c r="L490" s="14">
        <f>IF(OR(Table1[[#This Row],[Order_Status]]="Delivered",Table1[[#This Row],[Delivery_Date]]&lt;&gt;"Not Yet Delivered"),Table1[[#This Row],[Delivery_Date]]-Table1[[#This Row],[Order_Date]],"Not Applicable")</f>
        <v>23</v>
      </c>
      <c r="M490" s="14">
        <f>Table1[[#This Row],[Unit_Cost]]-Table1[[#This Row],[Negotiated_Cost]]</f>
        <v>168.93000000000029</v>
      </c>
      <c r="N490" s="18">
        <f>Table1[[#This Row],[Defective_Units]]/Table1[[#This Row],[Quantity]]</f>
        <v>0</v>
      </c>
      <c r="O490" s="26">
        <f>(Table1[[#This Row],[Unit_Cost]]-Table1[[#This Row],[Negotiated_Cost]])/Table1[[#This Row],[Unit_Cost]]</f>
        <v>3.7330369237636711E-2</v>
      </c>
    </row>
    <row r="491" spans="1:15" x14ac:dyDescent="0.25">
      <c r="A491" t="s">
        <v>526</v>
      </c>
      <c r="B491" t="s">
        <v>20</v>
      </c>
      <c r="C491" s="14" t="s">
        <v>21</v>
      </c>
      <c r="D491" s="1">
        <v>45646</v>
      </c>
      <c r="E491" s="13">
        <v>45662</v>
      </c>
      <c r="F491" s="14" t="s">
        <v>14</v>
      </c>
      <c r="G491">
        <v>242</v>
      </c>
      <c r="H491">
        <v>113.19</v>
      </c>
      <c r="I491">
        <v>109.12</v>
      </c>
      <c r="J491">
        <v>0</v>
      </c>
      <c r="K491" s="14" t="s">
        <v>15</v>
      </c>
      <c r="L491" s="14">
        <f>IF(OR(Table1[[#This Row],[Order_Status]]="Delivered",Table1[[#This Row],[Delivery_Date]]&lt;&gt;"Not Yet Delivered"),Table1[[#This Row],[Delivery_Date]]-Table1[[#This Row],[Order_Date]],"Not Applicable")</f>
        <v>16</v>
      </c>
      <c r="M491" s="14">
        <f>Table1[[#This Row],[Unit_Cost]]-Table1[[#This Row],[Negotiated_Cost]]</f>
        <v>4.0699999999999932</v>
      </c>
      <c r="N491" s="18">
        <f>Table1[[#This Row],[Defective_Units]]/Table1[[#This Row],[Quantity]]</f>
        <v>0</v>
      </c>
      <c r="O491" s="26">
        <f>(Table1[[#This Row],[Unit_Cost]]-Table1[[#This Row],[Negotiated_Cost]])/Table1[[#This Row],[Unit_Cost]]</f>
        <v>3.5957240038872636E-2</v>
      </c>
    </row>
    <row r="492" spans="1:15" x14ac:dyDescent="0.25">
      <c r="A492" t="s">
        <v>527</v>
      </c>
      <c r="B492" t="s">
        <v>35</v>
      </c>
      <c r="C492" s="14" t="s">
        <v>36</v>
      </c>
      <c r="D492" s="1">
        <v>45172</v>
      </c>
      <c r="E492" s="14" t="s">
        <v>2057</v>
      </c>
      <c r="F492" s="14" t="s">
        <v>22</v>
      </c>
      <c r="G492">
        <v>248</v>
      </c>
      <c r="H492">
        <v>543.20000000000005</v>
      </c>
      <c r="I492">
        <v>525.45000000000005</v>
      </c>
      <c r="J492">
        <v>2</v>
      </c>
      <c r="K492" s="14" t="s">
        <v>15</v>
      </c>
      <c r="L492" s="14" t="str">
        <f>IF(OR(Table1[[#This Row],[Order_Status]]="Delivered",Table1[[#This Row],[Delivery_Date]]&lt;&gt;"Not Yet Delivered"),Table1[[#This Row],[Delivery_Date]]-Table1[[#This Row],[Order_Date]],"Not Applicable")</f>
        <v>Not Applicable</v>
      </c>
      <c r="M492" s="14">
        <f>Table1[[#This Row],[Unit_Cost]]-Table1[[#This Row],[Negotiated_Cost]]</f>
        <v>17.75</v>
      </c>
      <c r="N492" s="18">
        <f>Table1[[#This Row],[Defective_Units]]/Table1[[#This Row],[Quantity]]</f>
        <v>8.0645161290322578E-3</v>
      </c>
      <c r="O492" s="26">
        <f>(Table1[[#This Row],[Unit_Cost]]-Table1[[#This Row],[Negotiated_Cost]])/Table1[[#This Row],[Unit_Cost]]</f>
        <v>3.2676730486008831E-2</v>
      </c>
    </row>
    <row r="493" spans="1:15" x14ac:dyDescent="0.25">
      <c r="A493" t="s">
        <v>528</v>
      </c>
      <c r="B493" t="s">
        <v>20</v>
      </c>
      <c r="C493" s="14" t="s">
        <v>28</v>
      </c>
      <c r="D493" s="1">
        <v>45095</v>
      </c>
      <c r="E493" s="13">
        <v>45125</v>
      </c>
      <c r="F493" s="14" t="s">
        <v>14</v>
      </c>
      <c r="G493">
        <v>334</v>
      </c>
      <c r="H493">
        <v>45955.12</v>
      </c>
      <c r="I493">
        <v>44857.18</v>
      </c>
      <c r="J493">
        <v>4</v>
      </c>
      <c r="K493" s="14" t="s">
        <v>15</v>
      </c>
      <c r="L493" s="14">
        <f>IF(OR(Table1[[#This Row],[Order_Status]]="Delivered",Table1[[#This Row],[Delivery_Date]]&lt;&gt;"Not Yet Delivered"),Table1[[#This Row],[Delivery_Date]]-Table1[[#This Row],[Order_Date]],"Not Applicable")</f>
        <v>30</v>
      </c>
      <c r="M493" s="14">
        <f>Table1[[#This Row],[Unit_Cost]]-Table1[[#This Row],[Negotiated_Cost]]</f>
        <v>1097.9400000000023</v>
      </c>
      <c r="N493" s="18">
        <f>Table1[[#This Row],[Defective_Units]]/Table1[[#This Row],[Quantity]]</f>
        <v>1.1976047904191617E-2</v>
      </c>
      <c r="O493" s="26">
        <f>(Table1[[#This Row],[Unit_Cost]]-Table1[[#This Row],[Negotiated_Cost]])/Table1[[#This Row],[Unit_Cost]]</f>
        <v>2.3891570732488616E-2</v>
      </c>
    </row>
    <row r="494" spans="1:15" x14ac:dyDescent="0.25">
      <c r="A494" t="s">
        <v>529</v>
      </c>
      <c r="B494" t="s">
        <v>27</v>
      </c>
      <c r="C494" s="14" t="s">
        <v>21</v>
      </c>
      <c r="D494" s="1">
        <v>45442</v>
      </c>
      <c r="E494" s="13">
        <v>45447</v>
      </c>
      <c r="F494" s="14" t="s">
        <v>14</v>
      </c>
      <c r="G494">
        <v>405</v>
      </c>
      <c r="H494">
        <v>124.16</v>
      </c>
      <c r="I494">
        <v>121.91</v>
      </c>
      <c r="J494">
        <v>8</v>
      </c>
      <c r="K494" s="14" t="s">
        <v>15</v>
      </c>
      <c r="L494" s="14">
        <f>IF(OR(Table1[[#This Row],[Order_Status]]="Delivered",Table1[[#This Row],[Delivery_Date]]&lt;&gt;"Not Yet Delivered"),Table1[[#This Row],[Delivery_Date]]-Table1[[#This Row],[Order_Date]],"Not Applicable")</f>
        <v>5</v>
      </c>
      <c r="M494" s="14">
        <f>Table1[[#This Row],[Unit_Cost]]-Table1[[#This Row],[Negotiated_Cost]]</f>
        <v>2.25</v>
      </c>
      <c r="N494" s="18">
        <f>Table1[[#This Row],[Defective_Units]]/Table1[[#This Row],[Quantity]]</f>
        <v>1.9753086419753086E-2</v>
      </c>
      <c r="O494" s="26">
        <f>(Table1[[#This Row],[Unit_Cost]]-Table1[[#This Row],[Negotiated_Cost]])/Table1[[#This Row],[Unit_Cost]]</f>
        <v>1.8121778350515465E-2</v>
      </c>
    </row>
    <row r="495" spans="1:15" x14ac:dyDescent="0.25">
      <c r="A495" t="s">
        <v>530</v>
      </c>
      <c r="B495" t="s">
        <v>17</v>
      </c>
      <c r="C495" s="14" t="s">
        <v>18</v>
      </c>
      <c r="D495" s="1">
        <v>45218</v>
      </c>
      <c r="E495" s="13">
        <v>45233</v>
      </c>
      <c r="F495" s="14" t="s">
        <v>14</v>
      </c>
      <c r="G495">
        <v>438</v>
      </c>
      <c r="H495">
        <v>4905.58</v>
      </c>
      <c r="I495">
        <v>4810.92</v>
      </c>
      <c r="J495">
        <v>3</v>
      </c>
      <c r="K495" s="14" t="s">
        <v>15</v>
      </c>
      <c r="L495" s="14">
        <f>IF(OR(Table1[[#This Row],[Order_Status]]="Delivered",Table1[[#This Row],[Delivery_Date]]&lt;&gt;"Not Yet Delivered"),Table1[[#This Row],[Delivery_Date]]-Table1[[#This Row],[Order_Date]],"Not Applicable")</f>
        <v>15</v>
      </c>
      <c r="M495" s="14">
        <f>Table1[[#This Row],[Unit_Cost]]-Table1[[#This Row],[Negotiated_Cost]]</f>
        <v>94.659999999999854</v>
      </c>
      <c r="N495" s="18">
        <f>Table1[[#This Row],[Defective_Units]]/Table1[[#This Row],[Quantity]]</f>
        <v>6.8493150684931503E-3</v>
      </c>
      <c r="O495" s="26">
        <f>(Table1[[#This Row],[Unit_Cost]]-Table1[[#This Row],[Negotiated_Cost]])/Table1[[#This Row],[Unit_Cost]]</f>
        <v>1.9296393087055934E-2</v>
      </c>
    </row>
    <row r="496" spans="1:15" x14ac:dyDescent="0.25">
      <c r="A496" t="s">
        <v>531</v>
      </c>
      <c r="B496" t="s">
        <v>17</v>
      </c>
      <c r="C496" s="14" t="s">
        <v>42</v>
      </c>
      <c r="D496" s="1">
        <v>44957</v>
      </c>
      <c r="E496" s="13">
        <v>44972</v>
      </c>
      <c r="F496" s="14" t="s">
        <v>37</v>
      </c>
      <c r="G496">
        <v>264</v>
      </c>
      <c r="H496">
        <v>11434.85</v>
      </c>
      <c r="I496">
        <v>11108.04</v>
      </c>
      <c r="J496">
        <v>5</v>
      </c>
      <c r="K496" s="14" t="s">
        <v>15</v>
      </c>
      <c r="L496" s="14">
        <f>IF(OR(Table1[[#This Row],[Order_Status]]="Delivered",Table1[[#This Row],[Delivery_Date]]&lt;&gt;"Not Yet Delivered"),Table1[[#This Row],[Delivery_Date]]-Table1[[#This Row],[Order_Date]],"Not Applicable")</f>
        <v>15</v>
      </c>
      <c r="M496" s="14">
        <f>Table1[[#This Row],[Unit_Cost]]-Table1[[#This Row],[Negotiated_Cost]]</f>
        <v>326.80999999999949</v>
      </c>
      <c r="N496" s="18">
        <f>Table1[[#This Row],[Defective_Units]]/Table1[[#This Row],[Quantity]]</f>
        <v>1.893939393939394E-2</v>
      </c>
      <c r="O496" s="26">
        <f>(Table1[[#This Row],[Unit_Cost]]-Table1[[#This Row],[Negotiated_Cost]])/Table1[[#This Row],[Unit_Cost]]</f>
        <v>2.8580173767036688E-2</v>
      </c>
    </row>
    <row r="497" spans="1:15" x14ac:dyDescent="0.25">
      <c r="A497" t="s">
        <v>532</v>
      </c>
      <c r="B497" t="s">
        <v>27</v>
      </c>
      <c r="C497" s="14" t="s">
        <v>42</v>
      </c>
      <c r="D497" s="1">
        <v>45034</v>
      </c>
      <c r="E497" s="13">
        <v>45056</v>
      </c>
      <c r="F497" s="14" t="s">
        <v>14</v>
      </c>
      <c r="G497">
        <v>272</v>
      </c>
      <c r="H497">
        <v>12722.73</v>
      </c>
      <c r="I497">
        <v>12557.44</v>
      </c>
      <c r="J497">
        <v>3</v>
      </c>
      <c r="K497" s="14" t="s">
        <v>25</v>
      </c>
      <c r="L497" s="14">
        <f>IF(OR(Table1[[#This Row],[Order_Status]]="Delivered",Table1[[#This Row],[Delivery_Date]]&lt;&gt;"Not Yet Delivered"),Table1[[#This Row],[Delivery_Date]]-Table1[[#This Row],[Order_Date]],"Not Applicable")</f>
        <v>22</v>
      </c>
      <c r="M497" s="14">
        <f>Table1[[#This Row],[Unit_Cost]]-Table1[[#This Row],[Negotiated_Cost]]</f>
        <v>165.28999999999905</v>
      </c>
      <c r="N497" s="18">
        <f>Table1[[#This Row],[Defective_Units]]/Table1[[#This Row],[Quantity]]</f>
        <v>1.1029411764705883E-2</v>
      </c>
      <c r="O497" s="26">
        <f>(Table1[[#This Row],[Unit_Cost]]-Table1[[#This Row],[Negotiated_Cost]])/Table1[[#This Row],[Unit_Cost]]</f>
        <v>1.2991708540541146E-2</v>
      </c>
    </row>
    <row r="498" spans="1:15" x14ac:dyDescent="0.25">
      <c r="A498" t="s">
        <v>533</v>
      </c>
      <c r="B498" t="s">
        <v>46</v>
      </c>
      <c r="C498" s="14" t="s">
        <v>44</v>
      </c>
      <c r="D498" s="1">
        <v>45316</v>
      </c>
      <c r="E498" s="13">
        <v>45336</v>
      </c>
      <c r="F498" s="14" t="s">
        <v>14</v>
      </c>
      <c r="G498">
        <v>74</v>
      </c>
      <c r="H498">
        <v>8519.35</v>
      </c>
      <c r="I498">
        <v>8417.98</v>
      </c>
      <c r="J498">
        <v>2</v>
      </c>
      <c r="K498" s="14" t="s">
        <v>15</v>
      </c>
      <c r="L498" s="14">
        <f>IF(OR(Table1[[#This Row],[Order_Status]]="Delivered",Table1[[#This Row],[Delivery_Date]]&lt;&gt;"Not Yet Delivered"),Table1[[#This Row],[Delivery_Date]]-Table1[[#This Row],[Order_Date]],"Not Applicable")</f>
        <v>20</v>
      </c>
      <c r="M498" s="14">
        <f>Table1[[#This Row],[Unit_Cost]]-Table1[[#This Row],[Negotiated_Cost]]</f>
        <v>101.3700000000008</v>
      </c>
      <c r="N498" s="18">
        <f>Table1[[#This Row],[Defective_Units]]/Table1[[#This Row],[Quantity]]</f>
        <v>2.7027027027027029E-2</v>
      </c>
      <c r="O498" s="26">
        <f>(Table1[[#This Row],[Unit_Cost]]-Table1[[#This Row],[Negotiated_Cost]])/Table1[[#This Row],[Unit_Cost]]</f>
        <v>1.1898795095870083E-2</v>
      </c>
    </row>
    <row r="499" spans="1:15" x14ac:dyDescent="0.25">
      <c r="A499" t="s">
        <v>534</v>
      </c>
      <c r="B499" t="s">
        <v>27</v>
      </c>
      <c r="C499" s="14" t="s">
        <v>50</v>
      </c>
      <c r="D499" s="1">
        <v>45155</v>
      </c>
      <c r="E499" s="14" t="s">
        <v>2057</v>
      </c>
      <c r="F499" s="14" t="s">
        <v>33</v>
      </c>
      <c r="G499">
        <v>16</v>
      </c>
      <c r="H499">
        <v>55907.55</v>
      </c>
      <c r="I499">
        <v>52627.12</v>
      </c>
      <c r="J499">
        <v>2</v>
      </c>
      <c r="K499" s="14" t="s">
        <v>15</v>
      </c>
      <c r="L499" s="14" t="str">
        <f>IF(OR(Table1[[#This Row],[Order_Status]]="Delivered",Table1[[#This Row],[Delivery_Date]]&lt;&gt;"Not Yet Delivered"),Table1[[#This Row],[Delivery_Date]]-Table1[[#This Row],[Order_Date]],"Not Applicable")</f>
        <v>Not Applicable</v>
      </c>
      <c r="M499" s="14">
        <f>Table1[[#This Row],[Unit_Cost]]-Table1[[#This Row],[Negotiated_Cost]]</f>
        <v>3280.4300000000003</v>
      </c>
      <c r="N499" s="18">
        <f>Table1[[#This Row],[Defective_Units]]/Table1[[#This Row],[Quantity]]</f>
        <v>0.125</v>
      </c>
      <c r="O499" s="26">
        <f>(Table1[[#This Row],[Unit_Cost]]-Table1[[#This Row],[Negotiated_Cost]])/Table1[[#This Row],[Unit_Cost]]</f>
        <v>5.8675974890690076E-2</v>
      </c>
    </row>
    <row r="500" spans="1:15" x14ac:dyDescent="0.25">
      <c r="A500" t="s">
        <v>535</v>
      </c>
      <c r="B500" t="s">
        <v>17</v>
      </c>
      <c r="C500" s="14" t="s">
        <v>50</v>
      </c>
      <c r="D500" s="1">
        <v>45628</v>
      </c>
      <c r="E500" s="13">
        <v>45650</v>
      </c>
      <c r="F500" s="14" t="s">
        <v>14</v>
      </c>
      <c r="G500">
        <v>121</v>
      </c>
      <c r="H500">
        <v>48527.22</v>
      </c>
      <c r="I500">
        <v>47490.55</v>
      </c>
      <c r="J500">
        <v>0</v>
      </c>
      <c r="K500" s="14" t="s">
        <v>15</v>
      </c>
      <c r="L500" s="14">
        <f>IF(OR(Table1[[#This Row],[Order_Status]]="Delivered",Table1[[#This Row],[Delivery_Date]]&lt;&gt;"Not Yet Delivered"),Table1[[#This Row],[Delivery_Date]]-Table1[[#This Row],[Order_Date]],"Not Applicable")</f>
        <v>22</v>
      </c>
      <c r="M500" s="14">
        <f>Table1[[#This Row],[Unit_Cost]]-Table1[[#This Row],[Negotiated_Cost]]</f>
        <v>1036.6699999999983</v>
      </c>
      <c r="N500" s="18">
        <f>Table1[[#This Row],[Defective_Units]]/Table1[[#This Row],[Quantity]]</f>
        <v>0</v>
      </c>
      <c r="O500" s="26">
        <f>(Table1[[#This Row],[Unit_Cost]]-Table1[[#This Row],[Negotiated_Cost]])/Table1[[#This Row],[Unit_Cost]]</f>
        <v>2.1362649663425975E-2</v>
      </c>
    </row>
    <row r="501" spans="1:15" x14ac:dyDescent="0.25">
      <c r="A501" t="s">
        <v>536</v>
      </c>
      <c r="B501" t="s">
        <v>46</v>
      </c>
      <c r="C501" s="14" t="s">
        <v>55</v>
      </c>
      <c r="D501" s="1">
        <v>45112</v>
      </c>
      <c r="E501" s="13">
        <v>45124</v>
      </c>
      <c r="F501" s="14" t="s">
        <v>37</v>
      </c>
      <c r="G501">
        <v>421</v>
      </c>
      <c r="H501">
        <v>14932.71</v>
      </c>
      <c r="I501">
        <v>14213.15</v>
      </c>
      <c r="J501">
        <v>4</v>
      </c>
      <c r="K501" s="14" t="s">
        <v>15</v>
      </c>
      <c r="L501" s="14">
        <f>IF(OR(Table1[[#This Row],[Order_Status]]="Delivered",Table1[[#This Row],[Delivery_Date]]&lt;&gt;"Not Yet Delivered"),Table1[[#This Row],[Delivery_Date]]-Table1[[#This Row],[Order_Date]],"Not Applicable")</f>
        <v>12</v>
      </c>
      <c r="M501" s="14">
        <f>Table1[[#This Row],[Unit_Cost]]-Table1[[#This Row],[Negotiated_Cost]]</f>
        <v>719.55999999999949</v>
      </c>
      <c r="N501" s="18">
        <f>Table1[[#This Row],[Defective_Units]]/Table1[[#This Row],[Quantity]]</f>
        <v>9.5011876484560574E-3</v>
      </c>
      <c r="O501" s="26">
        <f>(Table1[[#This Row],[Unit_Cost]]-Table1[[#This Row],[Negotiated_Cost]])/Table1[[#This Row],[Unit_Cost]]</f>
        <v>4.8186832798601163E-2</v>
      </c>
    </row>
    <row r="502" spans="1:15" x14ac:dyDescent="0.25">
      <c r="A502" t="s">
        <v>537</v>
      </c>
      <c r="B502" t="s">
        <v>27</v>
      </c>
      <c r="C502" s="14" t="s">
        <v>55</v>
      </c>
      <c r="D502" s="1">
        <v>45098</v>
      </c>
      <c r="E502" s="13">
        <v>45124</v>
      </c>
      <c r="F502" s="14" t="s">
        <v>14</v>
      </c>
      <c r="G502">
        <v>387</v>
      </c>
      <c r="H502">
        <v>15023.31</v>
      </c>
      <c r="I502">
        <v>14828.97</v>
      </c>
      <c r="J502">
        <v>4</v>
      </c>
      <c r="K502" s="14" t="s">
        <v>15</v>
      </c>
      <c r="L502" s="14">
        <f>IF(OR(Table1[[#This Row],[Order_Status]]="Delivered",Table1[[#This Row],[Delivery_Date]]&lt;&gt;"Not Yet Delivered"),Table1[[#This Row],[Delivery_Date]]-Table1[[#This Row],[Order_Date]],"Not Applicable")</f>
        <v>26</v>
      </c>
      <c r="M502" s="14">
        <f>Table1[[#This Row],[Unit_Cost]]-Table1[[#This Row],[Negotiated_Cost]]</f>
        <v>194.34000000000015</v>
      </c>
      <c r="N502" s="18">
        <f>Table1[[#This Row],[Defective_Units]]/Table1[[#This Row],[Quantity]]</f>
        <v>1.0335917312661499E-2</v>
      </c>
      <c r="O502" s="26">
        <f>(Table1[[#This Row],[Unit_Cost]]-Table1[[#This Row],[Negotiated_Cost]])/Table1[[#This Row],[Unit_Cost]]</f>
        <v>1.2935897615106134E-2</v>
      </c>
    </row>
    <row r="503" spans="1:15" x14ac:dyDescent="0.25">
      <c r="A503" t="s">
        <v>538</v>
      </c>
      <c r="B503" t="s">
        <v>17</v>
      </c>
      <c r="C503" s="14" t="s">
        <v>21</v>
      </c>
      <c r="D503" s="1">
        <v>45557</v>
      </c>
      <c r="E503" s="13">
        <v>45563</v>
      </c>
      <c r="F503" s="14" t="s">
        <v>14</v>
      </c>
      <c r="G503">
        <v>437</v>
      </c>
      <c r="H503">
        <v>113.77</v>
      </c>
      <c r="I503">
        <v>108.21</v>
      </c>
      <c r="J503">
        <v>7</v>
      </c>
      <c r="K503" s="14" t="s">
        <v>15</v>
      </c>
      <c r="L503" s="14">
        <f>IF(OR(Table1[[#This Row],[Order_Status]]="Delivered",Table1[[#This Row],[Delivery_Date]]&lt;&gt;"Not Yet Delivered"),Table1[[#This Row],[Delivery_Date]]-Table1[[#This Row],[Order_Date]],"Not Applicable")</f>
        <v>6</v>
      </c>
      <c r="M503" s="14">
        <f>Table1[[#This Row],[Unit_Cost]]-Table1[[#This Row],[Negotiated_Cost]]</f>
        <v>5.5600000000000023</v>
      </c>
      <c r="N503" s="18">
        <f>Table1[[#This Row],[Defective_Units]]/Table1[[#This Row],[Quantity]]</f>
        <v>1.6018306636155607E-2</v>
      </c>
      <c r="O503" s="26">
        <f>(Table1[[#This Row],[Unit_Cost]]-Table1[[#This Row],[Negotiated_Cost]])/Table1[[#This Row],[Unit_Cost]]</f>
        <v>4.8870528258767712E-2</v>
      </c>
    </row>
    <row r="504" spans="1:15" x14ac:dyDescent="0.25">
      <c r="A504" t="s">
        <v>539</v>
      </c>
      <c r="B504" t="s">
        <v>27</v>
      </c>
      <c r="C504" s="14" t="s">
        <v>13</v>
      </c>
      <c r="D504" s="1">
        <v>45049</v>
      </c>
      <c r="E504" s="13">
        <v>45079</v>
      </c>
      <c r="F504" s="14" t="s">
        <v>14</v>
      </c>
      <c r="G504">
        <v>371</v>
      </c>
      <c r="H504">
        <v>4100.45</v>
      </c>
      <c r="I504">
        <v>4037.05</v>
      </c>
      <c r="J504">
        <v>0</v>
      </c>
      <c r="K504" s="14" t="s">
        <v>15</v>
      </c>
      <c r="L504" s="14">
        <f>IF(OR(Table1[[#This Row],[Order_Status]]="Delivered",Table1[[#This Row],[Delivery_Date]]&lt;&gt;"Not Yet Delivered"),Table1[[#This Row],[Delivery_Date]]-Table1[[#This Row],[Order_Date]],"Not Applicable")</f>
        <v>30</v>
      </c>
      <c r="M504" s="14">
        <f>Table1[[#This Row],[Unit_Cost]]-Table1[[#This Row],[Negotiated_Cost]]</f>
        <v>63.399999999999636</v>
      </c>
      <c r="N504" s="18">
        <f>Table1[[#This Row],[Defective_Units]]/Table1[[#This Row],[Quantity]]</f>
        <v>0</v>
      </c>
      <c r="O504" s="26">
        <f>(Table1[[#This Row],[Unit_Cost]]-Table1[[#This Row],[Negotiated_Cost]])/Table1[[#This Row],[Unit_Cost]]</f>
        <v>1.5461717616359092E-2</v>
      </c>
    </row>
    <row r="505" spans="1:15" x14ac:dyDescent="0.25">
      <c r="A505" t="s">
        <v>540</v>
      </c>
      <c r="B505" t="s">
        <v>17</v>
      </c>
      <c r="C505" s="14" t="s">
        <v>24</v>
      </c>
      <c r="D505" s="1">
        <v>45446</v>
      </c>
      <c r="E505" s="13">
        <v>45468</v>
      </c>
      <c r="F505" s="14" t="s">
        <v>14</v>
      </c>
      <c r="G505">
        <v>126</v>
      </c>
      <c r="H505">
        <v>11249.91</v>
      </c>
      <c r="I505">
        <v>10916.26</v>
      </c>
      <c r="J505">
        <v>1</v>
      </c>
      <c r="K505" s="14" t="s">
        <v>25</v>
      </c>
      <c r="L505" s="14">
        <f>IF(OR(Table1[[#This Row],[Order_Status]]="Delivered",Table1[[#This Row],[Delivery_Date]]&lt;&gt;"Not Yet Delivered"),Table1[[#This Row],[Delivery_Date]]-Table1[[#This Row],[Order_Date]],"Not Applicable")</f>
        <v>22</v>
      </c>
      <c r="M505" s="14">
        <f>Table1[[#This Row],[Unit_Cost]]-Table1[[#This Row],[Negotiated_Cost]]</f>
        <v>333.64999999999964</v>
      </c>
      <c r="N505" s="18">
        <f>Table1[[#This Row],[Defective_Units]]/Table1[[#This Row],[Quantity]]</f>
        <v>7.9365079365079361E-3</v>
      </c>
      <c r="O505" s="26">
        <f>(Table1[[#This Row],[Unit_Cost]]-Table1[[#This Row],[Negotiated_Cost]])/Table1[[#This Row],[Unit_Cost]]</f>
        <v>2.9658015041898082E-2</v>
      </c>
    </row>
    <row r="506" spans="1:15" x14ac:dyDescent="0.25">
      <c r="A506" t="s">
        <v>541</v>
      </c>
      <c r="B506" t="s">
        <v>12</v>
      </c>
      <c r="C506" s="14" t="s">
        <v>48</v>
      </c>
      <c r="D506" s="1">
        <v>45260</v>
      </c>
      <c r="E506" s="13">
        <v>45268</v>
      </c>
      <c r="F506" s="14" t="s">
        <v>14</v>
      </c>
      <c r="G506">
        <v>337</v>
      </c>
      <c r="H506">
        <v>6508.49</v>
      </c>
      <c r="I506">
        <v>6476.29</v>
      </c>
      <c r="J506">
        <v>1</v>
      </c>
      <c r="K506" s="14" t="s">
        <v>15</v>
      </c>
      <c r="L506" s="14">
        <f>IF(OR(Table1[[#This Row],[Order_Status]]="Delivered",Table1[[#This Row],[Delivery_Date]]&lt;&gt;"Not Yet Delivered"),Table1[[#This Row],[Delivery_Date]]-Table1[[#This Row],[Order_Date]],"Not Applicable")</f>
        <v>8</v>
      </c>
      <c r="M506" s="14">
        <f>Table1[[#This Row],[Unit_Cost]]-Table1[[#This Row],[Negotiated_Cost]]</f>
        <v>32.199999999999818</v>
      </c>
      <c r="N506" s="18">
        <f>Table1[[#This Row],[Defective_Units]]/Table1[[#This Row],[Quantity]]</f>
        <v>2.967359050445104E-3</v>
      </c>
      <c r="O506" s="26">
        <f>(Table1[[#This Row],[Unit_Cost]]-Table1[[#This Row],[Negotiated_Cost]])/Table1[[#This Row],[Unit_Cost]]</f>
        <v>4.9473841090636721E-3</v>
      </c>
    </row>
    <row r="507" spans="1:15" x14ac:dyDescent="0.25">
      <c r="A507" t="s">
        <v>542</v>
      </c>
      <c r="B507" t="s">
        <v>27</v>
      </c>
      <c r="C507" s="14" t="s">
        <v>50</v>
      </c>
      <c r="D507" s="1">
        <v>45417</v>
      </c>
      <c r="E507" s="14" t="s">
        <v>2057</v>
      </c>
      <c r="F507" s="14" t="s">
        <v>33</v>
      </c>
      <c r="G507">
        <v>212</v>
      </c>
      <c r="H507">
        <v>55217.81</v>
      </c>
      <c r="I507">
        <v>52887.44</v>
      </c>
      <c r="J507">
        <v>2</v>
      </c>
      <c r="K507" s="14" t="s">
        <v>25</v>
      </c>
      <c r="L507" s="14" t="str">
        <f>IF(OR(Table1[[#This Row],[Order_Status]]="Delivered",Table1[[#This Row],[Delivery_Date]]&lt;&gt;"Not Yet Delivered"),Table1[[#This Row],[Delivery_Date]]-Table1[[#This Row],[Order_Date]],"Not Applicable")</f>
        <v>Not Applicable</v>
      </c>
      <c r="M507" s="14">
        <f>Table1[[#This Row],[Unit_Cost]]-Table1[[#This Row],[Negotiated_Cost]]</f>
        <v>2330.3699999999953</v>
      </c>
      <c r="N507" s="18">
        <f>Table1[[#This Row],[Defective_Units]]/Table1[[#This Row],[Quantity]]</f>
        <v>9.433962264150943E-3</v>
      </c>
      <c r="O507" s="26">
        <f>(Table1[[#This Row],[Unit_Cost]]-Table1[[#This Row],[Negotiated_Cost]])/Table1[[#This Row],[Unit_Cost]]</f>
        <v>4.2203231167624998E-2</v>
      </c>
    </row>
    <row r="508" spans="1:15" x14ac:dyDescent="0.25">
      <c r="A508" t="s">
        <v>543</v>
      </c>
      <c r="B508" t="s">
        <v>27</v>
      </c>
      <c r="C508" s="14" t="s">
        <v>21</v>
      </c>
      <c r="D508" s="1">
        <v>45420</v>
      </c>
      <c r="E508" s="14" t="s">
        <v>2057</v>
      </c>
      <c r="F508" s="14" t="s">
        <v>22</v>
      </c>
      <c r="G508">
        <v>372</v>
      </c>
      <c r="H508">
        <v>125.05</v>
      </c>
      <c r="I508">
        <v>118.79</v>
      </c>
      <c r="J508">
        <v>2</v>
      </c>
      <c r="K508" s="14" t="s">
        <v>15</v>
      </c>
      <c r="L508" s="14" t="str">
        <f>IF(OR(Table1[[#This Row],[Order_Status]]="Delivered",Table1[[#This Row],[Delivery_Date]]&lt;&gt;"Not Yet Delivered"),Table1[[#This Row],[Delivery_Date]]-Table1[[#This Row],[Order_Date]],"Not Applicable")</f>
        <v>Not Applicable</v>
      </c>
      <c r="M508" s="14">
        <f>Table1[[#This Row],[Unit_Cost]]-Table1[[#This Row],[Negotiated_Cost]]</f>
        <v>6.2599999999999909</v>
      </c>
      <c r="N508" s="18">
        <f>Table1[[#This Row],[Defective_Units]]/Table1[[#This Row],[Quantity]]</f>
        <v>5.3763440860215058E-3</v>
      </c>
      <c r="O508" s="26">
        <f>(Table1[[#This Row],[Unit_Cost]]-Table1[[#This Row],[Negotiated_Cost]])/Table1[[#This Row],[Unit_Cost]]</f>
        <v>5.0059976009596087E-2</v>
      </c>
    </row>
    <row r="509" spans="1:15" x14ac:dyDescent="0.25">
      <c r="A509" t="s">
        <v>544</v>
      </c>
      <c r="B509" t="s">
        <v>20</v>
      </c>
      <c r="C509" s="14" t="s">
        <v>42</v>
      </c>
      <c r="D509" s="1">
        <v>45456</v>
      </c>
      <c r="E509" s="13">
        <v>45475</v>
      </c>
      <c r="F509" s="14" t="s">
        <v>14</v>
      </c>
      <c r="G509">
        <v>194</v>
      </c>
      <c r="H509">
        <v>11357.07</v>
      </c>
      <c r="I509">
        <v>11053.65</v>
      </c>
      <c r="J509">
        <v>0</v>
      </c>
      <c r="K509" s="14" t="s">
        <v>15</v>
      </c>
      <c r="L509" s="14">
        <f>IF(OR(Table1[[#This Row],[Order_Status]]="Delivered",Table1[[#This Row],[Delivery_Date]]&lt;&gt;"Not Yet Delivered"),Table1[[#This Row],[Delivery_Date]]-Table1[[#This Row],[Order_Date]],"Not Applicable")</f>
        <v>19</v>
      </c>
      <c r="M509" s="14">
        <f>Table1[[#This Row],[Unit_Cost]]-Table1[[#This Row],[Negotiated_Cost]]</f>
        <v>303.42000000000007</v>
      </c>
      <c r="N509" s="18">
        <f>Table1[[#This Row],[Defective_Units]]/Table1[[#This Row],[Quantity]]</f>
        <v>0</v>
      </c>
      <c r="O509" s="26">
        <f>(Table1[[#This Row],[Unit_Cost]]-Table1[[#This Row],[Negotiated_Cost]])/Table1[[#This Row],[Unit_Cost]]</f>
        <v>2.6716397803306671E-2</v>
      </c>
    </row>
    <row r="510" spans="1:15" x14ac:dyDescent="0.25">
      <c r="A510" t="s">
        <v>545</v>
      </c>
      <c r="B510" t="s">
        <v>35</v>
      </c>
      <c r="C510" s="14" t="s">
        <v>48</v>
      </c>
      <c r="D510" s="1">
        <v>45394</v>
      </c>
      <c r="E510" s="13">
        <v>45397</v>
      </c>
      <c r="F510" s="14" t="s">
        <v>14</v>
      </c>
      <c r="G510">
        <v>224</v>
      </c>
      <c r="H510">
        <v>6371.59</v>
      </c>
      <c r="I510">
        <v>6056.99</v>
      </c>
      <c r="J510">
        <v>4</v>
      </c>
      <c r="K510" s="14" t="s">
        <v>25</v>
      </c>
      <c r="L510" s="14">
        <f>IF(OR(Table1[[#This Row],[Order_Status]]="Delivered",Table1[[#This Row],[Delivery_Date]]&lt;&gt;"Not Yet Delivered"),Table1[[#This Row],[Delivery_Date]]-Table1[[#This Row],[Order_Date]],"Not Applicable")</f>
        <v>3</v>
      </c>
      <c r="M510" s="14">
        <f>Table1[[#This Row],[Unit_Cost]]-Table1[[#This Row],[Negotiated_Cost]]</f>
        <v>314.60000000000036</v>
      </c>
      <c r="N510" s="18">
        <f>Table1[[#This Row],[Defective_Units]]/Table1[[#This Row],[Quantity]]</f>
        <v>1.7857142857142856E-2</v>
      </c>
      <c r="O510" s="26">
        <f>(Table1[[#This Row],[Unit_Cost]]-Table1[[#This Row],[Negotiated_Cost]])/Table1[[#This Row],[Unit_Cost]]</f>
        <v>4.9375430622497739E-2</v>
      </c>
    </row>
    <row r="511" spans="1:15" x14ac:dyDescent="0.25">
      <c r="A511" t="s">
        <v>546</v>
      </c>
      <c r="B511" t="s">
        <v>32</v>
      </c>
      <c r="C511" s="14" t="s">
        <v>13</v>
      </c>
      <c r="D511" s="1">
        <v>45355</v>
      </c>
      <c r="E511" s="13">
        <v>45374</v>
      </c>
      <c r="F511" s="14" t="s">
        <v>37</v>
      </c>
      <c r="G511">
        <v>273</v>
      </c>
      <c r="H511">
        <v>3710.76</v>
      </c>
      <c r="I511">
        <v>3499.46</v>
      </c>
      <c r="J511">
        <v>4</v>
      </c>
      <c r="K511" s="14" t="s">
        <v>15</v>
      </c>
      <c r="L511" s="14">
        <f>IF(OR(Table1[[#This Row],[Order_Status]]="Delivered",Table1[[#This Row],[Delivery_Date]]&lt;&gt;"Not Yet Delivered"),Table1[[#This Row],[Delivery_Date]]-Table1[[#This Row],[Order_Date]],"Not Applicable")</f>
        <v>19</v>
      </c>
      <c r="M511" s="14">
        <f>Table1[[#This Row],[Unit_Cost]]-Table1[[#This Row],[Negotiated_Cost]]</f>
        <v>211.30000000000018</v>
      </c>
      <c r="N511" s="18">
        <f>Table1[[#This Row],[Defective_Units]]/Table1[[#This Row],[Quantity]]</f>
        <v>1.4652014652014652E-2</v>
      </c>
      <c r="O511" s="26">
        <f>(Table1[[#This Row],[Unit_Cost]]-Table1[[#This Row],[Negotiated_Cost]])/Table1[[#This Row],[Unit_Cost]]</f>
        <v>5.6942513123996209E-2</v>
      </c>
    </row>
    <row r="512" spans="1:15" x14ac:dyDescent="0.25">
      <c r="A512" t="s">
        <v>547</v>
      </c>
      <c r="B512" t="s">
        <v>40</v>
      </c>
      <c r="C512" s="14" t="s">
        <v>21</v>
      </c>
      <c r="D512" s="1">
        <v>45040</v>
      </c>
      <c r="E512" s="13">
        <v>45044</v>
      </c>
      <c r="F512" s="14" t="s">
        <v>14</v>
      </c>
      <c r="G512">
        <v>115</v>
      </c>
      <c r="H512">
        <v>127.27</v>
      </c>
      <c r="I512">
        <v>125.61</v>
      </c>
      <c r="J512">
        <v>4</v>
      </c>
      <c r="K512" s="14" t="s">
        <v>15</v>
      </c>
      <c r="L512" s="14">
        <f>IF(OR(Table1[[#This Row],[Order_Status]]="Delivered",Table1[[#This Row],[Delivery_Date]]&lt;&gt;"Not Yet Delivered"),Table1[[#This Row],[Delivery_Date]]-Table1[[#This Row],[Order_Date]],"Not Applicable")</f>
        <v>4</v>
      </c>
      <c r="M512" s="14">
        <f>Table1[[#This Row],[Unit_Cost]]-Table1[[#This Row],[Negotiated_Cost]]</f>
        <v>1.6599999999999966</v>
      </c>
      <c r="N512" s="18">
        <f>Table1[[#This Row],[Defective_Units]]/Table1[[#This Row],[Quantity]]</f>
        <v>3.4782608695652174E-2</v>
      </c>
      <c r="O512" s="26">
        <f>(Table1[[#This Row],[Unit_Cost]]-Table1[[#This Row],[Negotiated_Cost]])/Table1[[#This Row],[Unit_Cost]]</f>
        <v>1.304313663864223E-2</v>
      </c>
    </row>
    <row r="513" spans="1:15" x14ac:dyDescent="0.25">
      <c r="A513" t="s">
        <v>548</v>
      </c>
      <c r="B513" t="s">
        <v>20</v>
      </c>
      <c r="C513" s="14" t="s">
        <v>18</v>
      </c>
      <c r="D513" s="1">
        <v>45631</v>
      </c>
      <c r="E513" s="13">
        <v>45656</v>
      </c>
      <c r="F513" s="14" t="s">
        <v>37</v>
      </c>
      <c r="G513">
        <v>55</v>
      </c>
      <c r="H513">
        <v>5135.58</v>
      </c>
      <c r="I513">
        <v>5016.1099999999997</v>
      </c>
      <c r="J513">
        <v>1</v>
      </c>
      <c r="K513" s="14" t="s">
        <v>15</v>
      </c>
      <c r="L513" s="14">
        <f>IF(OR(Table1[[#This Row],[Order_Status]]="Delivered",Table1[[#This Row],[Delivery_Date]]&lt;&gt;"Not Yet Delivered"),Table1[[#This Row],[Delivery_Date]]-Table1[[#This Row],[Order_Date]],"Not Applicable")</f>
        <v>25</v>
      </c>
      <c r="M513" s="14">
        <f>Table1[[#This Row],[Unit_Cost]]-Table1[[#This Row],[Negotiated_Cost]]</f>
        <v>119.47000000000025</v>
      </c>
      <c r="N513" s="18">
        <f>Table1[[#This Row],[Defective_Units]]/Table1[[#This Row],[Quantity]]</f>
        <v>1.8181818181818181E-2</v>
      </c>
      <c r="O513" s="26">
        <f>(Table1[[#This Row],[Unit_Cost]]-Table1[[#This Row],[Negotiated_Cost]])/Table1[[#This Row],[Unit_Cost]]</f>
        <v>2.3263195198984392E-2</v>
      </c>
    </row>
    <row r="514" spans="1:15" x14ac:dyDescent="0.25">
      <c r="A514" t="s">
        <v>549</v>
      </c>
      <c r="B514" t="s">
        <v>20</v>
      </c>
      <c r="C514" s="14" t="s">
        <v>42</v>
      </c>
      <c r="D514" s="1">
        <v>45466</v>
      </c>
      <c r="E514" s="13">
        <v>45472</v>
      </c>
      <c r="F514" s="14" t="s">
        <v>14</v>
      </c>
      <c r="G514">
        <v>383</v>
      </c>
      <c r="H514">
        <v>10922.77</v>
      </c>
      <c r="I514">
        <v>10386.17</v>
      </c>
      <c r="J514">
        <v>1</v>
      </c>
      <c r="K514" s="14" t="s">
        <v>15</v>
      </c>
      <c r="L514" s="14">
        <f>IF(OR(Table1[[#This Row],[Order_Status]]="Delivered",Table1[[#This Row],[Delivery_Date]]&lt;&gt;"Not Yet Delivered"),Table1[[#This Row],[Delivery_Date]]-Table1[[#This Row],[Order_Date]],"Not Applicable")</f>
        <v>6</v>
      </c>
      <c r="M514" s="14">
        <f>Table1[[#This Row],[Unit_Cost]]-Table1[[#This Row],[Negotiated_Cost]]</f>
        <v>536.60000000000036</v>
      </c>
      <c r="N514" s="18">
        <f>Table1[[#This Row],[Defective_Units]]/Table1[[#This Row],[Quantity]]</f>
        <v>2.6109660574412533E-3</v>
      </c>
      <c r="O514" s="26">
        <f>(Table1[[#This Row],[Unit_Cost]]-Table1[[#This Row],[Negotiated_Cost]])/Table1[[#This Row],[Unit_Cost]]</f>
        <v>4.9126732504666891E-2</v>
      </c>
    </row>
    <row r="515" spans="1:15" x14ac:dyDescent="0.25">
      <c r="A515" t="s">
        <v>550</v>
      </c>
      <c r="B515" t="s">
        <v>12</v>
      </c>
      <c r="C515" s="14" t="s">
        <v>13</v>
      </c>
      <c r="D515" s="1">
        <v>45236</v>
      </c>
      <c r="E515" s="14" t="s">
        <v>2057</v>
      </c>
      <c r="F515" s="14" t="s">
        <v>22</v>
      </c>
      <c r="G515">
        <v>154</v>
      </c>
      <c r="H515">
        <v>4216.96</v>
      </c>
      <c r="J515">
        <v>2</v>
      </c>
      <c r="K515" s="14" t="s">
        <v>15</v>
      </c>
      <c r="L515" s="14" t="str">
        <f>IF(OR(Table1[[#This Row],[Order_Status]]="Delivered",Table1[[#This Row],[Delivery_Date]]&lt;&gt;"Not Yet Delivered"),Table1[[#This Row],[Delivery_Date]]-Table1[[#This Row],[Order_Date]],"Not Applicable")</f>
        <v>Not Applicable</v>
      </c>
      <c r="M515" s="14">
        <f>Table1[[#This Row],[Unit_Cost]]-Table1[[#This Row],[Negotiated_Cost]]</f>
        <v>4216.96</v>
      </c>
      <c r="N515" s="18">
        <f>Table1[[#This Row],[Defective_Units]]/Table1[[#This Row],[Quantity]]</f>
        <v>1.2987012987012988E-2</v>
      </c>
      <c r="O515" s="26">
        <f>(Table1[[#This Row],[Unit_Cost]]-Table1[[#This Row],[Negotiated_Cost]])/Table1[[#This Row],[Unit_Cost]]</f>
        <v>1</v>
      </c>
    </row>
    <row r="516" spans="1:15" x14ac:dyDescent="0.25">
      <c r="A516" t="s">
        <v>551</v>
      </c>
      <c r="B516" t="s">
        <v>40</v>
      </c>
      <c r="C516" s="14" t="s">
        <v>13</v>
      </c>
      <c r="D516" s="1">
        <v>45140</v>
      </c>
      <c r="E516" s="13">
        <v>45150</v>
      </c>
      <c r="F516" s="14" t="s">
        <v>14</v>
      </c>
      <c r="G516">
        <v>89</v>
      </c>
      <c r="H516">
        <v>4500.1000000000004</v>
      </c>
      <c r="I516">
        <v>4264.54</v>
      </c>
      <c r="J516">
        <v>1</v>
      </c>
      <c r="K516" s="14" t="s">
        <v>15</v>
      </c>
      <c r="L516" s="14">
        <f>IF(OR(Table1[[#This Row],[Order_Status]]="Delivered",Table1[[#This Row],[Delivery_Date]]&lt;&gt;"Not Yet Delivered"),Table1[[#This Row],[Delivery_Date]]-Table1[[#This Row],[Order_Date]],"Not Applicable")</f>
        <v>10</v>
      </c>
      <c r="M516" s="14">
        <f>Table1[[#This Row],[Unit_Cost]]-Table1[[#This Row],[Negotiated_Cost]]</f>
        <v>235.5600000000004</v>
      </c>
      <c r="N516" s="18">
        <f>Table1[[#This Row],[Defective_Units]]/Table1[[#This Row],[Quantity]]</f>
        <v>1.1235955056179775E-2</v>
      </c>
      <c r="O516" s="26">
        <f>(Table1[[#This Row],[Unit_Cost]]-Table1[[#This Row],[Negotiated_Cost]])/Table1[[#This Row],[Unit_Cost]]</f>
        <v>5.2345503433257126E-2</v>
      </c>
    </row>
    <row r="517" spans="1:15" x14ac:dyDescent="0.25">
      <c r="A517" t="s">
        <v>552</v>
      </c>
      <c r="B517" t="s">
        <v>35</v>
      </c>
      <c r="C517" s="14" t="s">
        <v>13</v>
      </c>
      <c r="D517" s="1">
        <v>45084</v>
      </c>
      <c r="E517" s="13">
        <v>45086</v>
      </c>
      <c r="F517" s="14" t="s">
        <v>14</v>
      </c>
      <c r="G517">
        <v>81</v>
      </c>
      <c r="H517">
        <v>4247.2700000000004</v>
      </c>
      <c r="I517">
        <v>4139.12</v>
      </c>
      <c r="J517">
        <v>0</v>
      </c>
      <c r="K517" s="14" t="s">
        <v>15</v>
      </c>
      <c r="L517" s="14">
        <f>IF(OR(Table1[[#This Row],[Order_Status]]="Delivered",Table1[[#This Row],[Delivery_Date]]&lt;&gt;"Not Yet Delivered"),Table1[[#This Row],[Delivery_Date]]-Table1[[#This Row],[Order_Date]],"Not Applicable")</f>
        <v>2</v>
      </c>
      <c r="M517" s="14">
        <f>Table1[[#This Row],[Unit_Cost]]-Table1[[#This Row],[Negotiated_Cost]]</f>
        <v>108.15000000000055</v>
      </c>
      <c r="N517" s="18">
        <f>Table1[[#This Row],[Defective_Units]]/Table1[[#This Row],[Quantity]]</f>
        <v>0</v>
      </c>
      <c r="O517" s="26">
        <f>(Table1[[#This Row],[Unit_Cost]]-Table1[[#This Row],[Negotiated_Cost]])/Table1[[#This Row],[Unit_Cost]]</f>
        <v>2.5463415323254829E-2</v>
      </c>
    </row>
    <row r="518" spans="1:15" x14ac:dyDescent="0.25">
      <c r="A518" t="s">
        <v>553</v>
      </c>
      <c r="B518" t="s">
        <v>17</v>
      </c>
      <c r="C518" s="14" t="s">
        <v>18</v>
      </c>
      <c r="D518" s="1">
        <v>45229</v>
      </c>
      <c r="E518" s="13">
        <v>45246</v>
      </c>
      <c r="F518" s="14" t="s">
        <v>14</v>
      </c>
      <c r="G518">
        <v>172</v>
      </c>
      <c r="H518">
        <v>4744.0200000000004</v>
      </c>
      <c r="I518">
        <v>4594.0200000000004</v>
      </c>
      <c r="J518">
        <v>1</v>
      </c>
      <c r="K518" s="14" t="s">
        <v>15</v>
      </c>
      <c r="L518" s="14">
        <f>IF(OR(Table1[[#This Row],[Order_Status]]="Delivered",Table1[[#This Row],[Delivery_Date]]&lt;&gt;"Not Yet Delivered"),Table1[[#This Row],[Delivery_Date]]-Table1[[#This Row],[Order_Date]],"Not Applicable")</f>
        <v>17</v>
      </c>
      <c r="M518" s="14">
        <f>Table1[[#This Row],[Unit_Cost]]-Table1[[#This Row],[Negotiated_Cost]]</f>
        <v>150</v>
      </c>
      <c r="N518" s="18">
        <f>Table1[[#This Row],[Defective_Units]]/Table1[[#This Row],[Quantity]]</f>
        <v>5.8139534883720929E-3</v>
      </c>
      <c r="O518" s="26">
        <f>(Table1[[#This Row],[Unit_Cost]]-Table1[[#This Row],[Negotiated_Cost]])/Table1[[#This Row],[Unit_Cost]]</f>
        <v>3.1618753715203556E-2</v>
      </c>
    </row>
    <row r="519" spans="1:15" x14ac:dyDescent="0.25">
      <c r="A519" t="s">
        <v>554</v>
      </c>
      <c r="B519" t="s">
        <v>27</v>
      </c>
      <c r="C519" s="14" t="s">
        <v>36</v>
      </c>
      <c r="D519" s="1">
        <v>45222</v>
      </c>
      <c r="E519" s="13">
        <v>45243</v>
      </c>
      <c r="F519" s="14" t="s">
        <v>14</v>
      </c>
      <c r="G519">
        <v>116</v>
      </c>
      <c r="H519">
        <v>536.13</v>
      </c>
      <c r="I519">
        <v>518.13</v>
      </c>
      <c r="J519">
        <v>1</v>
      </c>
      <c r="K519" s="14" t="s">
        <v>15</v>
      </c>
      <c r="L519" s="14">
        <f>IF(OR(Table1[[#This Row],[Order_Status]]="Delivered",Table1[[#This Row],[Delivery_Date]]&lt;&gt;"Not Yet Delivered"),Table1[[#This Row],[Delivery_Date]]-Table1[[#This Row],[Order_Date]],"Not Applicable")</f>
        <v>21</v>
      </c>
      <c r="M519" s="14">
        <f>Table1[[#This Row],[Unit_Cost]]-Table1[[#This Row],[Negotiated_Cost]]</f>
        <v>18</v>
      </c>
      <c r="N519" s="18">
        <f>Table1[[#This Row],[Defective_Units]]/Table1[[#This Row],[Quantity]]</f>
        <v>8.6206896551724137E-3</v>
      </c>
      <c r="O519" s="26">
        <f>(Table1[[#This Row],[Unit_Cost]]-Table1[[#This Row],[Negotiated_Cost]])/Table1[[#This Row],[Unit_Cost]]</f>
        <v>3.3573946617424875E-2</v>
      </c>
    </row>
    <row r="520" spans="1:15" x14ac:dyDescent="0.25">
      <c r="A520" t="s">
        <v>555</v>
      </c>
      <c r="B520" t="s">
        <v>27</v>
      </c>
      <c r="C520" s="14" t="s">
        <v>48</v>
      </c>
      <c r="D520" s="1">
        <v>45424</v>
      </c>
      <c r="E520" s="13">
        <v>45431</v>
      </c>
      <c r="F520" s="14" t="s">
        <v>14</v>
      </c>
      <c r="G520">
        <v>301</v>
      </c>
      <c r="H520">
        <v>6627.01</v>
      </c>
      <c r="I520">
        <v>6342.96</v>
      </c>
      <c r="J520">
        <v>0</v>
      </c>
      <c r="K520" s="14" t="s">
        <v>15</v>
      </c>
      <c r="L520" s="14">
        <f>IF(OR(Table1[[#This Row],[Order_Status]]="Delivered",Table1[[#This Row],[Delivery_Date]]&lt;&gt;"Not Yet Delivered"),Table1[[#This Row],[Delivery_Date]]-Table1[[#This Row],[Order_Date]],"Not Applicable")</f>
        <v>7</v>
      </c>
      <c r="M520" s="14">
        <f>Table1[[#This Row],[Unit_Cost]]-Table1[[#This Row],[Negotiated_Cost]]</f>
        <v>284.05000000000018</v>
      </c>
      <c r="N520" s="18">
        <f>Table1[[#This Row],[Defective_Units]]/Table1[[#This Row],[Quantity]]</f>
        <v>0</v>
      </c>
      <c r="O520" s="26">
        <f>(Table1[[#This Row],[Unit_Cost]]-Table1[[#This Row],[Negotiated_Cost]])/Table1[[#This Row],[Unit_Cost]]</f>
        <v>4.2862467387253099E-2</v>
      </c>
    </row>
    <row r="521" spans="1:15" x14ac:dyDescent="0.25">
      <c r="A521" t="s">
        <v>556</v>
      </c>
      <c r="B521" t="s">
        <v>17</v>
      </c>
      <c r="C521" s="14" t="s">
        <v>36</v>
      </c>
      <c r="D521" s="1">
        <v>45151</v>
      </c>
      <c r="E521" s="13">
        <v>45172</v>
      </c>
      <c r="F521" s="14" t="s">
        <v>14</v>
      </c>
      <c r="G521">
        <v>156</v>
      </c>
      <c r="H521">
        <v>487.9</v>
      </c>
      <c r="I521">
        <v>479.54</v>
      </c>
      <c r="J521">
        <v>3</v>
      </c>
      <c r="K521" s="14" t="s">
        <v>15</v>
      </c>
      <c r="L521" s="14">
        <f>IF(OR(Table1[[#This Row],[Order_Status]]="Delivered",Table1[[#This Row],[Delivery_Date]]&lt;&gt;"Not Yet Delivered"),Table1[[#This Row],[Delivery_Date]]-Table1[[#This Row],[Order_Date]],"Not Applicable")</f>
        <v>21</v>
      </c>
      <c r="M521" s="14">
        <f>Table1[[#This Row],[Unit_Cost]]-Table1[[#This Row],[Negotiated_Cost]]</f>
        <v>8.3599999999999568</v>
      </c>
      <c r="N521" s="18">
        <f>Table1[[#This Row],[Defective_Units]]/Table1[[#This Row],[Quantity]]</f>
        <v>1.9230769230769232E-2</v>
      </c>
      <c r="O521" s="26">
        <f>(Table1[[#This Row],[Unit_Cost]]-Table1[[#This Row],[Negotiated_Cost]])/Table1[[#This Row],[Unit_Cost]]</f>
        <v>1.7134658741545312E-2</v>
      </c>
    </row>
    <row r="522" spans="1:15" x14ac:dyDescent="0.25">
      <c r="A522" t="s">
        <v>557</v>
      </c>
      <c r="B522" t="s">
        <v>12</v>
      </c>
      <c r="C522" s="14" t="s">
        <v>50</v>
      </c>
      <c r="D522" s="1">
        <v>45052</v>
      </c>
      <c r="E522" s="13">
        <v>45082</v>
      </c>
      <c r="F522" s="14" t="s">
        <v>37</v>
      </c>
      <c r="G522">
        <v>495</v>
      </c>
      <c r="H522">
        <v>55177.19</v>
      </c>
      <c r="I522">
        <v>52912.98</v>
      </c>
      <c r="J522">
        <v>6</v>
      </c>
      <c r="K522" s="14" t="s">
        <v>15</v>
      </c>
      <c r="L522" s="14">
        <f>IF(OR(Table1[[#This Row],[Order_Status]]="Delivered",Table1[[#This Row],[Delivery_Date]]&lt;&gt;"Not Yet Delivered"),Table1[[#This Row],[Delivery_Date]]-Table1[[#This Row],[Order_Date]],"Not Applicable")</f>
        <v>30</v>
      </c>
      <c r="M522" s="14">
        <f>Table1[[#This Row],[Unit_Cost]]-Table1[[#This Row],[Negotiated_Cost]]</f>
        <v>2264.2099999999991</v>
      </c>
      <c r="N522" s="18">
        <f>Table1[[#This Row],[Defective_Units]]/Table1[[#This Row],[Quantity]]</f>
        <v>1.2121212121212121E-2</v>
      </c>
      <c r="O522" s="26">
        <f>(Table1[[#This Row],[Unit_Cost]]-Table1[[#This Row],[Negotiated_Cost]])/Table1[[#This Row],[Unit_Cost]]</f>
        <v>4.1035253879365713E-2</v>
      </c>
    </row>
    <row r="523" spans="1:15" x14ac:dyDescent="0.25">
      <c r="A523" t="s">
        <v>558</v>
      </c>
      <c r="B523" t="s">
        <v>27</v>
      </c>
      <c r="C523" s="14" t="s">
        <v>50</v>
      </c>
      <c r="D523" s="1">
        <v>45407</v>
      </c>
      <c r="E523" s="13">
        <v>45426</v>
      </c>
      <c r="F523" s="14" t="s">
        <v>14</v>
      </c>
      <c r="G523">
        <v>422</v>
      </c>
      <c r="H523">
        <v>51010.720000000001</v>
      </c>
      <c r="I523">
        <v>50370.1</v>
      </c>
      <c r="J523">
        <v>5</v>
      </c>
      <c r="K523" s="14" t="s">
        <v>15</v>
      </c>
      <c r="L523" s="14">
        <f>IF(OR(Table1[[#This Row],[Order_Status]]="Delivered",Table1[[#This Row],[Delivery_Date]]&lt;&gt;"Not Yet Delivered"),Table1[[#This Row],[Delivery_Date]]-Table1[[#This Row],[Order_Date]],"Not Applicable")</f>
        <v>19</v>
      </c>
      <c r="M523" s="14">
        <f>Table1[[#This Row],[Unit_Cost]]-Table1[[#This Row],[Negotiated_Cost]]</f>
        <v>640.62000000000262</v>
      </c>
      <c r="N523" s="18">
        <f>Table1[[#This Row],[Defective_Units]]/Table1[[#This Row],[Quantity]]</f>
        <v>1.1848341232227487E-2</v>
      </c>
      <c r="O523" s="26">
        <f>(Table1[[#This Row],[Unit_Cost]]-Table1[[#This Row],[Negotiated_Cost]])/Table1[[#This Row],[Unit_Cost]]</f>
        <v>1.255853671541987E-2</v>
      </c>
    </row>
    <row r="524" spans="1:15" x14ac:dyDescent="0.25">
      <c r="A524" t="s">
        <v>559</v>
      </c>
      <c r="B524" t="s">
        <v>35</v>
      </c>
      <c r="C524" s="14" t="s">
        <v>48</v>
      </c>
      <c r="D524" s="1">
        <v>45417</v>
      </c>
      <c r="E524" s="13">
        <v>45443</v>
      </c>
      <c r="F524" s="14" t="s">
        <v>14</v>
      </c>
      <c r="G524">
        <v>43</v>
      </c>
      <c r="H524">
        <v>6674</v>
      </c>
      <c r="I524">
        <v>6582.97</v>
      </c>
      <c r="J524">
        <v>0</v>
      </c>
      <c r="K524" s="14" t="s">
        <v>15</v>
      </c>
      <c r="L524" s="14">
        <f>IF(OR(Table1[[#This Row],[Order_Status]]="Delivered",Table1[[#This Row],[Delivery_Date]]&lt;&gt;"Not Yet Delivered"),Table1[[#This Row],[Delivery_Date]]-Table1[[#This Row],[Order_Date]],"Not Applicable")</f>
        <v>26</v>
      </c>
      <c r="M524" s="14">
        <f>Table1[[#This Row],[Unit_Cost]]-Table1[[#This Row],[Negotiated_Cost]]</f>
        <v>91.029999999999745</v>
      </c>
      <c r="N524" s="18">
        <f>Table1[[#This Row],[Defective_Units]]/Table1[[#This Row],[Quantity]]</f>
        <v>0</v>
      </c>
      <c r="O524" s="26">
        <f>(Table1[[#This Row],[Unit_Cost]]-Table1[[#This Row],[Negotiated_Cost]])/Table1[[#This Row],[Unit_Cost]]</f>
        <v>1.3639496553790792E-2</v>
      </c>
    </row>
    <row r="525" spans="1:15" x14ac:dyDescent="0.25">
      <c r="A525" t="s">
        <v>560</v>
      </c>
      <c r="B525" t="s">
        <v>40</v>
      </c>
      <c r="C525" s="14" t="s">
        <v>30</v>
      </c>
      <c r="D525" s="1">
        <v>45094</v>
      </c>
      <c r="E525" s="13">
        <v>45112</v>
      </c>
      <c r="F525" s="14" t="s">
        <v>14</v>
      </c>
      <c r="G525">
        <v>13</v>
      </c>
      <c r="H525">
        <v>949.7</v>
      </c>
      <c r="I525">
        <v>909.44</v>
      </c>
      <c r="J525">
        <v>0</v>
      </c>
      <c r="K525" s="14" t="s">
        <v>15</v>
      </c>
      <c r="L525" s="14">
        <f>IF(OR(Table1[[#This Row],[Order_Status]]="Delivered",Table1[[#This Row],[Delivery_Date]]&lt;&gt;"Not Yet Delivered"),Table1[[#This Row],[Delivery_Date]]-Table1[[#This Row],[Order_Date]],"Not Applicable")</f>
        <v>18</v>
      </c>
      <c r="M525" s="14">
        <f>Table1[[#This Row],[Unit_Cost]]-Table1[[#This Row],[Negotiated_Cost]]</f>
        <v>40.259999999999991</v>
      </c>
      <c r="N525" s="18">
        <f>Table1[[#This Row],[Defective_Units]]/Table1[[#This Row],[Quantity]]</f>
        <v>0</v>
      </c>
      <c r="O525" s="26">
        <f>(Table1[[#This Row],[Unit_Cost]]-Table1[[#This Row],[Negotiated_Cost]])/Table1[[#This Row],[Unit_Cost]]</f>
        <v>4.239233442139622E-2</v>
      </c>
    </row>
    <row r="526" spans="1:15" x14ac:dyDescent="0.25">
      <c r="A526" t="s">
        <v>561</v>
      </c>
      <c r="B526" t="s">
        <v>40</v>
      </c>
      <c r="C526" s="14" t="s">
        <v>30</v>
      </c>
      <c r="D526" s="1">
        <v>45584</v>
      </c>
      <c r="E526" s="13">
        <v>45595</v>
      </c>
      <c r="F526" s="14" t="s">
        <v>37</v>
      </c>
      <c r="G526">
        <v>115</v>
      </c>
      <c r="H526">
        <v>992.89</v>
      </c>
      <c r="I526">
        <v>988.82</v>
      </c>
      <c r="J526">
        <v>0</v>
      </c>
      <c r="K526" s="14" t="s">
        <v>15</v>
      </c>
      <c r="L526" s="14">
        <f>IF(OR(Table1[[#This Row],[Order_Status]]="Delivered",Table1[[#This Row],[Delivery_Date]]&lt;&gt;"Not Yet Delivered"),Table1[[#This Row],[Delivery_Date]]-Table1[[#This Row],[Order_Date]],"Not Applicable")</f>
        <v>11</v>
      </c>
      <c r="M526" s="14">
        <f>Table1[[#This Row],[Unit_Cost]]-Table1[[#This Row],[Negotiated_Cost]]</f>
        <v>4.0699999999999363</v>
      </c>
      <c r="N526" s="18">
        <f>Table1[[#This Row],[Defective_Units]]/Table1[[#This Row],[Quantity]]</f>
        <v>0</v>
      </c>
      <c r="O526" s="26">
        <f>(Table1[[#This Row],[Unit_Cost]]-Table1[[#This Row],[Negotiated_Cost]])/Table1[[#This Row],[Unit_Cost]]</f>
        <v>4.0991449203838654E-3</v>
      </c>
    </row>
    <row r="527" spans="1:15" x14ac:dyDescent="0.25">
      <c r="A527" t="s">
        <v>562</v>
      </c>
      <c r="B527" t="s">
        <v>32</v>
      </c>
      <c r="C527" s="14" t="s">
        <v>48</v>
      </c>
      <c r="D527" s="1">
        <v>45043</v>
      </c>
      <c r="E527" s="13">
        <v>45057</v>
      </c>
      <c r="F527" s="14" t="s">
        <v>14</v>
      </c>
      <c r="G527">
        <v>271</v>
      </c>
      <c r="H527">
        <v>5779.54</v>
      </c>
      <c r="I527">
        <v>5480.67</v>
      </c>
      <c r="J527">
        <v>2</v>
      </c>
      <c r="K527" s="14" t="s">
        <v>15</v>
      </c>
      <c r="L527" s="14">
        <f>IF(OR(Table1[[#This Row],[Order_Status]]="Delivered",Table1[[#This Row],[Delivery_Date]]&lt;&gt;"Not Yet Delivered"),Table1[[#This Row],[Delivery_Date]]-Table1[[#This Row],[Order_Date]],"Not Applicable")</f>
        <v>14</v>
      </c>
      <c r="M527" s="14">
        <f>Table1[[#This Row],[Unit_Cost]]-Table1[[#This Row],[Negotiated_Cost]]</f>
        <v>298.86999999999989</v>
      </c>
      <c r="N527" s="18">
        <f>Table1[[#This Row],[Defective_Units]]/Table1[[#This Row],[Quantity]]</f>
        <v>7.3800738007380072E-3</v>
      </c>
      <c r="O527" s="26">
        <f>(Table1[[#This Row],[Unit_Cost]]-Table1[[#This Row],[Negotiated_Cost]])/Table1[[#This Row],[Unit_Cost]]</f>
        <v>5.1711727922983473E-2</v>
      </c>
    </row>
    <row r="528" spans="1:15" x14ac:dyDescent="0.25">
      <c r="A528" t="s">
        <v>563</v>
      </c>
      <c r="B528" t="s">
        <v>12</v>
      </c>
      <c r="C528" s="14" t="s">
        <v>48</v>
      </c>
      <c r="D528" s="1">
        <v>45125</v>
      </c>
      <c r="E528" s="14" t="s">
        <v>2057</v>
      </c>
      <c r="F528" s="14" t="s">
        <v>22</v>
      </c>
      <c r="G528">
        <v>134</v>
      </c>
      <c r="H528">
        <v>6972.81</v>
      </c>
      <c r="I528">
        <v>6944.23</v>
      </c>
      <c r="J528">
        <v>2</v>
      </c>
      <c r="K528" s="14" t="s">
        <v>15</v>
      </c>
      <c r="L528" s="14" t="str">
        <f>IF(OR(Table1[[#This Row],[Order_Status]]="Delivered",Table1[[#This Row],[Delivery_Date]]&lt;&gt;"Not Yet Delivered"),Table1[[#This Row],[Delivery_Date]]-Table1[[#This Row],[Order_Date]],"Not Applicable")</f>
        <v>Not Applicable</v>
      </c>
      <c r="M528" s="14">
        <f>Table1[[#This Row],[Unit_Cost]]-Table1[[#This Row],[Negotiated_Cost]]</f>
        <v>28.580000000000837</v>
      </c>
      <c r="N528" s="18">
        <f>Table1[[#This Row],[Defective_Units]]/Table1[[#This Row],[Quantity]]</f>
        <v>1.4925373134328358E-2</v>
      </c>
      <c r="O528" s="26">
        <f>(Table1[[#This Row],[Unit_Cost]]-Table1[[#This Row],[Negotiated_Cost]])/Table1[[#This Row],[Unit_Cost]]</f>
        <v>4.0987779675626954E-3</v>
      </c>
    </row>
    <row r="529" spans="1:15" x14ac:dyDescent="0.25">
      <c r="A529" t="s">
        <v>564</v>
      </c>
      <c r="B529" t="s">
        <v>46</v>
      </c>
      <c r="C529" s="14" t="s">
        <v>13</v>
      </c>
      <c r="D529" s="1">
        <v>45132</v>
      </c>
      <c r="E529" s="13">
        <v>45158</v>
      </c>
      <c r="F529" s="14" t="s">
        <v>14</v>
      </c>
      <c r="G529">
        <v>478</v>
      </c>
      <c r="H529">
        <v>4298.6499999999996</v>
      </c>
      <c r="I529">
        <v>4238.26</v>
      </c>
      <c r="J529">
        <v>1</v>
      </c>
      <c r="K529" s="14" t="s">
        <v>15</v>
      </c>
      <c r="L529" s="14">
        <f>IF(OR(Table1[[#This Row],[Order_Status]]="Delivered",Table1[[#This Row],[Delivery_Date]]&lt;&gt;"Not Yet Delivered"),Table1[[#This Row],[Delivery_Date]]-Table1[[#This Row],[Order_Date]],"Not Applicable")</f>
        <v>26</v>
      </c>
      <c r="M529" s="14">
        <f>Table1[[#This Row],[Unit_Cost]]-Table1[[#This Row],[Negotiated_Cost]]</f>
        <v>60.389999999999418</v>
      </c>
      <c r="N529" s="18">
        <f>Table1[[#This Row],[Defective_Units]]/Table1[[#This Row],[Quantity]]</f>
        <v>2.0920502092050207E-3</v>
      </c>
      <c r="O529" s="26">
        <f>(Table1[[#This Row],[Unit_Cost]]-Table1[[#This Row],[Negotiated_Cost]])/Table1[[#This Row],[Unit_Cost]]</f>
        <v>1.4048596652437259E-2</v>
      </c>
    </row>
    <row r="530" spans="1:15" x14ac:dyDescent="0.25">
      <c r="A530" t="s">
        <v>565</v>
      </c>
      <c r="B530" t="s">
        <v>46</v>
      </c>
      <c r="C530" s="14" t="s">
        <v>48</v>
      </c>
      <c r="D530" s="1">
        <v>45560</v>
      </c>
      <c r="E530" s="13">
        <v>45564</v>
      </c>
      <c r="F530" s="14" t="s">
        <v>14</v>
      </c>
      <c r="G530">
        <v>363</v>
      </c>
      <c r="H530">
        <v>6536.95</v>
      </c>
      <c r="I530">
        <v>6429.53</v>
      </c>
      <c r="J530">
        <v>4</v>
      </c>
      <c r="K530" s="14" t="s">
        <v>15</v>
      </c>
      <c r="L530" s="14">
        <f>IF(OR(Table1[[#This Row],[Order_Status]]="Delivered",Table1[[#This Row],[Delivery_Date]]&lt;&gt;"Not Yet Delivered"),Table1[[#This Row],[Delivery_Date]]-Table1[[#This Row],[Order_Date]],"Not Applicable")</f>
        <v>4</v>
      </c>
      <c r="M530" s="14">
        <f>Table1[[#This Row],[Unit_Cost]]-Table1[[#This Row],[Negotiated_Cost]]</f>
        <v>107.42000000000007</v>
      </c>
      <c r="N530" s="18">
        <f>Table1[[#This Row],[Defective_Units]]/Table1[[#This Row],[Quantity]]</f>
        <v>1.1019283746556474E-2</v>
      </c>
      <c r="O530" s="26">
        <f>(Table1[[#This Row],[Unit_Cost]]-Table1[[#This Row],[Negotiated_Cost]])/Table1[[#This Row],[Unit_Cost]]</f>
        <v>1.6432740039314983E-2</v>
      </c>
    </row>
    <row r="531" spans="1:15" x14ac:dyDescent="0.25">
      <c r="A531" t="s">
        <v>566</v>
      </c>
      <c r="B531" t="s">
        <v>32</v>
      </c>
      <c r="C531" s="14" t="s">
        <v>24</v>
      </c>
      <c r="D531" s="1">
        <v>45393</v>
      </c>
      <c r="E531" s="13">
        <v>45418</v>
      </c>
      <c r="F531" s="14" t="s">
        <v>37</v>
      </c>
      <c r="G531">
        <v>386</v>
      </c>
      <c r="H531">
        <v>11084.11</v>
      </c>
      <c r="I531">
        <v>10940.05</v>
      </c>
      <c r="J531">
        <v>5</v>
      </c>
      <c r="K531" s="14" t="s">
        <v>15</v>
      </c>
      <c r="L531" s="14">
        <f>IF(OR(Table1[[#This Row],[Order_Status]]="Delivered",Table1[[#This Row],[Delivery_Date]]&lt;&gt;"Not Yet Delivered"),Table1[[#This Row],[Delivery_Date]]-Table1[[#This Row],[Order_Date]],"Not Applicable")</f>
        <v>25</v>
      </c>
      <c r="M531" s="14">
        <f>Table1[[#This Row],[Unit_Cost]]-Table1[[#This Row],[Negotiated_Cost]]</f>
        <v>144.06000000000131</v>
      </c>
      <c r="N531" s="18">
        <f>Table1[[#This Row],[Defective_Units]]/Table1[[#This Row],[Quantity]]</f>
        <v>1.2953367875647668E-2</v>
      </c>
      <c r="O531" s="26">
        <f>(Table1[[#This Row],[Unit_Cost]]-Table1[[#This Row],[Negotiated_Cost]])/Table1[[#This Row],[Unit_Cost]]</f>
        <v>1.2996983970747431E-2</v>
      </c>
    </row>
    <row r="532" spans="1:15" x14ac:dyDescent="0.25">
      <c r="A532" t="s">
        <v>567</v>
      </c>
      <c r="B532" t="s">
        <v>17</v>
      </c>
      <c r="C532" s="14" t="s">
        <v>50</v>
      </c>
      <c r="D532" s="1">
        <v>45538</v>
      </c>
      <c r="E532" s="13">
        <v>45555</v>
      </c>
      <c r="F532" s="14" t="s">
        <v>14</v>
      </c>
      <c r="G532">
        <v>11</v>
      </c>
      <c r="H532">
        <v>46097.18</v>
      </c>
      <c r="I532">
        <v>45510.74</v>
      </c>
      <c r="J532">
        <v>0</v>
      </c>
      <c r="K532" s="14" t="s">
        <v>15</v>
      </c>
      <c r="L532" s="14">
        <f>IF(OR(Table1[[#This Row],[Order_Status]]="Delivered",Table1[[#This Row],[Delivery_Date]]&lt;&gt;"Not Yet Delivered"),Table1[[#This Row],[Delivery_Date]]-Table1[[#This Row],[Order_Date]],"Not Applicable")</f>
        <v>17</v>
      </c>
      <c r="M532" s="14">
        <f>Table1[[#This Row],[Unit_Cost]]-Table1[[#This Row],[Negotiated_Cost]]</f>
        <v>586.44000000000233</v>
      </c>
      <c r="N532" s="18">
        <f>Table1[[#This Row],[Defective_Units]]/Table1[[#This Row],[Quantity]]</f>
        <v>0</v>
      </c>
      <c r="O532" s="26">
        <f>(Table1[[#This Row],[Unit_Cost]]-Table1[[#This Row],[Negotiated_Cost]])/Table1[[#This Row],[Unit_Cost]]</f>
        <v>1.2721819425830437E-2</v>
      </c>
    </row>
    <row r="533" spans="1:15" x14ac:dyDescent="0.25">
      <c r="A533" t="s">
        <v>568</v>
      </c>
      <c r="B533" t="s">
        <v>17</v>
      </c>
      <c r="C533" s="14" t="s">
        <v>30</v>
      </c>
      <c r="D533" s="1">
        <v>45480</v>
      </c>
      <c r="E533" s="13">
        <v>45508</v>
      </c>
      <c r="F533" s="14" t="s">
        <v>37</v>
      </c>
      <c r="G533">
        <v>277</v>
      </c>
      <c r="H533">
        <v>825.95</v>
      </c>
      <c r="I533">
        <v>818.95</v>
      </c>
      <c r="J533">
        <v>4</v>
      </c>
      <c r="K533" s="14" t="s">
        <v>15</v>
      </c>
      <c r="L533" s="14">
        <f>IF(OR(Table1[[#This Row],[Order_Status]]="Delivered",Table1[[#This Row],[Delivery_Date]]&lt;&gt;"Not Yet Delivered"),Table1[[#This Row],[Delivery_Date]]-Table1[[#This Row],[Order_Date]],"Not Applicable")</f>
        <v>28</v>
      </c>
      <c r="M533" s="14">
        <f>Table1[[#This Row],[Unit_Cost]]-Table1[[#This Row],[Negotiated_Cost]]</f>
        <v>7</v>
      </c>
      <c r="N533" s="18">
        <f>Table1[[#This Row],[Defective_Units]]/Table1[[#This Row],[Quantity]]</f>
        <v>1.444043321299639E-2</v>
      </c>
      <c r="O533" s="26">
        <f>(Table1[[#This Row],[Unit_Cost]]-Table1[[#This Row],[Negotiated_Cost]])/Table1[[#This Row],[Unit_Cost]]</f>
        <v>8.475089291119316E-3</v>
      </c>
    </row>
    <row r="534" spans="1:15" x14ac:dyDescent="0.25">
      <c r="A534" t="s">
        <v>569</v>
      </c>
      <c r="B534" t="s">
        <v>46</v>
      </c>
      <c r="C534" s="14" t="s">
        <v>55</v>
      </c>
      <c r="D534" s="1">
        <v>45052</v>
      </c>
      <c r="E534" s="13">
        <v>45064</v>
      </c>
      <c r="F534" s="14" t="s">
        <v>14</v>
      </c>
      <c r="G534">
        <v>413</v>
      </c>
      <c r="H534">
        <v>13586.33</v>
      </c>
      <c r="I534">
        <v>13316.8</v>
      </c>
      <c r="J534">
        <v>1</v>
      </c>
      <c r="K534" s="14" t="s">
        <v>15</v>
      </c>
      <c r="L534" s="14">
        <f>IF(OR(Table1[[#This Row],[Order_Status]]="Delivered",Table1[[#This Row],[Delivery_Date]]&lt;&gt;"Not Yet Delivered"),Table1[[#This Row],[Delivery_Date]]-Table1[[#This Row],[Order_Date]],"Not Applicable")</f>
        <v>12</v>
      </c>
      <c r="M534" s="14">
        <f>Table1[[#This Row],[Unit_Cost]]-Table1[[#This Row],[Negotiated_Cost]]</f>
        <v>269.53000000000065</v>
      </c>
      <c r="N534" s="18">
        <f>Table1[[#This Row],[Defective_Units]]/Table1[[#This Row],[Quantity]]</f>
        <v>2.4213075060532689E-3</v>
      </c>
      <c r="O534" s="26">
        <f>(Table1[[#This Row],[Unit_Cost]]-Table1[[#This Row],[Negotiated_Cost]])/Table1[[#This Row],[Unit_Cost]]</f>
        <v>1.9838322784740299E-2</v>
      </c>
    </row>
    <row r="535" spans="1:15" x14ac:dyDescent="0.25">
      <c r="A535" t="s">
        <v>570</v>
      </c>
      <c r="B535" t="s">
        <v>46</v>
      </c>
      <c r="C535" s="14" t="s">
        <v>55</v>
      </c>
      <c r="D535" s="1">
        <v>45004</v>
      </c>
      <c r="E535" s="13">
        <v>45029</v>
      </c>
      <c r="F535" s="14" t="s">
        <v>14</v>
      </c>
      <c r="G535">
        <v>439</v>
      </c>
      <c r="H535">
        <v>15134.28</v>
      </c>
      <c r="I535">
        <v>14524.81</v>
      </c>
      <c r="J535">
        <v>12</v>
      </c>
      <c r="K535" s="14" t="s">
        <v>15</v>
      </c>
      <c r="L535" s="14">
        <f>IF(OR(Table1[[#This Row],[Order_Status]]="Delivered",Table1[[#This Row],[Delivery_Date]]&lt;&gt;"Not Yet Delivered"),Table1[[#This Row],[Delivery_Date]]-Table1[[#This Row],[Order_Date]],"Not Applicable")</f>
        <v>25</v>
      </c>
      <c r="M535" s="14">
        <f>Table1[[#This Row],[Unit_Cost]]-Table1[[#This Row],[Negotiated_Cost]]</f>
        <v>609.47000000000116</v>
      </c>
      <c r="N535" s="18">
        <f>Table1[[#This Row],[Defective_Units]]/Table1[[#This Row],[Quantity]]</f>
        <v>2.7334851936218679E-2</v>
      </c>
      <c r="O535" s="26">
        <f>(Table1[[#This Row],[Unit_Cost]]-Table1[[#This Row],[Negotiated_Cost]])/Table1[[#This Row],[Unit_Cost]]</f>
        <v>4.0270828873259987E-2</v>
      </c>
    </row>
    <row r="536" spans="1:15" x14ac:dyDescent="0.25">
      <c r="A536" t="s">
        <v>571</v>
      </c>
      <c r="B536" t="s">
        <v>17</v>
      </c>
      <c r="C536" s="14" t="s">
        <v>55</v>
      </c>
      <c r="D536" s="1">
        <v>45253</v>
      </c>
      <c r="E536" s="13">
        <v>45262</v>
      </c>
      <c r="F536" s="14" t="s">
        <v>14</v>
      </c>
      <c r="G536">
        <v>397</v>
      </c>
      <c r="H536">
        <v>14425.82</v>
      </c>
      <c r="I536">
        <v>14077.73</v>
      </c>
      <c r="J536">
        <v>4</v>
      </c>
      <c r="K536" s="14" t="s">
        <v>15</v>
      </c>
      <c r="L536" s="14">
        <f>IF(OR(Table1[[#This Row],[Order_Status]]="Delivered",Table1[[#This Row],[Delivery_Date]]&lt;&gt;"Not Yet Delivered"),Table1[[#This Row],[Delivery_Date]]-Table1[[#This Row],[Order_Date]],"Not Applicable")</f>
        <v>9</v>
      </c>
      <c r="M536" s="14">
        <f>Table1[[#This Row],[Unit_Cost]]-Table1[[#This Row],[Negotiated_Cost]]</f>
        <v>348.09000000000015</v>
      </c>
      <c r="N536" s="18">
        <f>Table1[[#This Row],[Defective_Units]]/Table1[[#This Row],[Quantity]]</f>
        <v>1.0075566750629723E-2</v>
      </c>
      <c r="O536" s="26">
        <f>(Table1[[#This Row],[Unit_Cost]]-Table1[[#This Row],[Negotiated_Cost]])/Table1[[#This Row],[Unit_Cost]]</f>
        <v>2.412965086213471E-2</v>
      </c>
    </row>
    <row r="537" spans="1:15" x14ac:dyDescent="0.25">
      <c r="A537" t="s">
        <v>572</v>
      </c>
      <c r="B537" t="s">
        <v>40</v>
      </c>
      <c r="C537" s="14" t="s">
        <v>18</v>
      </c>
      <c r="D537" s="1">
        <v>45209</v>
      </c>
      <c r="E537" s="13">
        <v>45222</v>
      </c>
      <c r="F537" s="14" t="s">
        <v>14</v>
      </c>
      <c r="G537">
        <v>5</v>
      </c>
      <c r="H537">
        <v>5599.47</v>
      </c>
      <c r="I537">
        <v>5548.77</v>
      </c>
      <c r="J537">
        <v>0</v>
      </c>
      <c r="K537" s="14" t="s">
        <v>15</v>
      </c>
      <c r="L537" s="14">
        <f>IF(OR(Table1[[#This Row],[Order_Status]]="Delivered",Table1[[#This Row],[Delivery_Date]]&lt;&gt;"Not Yet Delivered"),Table1[[#This Row],[Delivery_Date]]-Table1[[#This Row],[Order_Date]],"Not Applicable")</f>
        <v>13</v>
      </c>
      <c r="M537" s="14">
        <f>Table1[[#This Row],[Unit_Cost]]-Table1[[#This Row],[Negotiated_Cost]]</f>
        <v>50.699999999999818</v>
      </c>
      <c r="N537" s="18">
        <f>Table1[[#This Row],[Defective_Units]]/Table1[[#This Row],[Quantity]]</f>
        <v>0</v>
      </c>
      <c r="O537" s="26">
        <f>(Table1[[#This Row],[Unit_Cost]]-Table1[[#This Row],[Negotiated_Cost]])/Table1[[#This Row],[Unit_Cost]]</f>
        <v>9.0544283655417061E-3</v>
      </c>
    </row>
    <row r="538" spans="1:15" x14ac:dyDescent="0.25">
      <c r="A538" t="s">
        <v>573</v>
      </c>
      <c r="B538" t="s">
        <v>46</v>
      </c>
      <c r="C538" s="14" t="s">
        <v>30</v>
      </c>
      <c r="D538" s="1">
        <v>45625</v>
      </c>
      <c r="E538" s="13">
        <v>45642</v>
      </c>
      <c r="F538" s="14" t="s">
        <v>37</v>
      </c>
      <c r="G538">
        <v>387</v>
      </c>
      <c r="H538">
        <v>888.56</v>
      </c>
      <c r="I538">
        <v>877.53</v>
      </c>
      <c r="J538">
        <v>3</v>
      </c>
      <c r="K538" s="14" t="s">
        <v>15</v>
      </c>
      <c r="L538" s="14">
        <f>IF(OR(Table1[[#This Row],[Order_Status]]="Delivered",Table1[[#This Row],[Delivery_Date]]&lt;&gt;"Not Yet Delivered"),Table1[[#This Row],[Delivery_Date]]-Table1[[#This Row],[Order_Date]],"Not Applicable")</f>
        <v>17</v>
      </c>
      <c r="M538" s="14">
        <f>Table1[[#This Row],[Unit_Cost]]-Table1[[#This Row],[Negotiated_Cost]]</f>
        <v>11.029999999999973</v>
      </c>
      <c r="N538" s="18">
        <f>Table1[[#This Row],[Defective_Units]]/Table1[[#This Row],[Quantity]]</f>
        <v>7.7519379844961239E-3</v>
      </c>
      <c r="O538" s="26">
        <f>(Table1[[#This Row],[Unit_Cost]]-Table1[[#This Row],[Negotiated_Cost]])/Table1[[#This Row],[Unit_Cost]]</f>
        <v>1.2413342936886618E-2</v>
      </c>
    </row>
    <row r="539" spans="1:15" x14ac:dyDescent="0.25">
      <c r="A539" t="s">
        <v>574</v>
      </c>
      <c r="B539" t="s">
        <v>12</v>
      </c>
      <c r="C539" s="14" t="s">
        <v>50</v>
      </c>
      <c r="D539" s="1">
        <v>44950</v>
      </c>
      <c r="E539" s="13">
        <v>44965</v>
      </c>
      <c r="F539" s="14" t="s">
        <v>14</v>
      </c>
      <c r="G539">
        <v>120</v>
      </c>
      <c r="H539">
        <v>52061.69</v>
      </c>
      <c r="I539">
        <v>50211.77</v>
      </c>
      <c r="J539">
        <v>0</v>
      </c>
      <c r="K539" s="14" t="s">
        <v>15</v>
      </c>
      <c r="L539" s="14">
        <f>IF(OR(Table1[[#This Row],[Order_Status]]="Delivered",Table1[[#This Row],[Delivery_Date]]&lt;&gt;"Not Yet Delivered"),Table1[[#This Row],[Delivery_Date]]-Table1[[#This Row],[Order_Date]],"Not Applicable")</f>
        <v>15</v>
      </c>
      <c r="M539" s="14">
        <f>Table1[[#This Row],[Unit_Cost]]-Table1[[#This Row],[Negotiated_Cost]]</f>
        <v>1849.9200000000055</v>
      </c>
      <c r="N539" s="18">
        <f>Table1[[#This Row],[Defective_Units]]/Table1[[#This Row],[Quantity]]</f>
        <v>0</v>
      </c>
      <c r="O539" s="26">
        <f>(Table1[[#This Row],[Unit_Cost]]-Table1[[#This Row],[Negotiated_Cost]])/Table1[[#This Row],[Unit_Cost]]</f>
        <v>3.5533229904753487E-2</v>
      </c>
    </row>
    <row r="540" spans="1:15" x14ac:dyDescent="0.25">
      <c r="A540" t="s">
        <v>575</v>
      </c>
      <c r="B540" t="s">
        <v>35</v>
      </c>
      <c r="C540" s="14" t="s">
        <v>13</v>
      </c>
      <c r="D540" s="1">
        <v>45517</v>
      </c>
      <c r="E540" s="13">
        <v>45520</v>
      </c>
      <c r="F540" s="14" t="s">
        <v>37</v>
      </c>
      <c r="G540">
        <v>391</v>
      </c>
      <c r="H540">
        <v>4265.33</v>
      </c>
      <c r="I540">
        <v>4230.3900000000003</v>
      </c>
      <c r="J540">
        <v>1</v>
      </c>
      <c r="K540" s="14" t="s">
        <v>15</v>
      </c>
      <c r="L540" s="14">
        <f>IF(OR(Table1[[#This Row],[Order_Status]]="Delivered",Table1[[#This Row],[Delivery_Date]]&lt;&gt;"Not Yet Delivered"),Table1[[#This Row],[Delivery_Date]]-Table1[[#This Row],[Order_Date]],"Not Applicable")</f>
        <v>3</v>
      </c>
      <c r="M540" s="14">
        <f>Table1[[#This Row],[Unit_Cost]]-Table1[[#This Row],[Negotiated_Cost]]</f>
        <v>34.9399999999996</v>
      </c>
      <c r="N540" s="18">
        <f>Table1[[#This Row],[Defective_Units]]/Table1[[#This Row],[Quantity]]</f>
        <v>2.5575447570332483E-3</v>
      </c>
      <c r="O540" s="26">
        <f>(Table1[[#This Row],[Unit_Cost]]-Table1[[#This Row],[Negotiated_Cost]])/Table1[[#This Row],[Unit_Cost]]</f>
        <v>8.1916287837048019E-3</v>
      </c>
    </row>
    <row r="541" spans="1:15" x14ac:dyDescent="0.25">
      <c r="A541" t="s">
        <v>576</v>
      </c>
      <c r="B541" t="s">
        <v>46</v>
      </c>
      <c r="C541" s="14" t="s">
        <v>50</v>
      </c>
      <c r="D541" s="1">
        <v>44927</v>
      </c>
      <c r="E541" s="13">
        <v>44953</v>
      </c>
      <c r="F541" s="14" t="s">
        <v>14</v>
      </c>
      <c r="G541">
        <v>38</v>
      </c>
      <c r="H541">
        <v>50671.58</v>
      </c>
      <c r="I541">
        <v>48717.26</v>
      </c>
      <c r="J541">
        <v>0</v>
      </c>
      <c r="K541" s="14" t="s">
        <v>15</v>
      </c>
      <c r="L541" s="14">
        <f>IF(OR(Table1[[#This Row],[Order_Status]]="Delivered",Table1[[#This Row],[Delivery_Date]]&lt;&gt;"Not Yet Delivered"),Table1[[#This Row],[Delivery_Date]]-Table1[[#This Row],[Order_Date]],"Not Applicable")</f>
        <v>26</v>
      </c>
      <c r="M541" s="14">
        <f>Table1[[#This Row],[Unit_Cost]]-Table1[[#This Row],[Negotiated_Cost]]</f>
        <v>1954.3199999999997</v>
      </c>
      <c r="N541" s="18">
        <f>Table1[[#This Row],[Defective_Units]]/Table1[[#This Row],[Quantity]]</f>
        <v>0</v>
      </c>
      <c r="O541" s="26">
        <f>(Table1[[#This Row],[Unit_Cost]]-Table1[[#This Row],[Negotiated_Cost]])/Table1[[#This Row],[Unit_Cost]]</f>
        <v>3.8568365146695635E-2</v>
      </c>
    </row>
    <row r="542" spans="1:15" x14ac:dyDescent="0.25">
      <c r="A542" t="s">
        <v>577</v>
      </c>
      <c r="B542" t="s">
        <v>32</v>
      </c>
      <c r="C542" s="14" t="s">
        <v>48</v>
      </c>
      <c r="D542" s="1">
        <v>44940</v>
      </c>
      <c r="E542" s="13">
        <v>44946</v>
      </c>
      <c r="F542" s="14" t="s">
        <v>14</v>
      </c>
      <c r="G542">
        <v>396</v>
      </c>
      <c r="H542">
        <v>5905.91</v>
      </c>
      <c r="I542">
        <v>5719.52</v>
      </c>
      <c r="J542">
        <v>4</v>
      </c>
      <c r="K542" s="14" t="s">
        <v>15</v>
      </c>
      <c r="L542" s="14">
        <f>IF(OR(Table1[[#This Row],[Order_Status]]="Delivered",Table1[[#This Row],[Delivery_Date]]&lt;&gt;"Not Yet Delivered"),Table1[[#This Row],[Delivery_Date]]-Table1[[#This Row],[Order_Date]],"Not Applicable")</f>
        <v>6</v>
      </c>
      <c r="M542" s="14">
        <f>Table1[[#This Row],[Unit_Cost]]-Table1[[#This Row],[Negotiated_Cost]]</f>
        <v>186.38999999999942</v>
      </c>
      <c r="N542" s="18">
        <f>Table1[[#This Row],[Defective_Units]]/Table1[[#This Row],[Quantity]]</f>
        <v>1.0101010101010102E-2</v>
      </c>
      <c r="O542" s="26">
        <f>(Table1[[#This Row],[Unit_Cost]]-Table1[[#This Row],[Negotiated_Cost]])/Table1[[#This Row],[Unit_Cost]]</f>
        <v>3.1559912020332079E-2</v>
      </c>
    </row>
    <row r="543" spans="1:15" x14ac:dyDescent="0.25">
      <c r="A543" t="s">
        <v>578</v>
      </c>
      <c r="B543" t="s">
        <v>32</v>
      </c>
      <c r="C543" s="14" t="s">
        <v>36</v>
      </c>
      <c r="D543" s="1">
        <v>45217</v>
      </c>
      <c r="E543" s="13">
        <v>45235</v>
      </c>
      <c r="F543" s="14" t="s">
        <v>14</v>
      </c>
      <c r="G543">
        <v>489</v>
      </c>
      <c r="H543">
        <v>525.45000000000005</v>
      </c>
      <c r="I543">
        <v>514.38</v>
      </c>
      <c r="J543">
        <v>0</v>
      </c>
      <c r="K543" s="14" t="s">
        <v>25</v>
      </c>
      <c r="L543" s="14">
        <f>IF(OR(Table1[[#This Row],[Order_Status]]="Delivered",Table1[[#This Row],[Delivery_Date]]&lt;&gt;"Not Yet Delivered"),Table1[[#This Row],[Delivery_Date]]-Table1[[#This Row],[Order_Date]],"Not Applicable")</f>
        <v>18</v>
      </c>
      <c r="M543" s="14">
        <f>Table1[[#This Row],[Unit_Cost]]-Table1[[#This Row],[Negotiated_Cost]]</f>
        <v>11.07000000000005</v>
      </c>
      <c r="N543" s="18">
        <f>Table1[[#This Row],[Defective_Units]]/Table1[[#This Row],[Quantity]]</f>
        <v>0</v>
      </c>
      <c r="O543" s="26">
        <f>(Table1[[#This Row],[Unit_Cost]]-Table1[[#This Row],[Negotiated_Cost]])/Table1[[#This Row],[Unit_Cost]]</f>
        <v>2.106765629460472E-2</v>
      </c>
    </row>
    <row r="544" spans="1:15" x14ac:dyDescent="0.25">
      <c r="A544" t="s">
        <v>579</v>
      </c>
      <c r="B544" t="s">
        <v>27</v>
      </c>
      <c r="C544" s="14" t="s">
        <v>13</v>
      </c>
      <c r="D544" s="1">
        <v>45316</v>
      </c>
      <c r="E544" s="13">
        <v>45337</v>
      </c>
      <c r="F544" s="14" t="s">
        <v>14</v>
      </c>
      <c r="G544">
        <v>85</v>
      </c>
      <c r="H544">
        <v>4538.8500000000004</v>
      </c>
      <c r="I544">
        <v>4385.05</v>
      </c>
      <c r="J544">
        <v>1</v>
      </c>
      <c r="K544" s="14" t="s">
        <v>15</v>
      </c>
      <c r="L544" s="14">
        <f>IF(OR(Table1[[#This Row],[Order_Status]]="Delivered",Table1[[#This Row],[Delivery_Date]]&lt;&gt;"Not Yet Delivered"),Table1[[#This Row],[Delivery_Date]]-Table1[[#This Row],[Order_Date]],"Not Applicable")</f>
        <v>21</v>
      </c>
      <c r="M544" s="14">
        <f>Table1[[#This Row],[Unit_Cost]]-Table1[[#This Row],[Negotiated_Cost]]</f>
        <v>153.80000000000018</v>
      </c>
      <c r="N544" s="18">
        <f>Table1[[#This Row],[Defective_Units]]/Table1[[#This Row],[Quantity]]</f>
        <v>1.1764705882352941E-2</v>
      </c>
      <c r="O544" s="26">
        <f>(Table1[[#This Row],[Unit_Cost]]-Table1[[#This Row],[Negotiated_Cost]])/Table1[[#This Row],[Unit_Cost]]</f>
        <v>3.3885235246813659E-2</v>
      </c>
    </row>
    <row r="545" spans="1:15" x14ac:dyDescent="0.25">
      <c r="A545" t="s">
        <v>580</v>
      </c>
      <c r="B545" t="s">
        <v>20</v>
      </c>
      <c r="C545" s="14" t="s">
        <v>44</v>
      </c>
      <c r="D545" s="1">
        <v>45191</v>
      </c>
      <c r="E545" s="13">
        <v>45214</v>
      </c>
      <c r="F545" s="14" t="s">
        <v>37</v>
      </c>
      <c r="G545">
        <v>367</v>
      </c>
      <c r="H545">
        <v>8566.3700000000008</v>
      </c>
      <c r="I545">
        <v>8486.1299999999992</v>
      </c>
      <c r="J545">
        <v>7</v>
      </c>
      <c r="K545" s="14" t="s">
        <v>15</v>
      </c>
      <c r="L545" s="14">
        <f>IF(OR(Table1[[#This Row],[Order_Status]]="Delivered",Table1[[#This Row],[Delivery_Date]]&lt;&gt;"Not Yet Delivered"),Table1[[#This Row],[Delivery_Date]]-Table1[[#This Row],[Order_Date]],"Not Applicable")</f>
        <v>23</v>
      </c>
      <c r="M545" s="14">
        <f>Table1[[#This Row],[Unit_Cost]]-Table1[[#This Row],[Negotiated_Cost]]</f>
        <v>80.240000000001601</v>
      </c>
      <c r="N545" s="18">
        <f>Table1[[#This Row],[Defective_Units]]/Table1[[#This Row],[Quantity]]</f>
        <v>1.9073569482288829E-2</v>
      </c>
      <c r="O545" s="26">
        <f>(Table1[[#This Row],[Unit_Cost]]-Table1[[#This Row],[Negotiated_Cost]])/Table1[[#This Row],[Unit_Cost]]</f>
        <v>9.3668613426692512E-3</v>
      </c>
    </row>
    <row r="546" spans="1:15" x14ac:dyDescent="0.25">
      <c r="A546" t="s">
        <v>581</v>
      </c>
      <c r="B546" t="s">
        <v>20</v>
      </c>
      <c r="C546" s="14" t="s">
        <v>13</v>
      </c>
      <c r="D546" s="1">
        <v>45023</v>
      </c>
      <c r="E546" s="13">
        <v>45042</v>
      </c>
      <c r="F546" s="14" t="s">
        <v>14</v>
      </c>
      <c r="G546">
        <v>5</v>
      </c>
      <c r="H546">
        <v>3847.73</v>
      </c>
      <c r="I546">
        <v>3735.16</v>
      </c>
      <c r="J546">
        <v>0</v>
      </c>
      <c r="K546" s="14" t="s">
        <v>15</v>
      </c>
      <c r="L546" s="14">
        <f>IF(OR(Table1[[#This Row],[Order_Status]]="Delivered",Table1[[#This Row],[Delivery_Date]]&lt;&gt;"Not Yet Delivered"),Table1[[#This Row],[Delivery_Date]]-Table1[[#This Row],[Order_Date]],"Not Applicable")</f>
        <v>19</v>
      </c>
      <c r="M546" s="14">
        <f>Table1[[#This Row],[Unit_Cost]]-Table1[[#This Row],[Negotiated_Cost]]</f>
        <v>112.57000000000016</v>
      </c>
      <c r="N546" s="18">
        <f>Table1[[#This Row],[Defective_Units]]/Table1[[#This Row],[Quantity]]</f>
        <v>0</v>
      </c>
      <c r="O546" s="26">
        <f>(Table1[[#This Row],[Unit_Cost]]-Table1[[#This Row],[Negotiated_Cost]])/Table1[[#This Row],[Unit_Cost]]</f>
        <v>2.9256210804812232E-2</v>
      </c>
    </row>
    <row r="547" spans="1:15" x14ac:dyDescent="0.25">
      <c r="A547" t="s">
        <v>582</v>
      </c>
      <c r="B547" t="s">
        <v>12</v>
      </c>
      <c r="C547" s="14" t="s">
        <v>13</v>
      </c>
      <c r="D547" s="1">
        <v>45626</v>
      </c>
      <c r="E547" s="13">
        <v>45645</v>
      </c>
      <c r="F547" s="14" t="s">
        <v>14</v>
      </c>
      <c r="G547">
        <v>74</v>
      </c>
      <c r="H547">
        <v>4202.57</v>
      </c>
      <c r="I547">
        <v>4009.08</v>
      </c>
      <c r="J547">
        <v>0</v>
      </c>
      <c r="K547" s="14" t="s">
        <v>15</v>
      </c>
      <c r="L547" s="14">
        <f>IF(OR(Table1[[#This Row],[Order_Status]]="Delivered",Table1[[#This Row],[Delivery_Date]]&lt;&gt;"Not Yet Delivered"),Table1[[#This Row],[Delivery_Date]]-Table1[[#This Row],[Order_Date]],"Not Applicable")</f>
        <v>19</v>
      </c>
      <c r="M547" s="14">
        <f>Table1[[#This Row],[Unit_Cost]]-Table1[[#This Row],[Negotiated_Cost]]</f>
        <v>193.48999999999978</v>
      </c>
      <c r="N547" s="18">
        <f>Table1[[#This Row],[Defective_Units]]/Table1[[#This Row],[Quantity]]</f>
        <v>0</v>
      </c>
      <c r="O547" s="26">
        <f>(Table1[[#This Row],[Unit_Cost]]-Table1[[#This Row],[Negotiated_Cost]])/Table1[[#This Row],[Unit_Cost]]</f>
        <v>4.6040874988399906E-2</v>
      </c>
    </row>
    <row r="548" spans="1:15" x14ac:dyDescent="0.25">
      <c r="A548" t="s">
        <v>583</v>
      </c>
      <c r="B548" t="s">
        <v>46</v>
      </c>
      <c r="C548" s="14" t="s">
        <v>50</v>
      </c>
      <c r="D548" s="1">
        <v>45097</v>
      </c>
      <c r="E548" s="14" t="s">
        <v>2057</v>
      </c>
      <c r="F548" s="14" t="s">
        <v>33</v>
      </c>
      <c r="G548">
        <v>299</v>
      </c>
      <c r="H548">
        <v>53426.39</v>
      </c>
      <c r="I548">
        <v>53033.55</v>
      </c>
      <c r="J548">
        <v>2</v>
      </c>
      <c r="K548" s="14" t="s">
        <v>15</v>
      </c>
      <c r="L548" s="14" t="str">
        <f>IF(OR(Table1[[#This Row],[Order_Status]]="Delivered",Table1[[#This Row],[Delivery_Date]]&lt;&gt;"Not Yet Delivered"),Table1[[#This Row],[Delivery_Date]]-Table1[[#This Row],[Order_Date]],"Not Applicable")</f>
        <v>Not Applicable</v>
      </c>
      <c r="M548" s="14">
        <f>Table1[[#This Row],[Unit_Cost]]-Table1[[#This Row],[Negotiated_Cost]]</f>
        <v>392.83999999999651</v>
      </c>
      <c r="N548" s="18">
        <f>Table1[[#This Row],[Defective_Units]]/Table1[[#This Row],[Quantity]]</f>
        <v>6.688963210702341E-3</v>
      </c>
      <c r="O548" s="26">
        <f>(Table1[[#This Row],[Unit_Cost]]-Table1[[#This Row],[Negotiated_Cost]])/Table1[[#This Row],[Unit_Cost]]</f>
        <v>7.3529205323435952E-3</v>
      </c>
    </row>
    <row r="549" spans="1:15" x14ac:dyDescent="0.25">
      <c r="A549" t="s">
        <v>584</v>
      </c>
      <c r="B549" t="s">
        <v>27</v>
      </c>
      <c r="C549" s="14" t="s">
        <v>44</v>
      </c>
      <c r="D549" s="1">
        <v>45634</v>
      </c>
      <c r="E549" s="13">
        <v>45642</v>
      </c>
      <c r="F549" s="14" t="s">
        <v>37</v>
      </c>
      <c r="G549">
        <v>327</v>
      </c>
      <c r="H549">
        <v>8990.51</v>
      </c>
      <c r="I549">
        <v>8624.09</v>
      </c>
      <c r="J549">
        <v>2</v>
      </c>
      <c r="K549" s="14" t="s">
        <v>25</v>
      </c>
      <c r="L549" s="14">
        <f>IF(OR(Table1[[#This Row],[Order_Status]]="Delivered",Table1[[#This Row],[Delivery_Date]]&lt;&gt;"Not Yet Delivered"),Table1[[#This Row],[Delivery_Date]]-Table1[[#This Row],[Order_Date]],"Not Applicable")</f>
        <v>8</v>
      </c>
      <c r="M549" s="14">
        <f>Table1[[#This Row],[Unit_Cost]]-Table1[[#This Row],[Negotiated_Cost]]</f>
        <v>366.42000000000007</v>
      </c>
      <c r="N549" s="18">
        <f>Table1[[#This Row],[Defective_Units]]/Table1[[#This Row],[Quantity]]</f>
        <v>6.1162079510703364E-3</v>
      </c>
      <c r="O549" s="26">
        <f>(Table1[[#This Row],[Unit_Cost]]-Table1[[#This Row],[Negotiated_Cost]])/Table1[[#This Row],[Unit_Cost]]</f>
        <v>4.0756308596508993E-2</v>
      </c>
    </row>
    <row r="550" spans="1:15" x14ac:dyDescent="0.25">
      <c r="A550" t="s">
        <v>585</v>
      </c>
      <c r="B550" t="s">
        <v>27</v>
      </c>
      <c r="C550" s="14" t="s">
        <v>30</v>
      </c>
      <c r="D550" s="1">
        <v>45289</v>
      </c>
      <c r="E550" s="13">
        <v>45317</v>
      </c>
      <c r="F550" s="14" t="s">
        <v>14</v>
      </c>
      <c r="G550">
        <v>289</v>
      </c>
      <c r="H550">
        <v>940.73</v>
      </c>
      <c r="I550">
        <v>903.79</v>
      </c>
      <c r="J550">
        <v>3</v>
      </c>
      <c r="K550" s="14" t="s">
        <v>15</v>
      </c>
      <c r="L550" s="14">
        <f>IF(OR(Table1[[#This Row],[Order_Status]]="Delivered",Table1[[#This Row],[Delivery_Date]]&lt;&gt;"Not Yet Delivered"),Table1[[#This Row],[Delivery_Date]]-Table1[[#This Row],[Order_Date]],"Not Applicable")</f>
        <v>28</v>
      </c>
      <c r="M550" s="14">
        <f>Table1[[#This Row],[Unit_Cost]]-Table1[[#This Row],[Negotiated_Cost]]</f>
        <v>36.940000000000055</v>
      </c>
      <c r="N550" s="18">
        <f>Table1[[#This Row],[Defective_Units]]/Table1[[#This Row],[Quantity]]</f>
        <v>1.0380622837370242E-2</v>
      </c>
      <c r="O550" s="26">
        <f>(Table1[[#This Row],[Unit_Cost]]-Table1[[#This Row],[Negotiated_Cost]])/Table1[[#This Row],[Unit_Cost]]</f>
        <v>3.9267377462183679E-2</v>
      </c>
    </row>
    <row r="551" spans="1:15" x14ac:dyDescent="0.25">
      <c r="A551" t="s">
        <v>586</v>
      </c>
      <c r="B551" t="s">
        <v>35</v>
      </c>
      <c r="C551" s="14" t="s">
        <v>30</v>
      </c>
      <c r="D551" s="1">
        <v>45337</v>
      </c>
      <c r="E551" s="13">
        <v>45355</v>
      </c>
      <c r="F551" s="14" t="s">
        <v>14</v>
      </c>
      <c r="G551">
        <v>426</v>
      </c>
      <c r="H551">
        <v>953.12</v>
      </c>
      <c r="I551">
        <v>950.34</v>
      </c>
      <c r="J551">
        <v>0</v>
      </c>
      <c r="K551" s="14" t="s">
        <v>15</v>
      </c>
      <c r="L551" s="14">
        <f>IF(OR(Table1[[#This Row],[Order_Status]]="Delivered",Table1[[#This Row],[Delivery_Date]]&lt;&gt;"Not Yet Delivered"),Table1[[#This Row],[Delivery_Date]]-Table1[[#This Row],[Order_Date]],"Not Applicable")</f>
        <v>18</v>
      </c>
      <c r="M551" s="14">
        <f>Table1[[#This Row],[Unit_Cost]]-Table1[[#This Row],[Negotiated_Cost]]</f>
        <v>2.7799999999999727</v>
      </c>
      <c r="N551" s="18">
        <f>Table1[[#This Row],[Defective_Units]]/Table1[[#This Row],[Quantity]]</f>
        <v>0</v>
      </c>
      <c r="O551" s="26">
        <f>(Table1[[#This Row],[Unit_Cost]]-Table1[[#This Row],[Negotiated_Cost]])/Table1[[#This Row],[Unit_Cost]]</f>
        <v>2.9167366123887578E-3</v>
      </c>
    </row>
    <row r="552" spans="1:15" x14ac:dyDescent="0.25">
      <c r="A552" t="s">
        <v>587</v>
      </c>
      <c r="B552" t="s">
        <v>12</v>
      </c>
      <c r="C552" s="14" t="s">
        <v>13</v>
      </c>
      <c r="D552" s="1">
        <v>45537</v>
      </c>
      <c r="E552" s="13">
        <v>45558</v>
      </c>
      <c r="F552" s="14" t="s">
        <v>37</v>
      </c>
      <c r="G552">
        <v>66</v>
      </c>
      <c r="H552">
        <v>4344.84</v>
      </c>
      <c r="I552">
        <v>4312.49</v>
      </c>
      <c r="J552">
        <v>1</v>
      </c>
      <c r="K552" s="14" t="s">
        <v>15</v>
      </c>
      <c r="L552" s="14">
        <f>IF(OR(Table1[[#This Row],[Order_Status]]="Delivered",Table1[[#This Row],[Delivery_Date]]&lt;&gt;"Not Yet Delivered"),Table1[[#This Row],[Delivery_Date]]-Table1[[#This Row],[Order_Date]],"Not Applicable")</f>
        <v>21</v>
      </c>
      <c r="M552" s="14">
        <f>Table1[[#This Row],[Unit_Cost]]-Table1[[#This Row],[Negotiated_Cost]]</f>
        <v>32.350000000000364</v>
      </c>
      <c r="N552" s="18">
        <f>Table1[[#This Row],[Defective_Units]]/Table1[[#This Row],[Quantity]]</f>
        <v>1.5151515151515152E-2</v>
      </c>
      <c r="O552" s="26">
        <f>(Table1[[#This Row],[Unit_Cost]]-Table1[[#This Row],[Negotiated_Cost]])/Table1[[#This Row],[Unit_Cost]]</f>
        <v>7.4456136474531538E-3</v>
      </c>
    </row>
    <row r="553" spans="1:15" x14ac:dyDescent="0.25">
      <c r="A553" t="s">
        <v>588</v>
      </c>
      <c r="B553" t="s">
        <v>40</v>
      </c>
      <c r="C553" s="14" t="s">
        <v>28</v>
      </c>
      <c r="D553" s="1">
        <v>45048</v>
      </c>
      <c r="E553" s="13">
        <v>45064</v>
      </c>
      <c r="F553" s="14" t="s">
        <v>37</v>
      </c>
      <c r="G553">
        <v>277</v>
      </c>
      <c r="H553">
        <v>50686.84</v>
      </c>
      <c r="I553">
        <v>49695.46</v>
      </c>
      <c r="J553">
        <v>1</v>
      </c>
      <c r="K553" s="14" t="s">
        <v>15</v>
      </c>
      <c r="L553" s="14">
        <f>IF(OR(Table1[[#This Row],[Order_Status]]="Delivered",Table1[[#This Row],[Delivery_Date]]&lt;&gt;"Not Yet Delivered"),Table1[[#This Row],[Delivery_Date]]-Table1[[#This Row],[Order_Date]],"Not Applicable")</f>
        <v>16</v>
      </c>
      <c r="M553" s="14">
        <f>Table1[[#This Row],[Unit_Cost]]-Table1[[#This Row],[Negotiated_Cost]]</f>
        <v>991.37999999999738</v>
      </c>
      <c r="N553" s="18">
        <f>Table1[[#This Row],[Defective_Units]]/Table1[[#This Row],[Quantity]]</f>
        <v>3.6101083032490976E-3</v>
      </c>
      <c r="O553" s="26">
        <f>(Table1[[#This Row],[Unit_Cost]]-Table1[[#This Row],[Negotiated_Cost]])/Table1[[#This Row],[Unit_Cost]]</f>
        <v>1.9558922986716028E-2</v>
      </c>
    </row>
    <row r="554" spans="1:15" x14ac:dyDescent="0.25">
      <c r="A554" t="s">
        <v>589</v>
      </c>
      <c r="B554" t="s">
        <v>27</v>
      </c>
      <c r="C554" s="14" t="s">
        <v>21</v>
      </c>
      <c r="D554" s="1">
        <v>45040</v>
      </c>
      <c r="E554" s="13">
        <v>45047</v>
      </c>
      <c r="F554" s="14" t="s">
        <v>14</v>
      </c>
      <c r="G554">
        <v>385</v>
      </c>
      <c r="H554">
        <v>115.68</v>
      </c>
      <c r="I554">
        <v>114.74</v>
      </c>
      <c r="J554">
        <v>5</v>
      </c>
      <c r="K554" s="14" t="s">
        <v>15</v>
      </c>
      <c r="L554" s="14">
        <f>IF(OR(Table1[[#This Row],[Order_Status]]="Delivered",Table1[[#This Row],[Delivery_Date]]&lt;&gt;"Not Yet Delivered"),Table1[[#This Row],[Delivery_Date]]-Table1[[#This Row],[Order_Date]],"Not Applicable")</f>
        <v>7</v>
      </c>
      <c r="M554" s="14">
        <f>Table1[[#This Row],[Unit_Cost]]-Table1[[#This Row],[Negotiated_Cost]]</f>
        <v>0.94000000000001194</v>
      </c>
      <c r="N554" s="18">
        <f>Table1[[#This Row],[Defective_Units]]/Table1[[#This Row],[Quantity]]</f>
        <v>1.2987012987012988E-2</v>
      </c>
      <c r="O554" s="26">
        <f>(Table1[[#This Row],[Unit_Cost]]-Table1[[#This Row],[Negotiated_Cost]])/Table1[[#This Row],[Unit_Cost]]</f>
        <v>8.1258644536653865E-3</v>
      </c>
    </row>
    <row r="555" spans="1:15" x14ac:dyDescent="0.25">
      <c r="A555" t="s">
        <v>590</v>
      </c>
      <c r="B555" t="s">
        <v>17</v>
      </c>
      <c r="C555" s="14" t="s">
        <v>21</v>
      </c>
      <c r="D555" s="1">
        <v>44987</v>
      </c>
      <c r="E555" s="13">
        <v>44989</v>
      </c>
      <c r="F555" s="14" t="s">
        <v>37</v>
      </c>
      <c r="G555">
        <v>58</v>
      </c>
      <c r="H555">
        <v>106.21</v>
      </c>
      <c r="I555">
        <v>103.1</v>
      </c>
      <c r="J555">
        <v>0</v>
      </c>
      <c r="K555" s="14" t="s">
        <v>15</v>
      </c>
      <c r="L555" s="14">
        <f>IF(OR(Table1[[#This Row],[Order_Status]]="Delivered",Table1[[#This Row],[Delivery_Date]]&lt;&gt;"Not Yet Delivered"),Table1[[#This Row],[Delivery_Date]]-Table1[[#This Row],[Order_Date]],"Not Applicable")</f>
        <v>2</v>
      </c>
      <c r="M555" s="14">
        <f>Table1[[#This Row],[Unit_Cost]]-Table1[[#This Row],[Negotiated_Cost]]</f>
        <v>3.1099999999999994</v>
      </c>
      <c r="N555" s="18">
        <f>Table1[[#This Row],[Defective_Units]]/Table1[[#This Row],[Quantity]]</f>
        <v>0</v>
      </c>
      <c r="O555" s="26">
        <f>(Table1[[#This Row],[Unit_Cost]]-Table1[[#This Row],[Negotiated_Cost]])/Table1[[#This Row],[Unit_Cost]]</f>
        <v>2.9281611900950941E-2</v>
      </c>
    </row>
    <row r="556" spans="1:15" x14ac:dyDescent="0.25">
      <c r="A556" t="s">
        <v>591</v>
      </c>
      <c r="B556" t="s">
        <v>12</v>
      </c>
      <c r="C556" s="14" t="s">
        <v>13</v>
      </c>
      <c r="D556" s="1">
        <v>45619</v>
      </c>
      <c r="E556" s="13">
        <v>45633</v>
      </c>
      <c r="F556" s="14" t="s">
        <v>14</v>
      </c>
      <c r="G556">
        <v>331</v>
      </c>
      <c r="H556">
        <v>4411.96</v>
      </c>
      <c r="I556">
        <v>4379.7700000000004</v>
      </c>
      <c r="J556">
        <v>2</v>
      </c>
      <c r="K556" s="14" t="s">
        <v>15</v>
      </c>
      <c r="L556" s="14">
        <f>IF(OR(Table1[[#This Row],[Order_Status]]="Delivered",Table1[[#This Row],[Delivery_Date]]&lt;&gt;"Not Yet Delivered"),Table1[[#This Row],[Delivery_Date]]-Table1[[#This Row],[Order_Date]],"Not Applicable")</f>
        <v>14</v>
      </c>
      <c r="M556" s="14">
        <f>Table1[[#This Row],[Unit_Cost]]-Table1[[#This Row],[Negotiated_Cost]]</f>
        <v>32.1899999999996</v>
      </c>
      <c r="N556" s="18">
        <f>Table1[[#This Row],[Defective_Units]]/Table1[[#This Row],[Quantity]]</f>
        <v>6.0422960725075529E-3</v>
      </c>
      <c r="O556" s="26">
        <f>(Table1[[#This Row],[Unit_Cost]]-Table1[[#This Row],[Negotiated_Cost]])/Table1[[#This Row],[Unit_Cost]]</f>
        <v>7.2960770269901816E-3</v>
      </c>
    </row>
    <row r="557" spans="1:15" x14ac:dyDescent="0.25">
      <c r="A557" t="s">
        <v>592</v>
      </c>
      <c r="B557" t="s">
        <v>27</v>
      </c>
      <c r="C557" s="14" t="s">
        <v>44</v>
      </c>
      <c r="D557" s="1">
        <v>45051</v>
      </c>
      <c r="E557" s="13">
        <v>45061</v>
      </c>
      <c r="F557" s="14" t="s">
        <v>14</v>
      </c>
      <c r="G557">
        <v>85</v>
      </c>
      <c r="H557">
        <v>8673.48</v>
      </c>
      <c r="I557">
        <v>8567.5499999999993</v>
      </c>
      <c r="J557">
        <v>0</v>
      </c>
      <c r="K557" s="14" t="s">
        <v>15</v>
      </c>
      <c r="L557" s="14">
        <f>IF(OR(Table1[[#This Row],[Order_Status]]="Delivered",Table1[[#This Row],[Delivery_Date]]&lt;&gt;"Not Yet Delivered"),Table1[[#This Row],[Delivery_Date]]-Table1[[#This Row],[Order_Date]],"Not Applicable")</f>
        <v>10</v>
      </c>
      <c r="M557" s="14">
        <f>Table1[[#This Row],[Unit_Cost]]-Table1[[#This Row],[Negotiated_Cost]]</f>
        <v>105.93000000000029</v>
      </c>
      <c r="N557" s="18">
        <f>Table1[[#This Row],[Defective_Units]]/Table1[[#This Row],[Quantity]]</f>
        <v>0</v>
      </c>
      <c r="O557" s="26">
        <f>(Table1[[#This Row],[Unit_Cost]]-Table1[[#This Row],[Negotiated_Cost]])/Table1[[#This Row],[Unit_Cost]]</f>
        <v>1.2213090939277003E-2</v>
      </c>
    </row>
    <row r="558" spans="1:15" x14ac:dyDescent="0.25">
      <c r="A558" t="s">
        <v>593</v>
      </c>
      <c r="B558" t="s">
        <v>32</v>
      </c>
      <c r="C558" s="14" t="s">
        <v>28</v>
      </c>
      <c r="D558" s="1">
        <v>44971</v>
      </c>
      <c r="E558" s="13">
        <v>44979</v>
      </c>
      <c r="F558" s="14" t="s">
        <v>14</v>
      </c>
      <c r="G558">
        <v>101</v>
      </c>
      <c r="H558">
        <v>41721.370000000003</v>
      </c>
      <c r="I558">
        <v>39903.96</v>
      </c>
      <c r="J558">
        <v>3</v>
      </c>
      <c r="K558" s="14" t="s">
        <v>15</v>
      </c>
      <c r="L558" s="14">
        <f>IF(OR(Table1[[#This Row],[Order_Status]]="Delivered",Table1[[#This Row],[Delivery_Date]]&lt;&gt;"Not Yet Delivered"),Table1[[#This Row],[Delivery_Date]]-Table1[[#This Row],[Order_Date]],"Not Applicable")</f>
        <v>8</v>
      </c>
      <c r="M558" s="14">
        <f>Table1[[#This Row],[Unit_Cost]]-Table1[[#This Row],[Negotiated_Cost]]</f>
        <v>1817.4100000000035</v>
      </c>
      <c r="N558" s="18">
        <f>Table1[[#This Row],[Defective_Units]]/Table1[[#This Row],[Quantity]]</f>
        <v>2.9702970297029702E-2</v>
      </c>
      <c r="O558" s="26">
        <f>(Table1[[#This Row],[Unit_Cost]]-Table1[[#This Row],[Negotiated_Cost]])/Table1[[#This Row],[Unit_Cost]]</f>
        <v>4.3560650093705057E-2</v>
      </c>
    </row>
    <row r="559" spans="1:15" x14ac:dyDescent="0.25">
      <c r="A559" t="s">
        <v>594</v>
      </c>
      <c r="B559" t="s">
        <v>35</v>
      </c>
      <c r="C559" s="14" t="s">
        <v>13</v>
      </c>
      <c r="D559" s="1">
        <v>45145</v>
      </c>
      <c r="E559" s="13">
        <v>45172</v>
      </c>
      <c r="F559" s="14" t="s">
        <v>14</v>
      </c>
      <c r="G559">
        <v>189</v>
      </c>
      <c r="H559">
        <v>4303.8</v>
      </c>
      <c r="I559">
        <v>4175.6400000000003</v>
      </c>
      <c r="J559">
        <v>3</v>
      </c>
      <c r="K559" s="14" t="s">
        <v>15</v>
      </c>
      <c r="L559" s="14">
        <f>IF(OR(Table1[[#This Row],[Order_Status]]="Delivered",Table1[[#This Row],[Delivery_Date]]&lt;&gt;"Not Yet Delivered"),Table1[[#This Row],[Delivery_Date]]-Table1[[#This Row],[Order_Date]],"Not Applicable")</f>
        <v>27</v>
      </c>
      <c r="M559" s="14">
        <f>Table1[[#This Row],[Unit_Cost]]-Table1[[#This Row],[Negotiated_Cost]]</f>
        <v>128.15999999999985</v>
      </c>
      <c r="N559" s="18">
        <f>Table1[[#This Row],[Defective_Units]]/Table1[[#This Row],[Quantity]]</f>
        <v>1.5873015873015872E-2</v>
      </c>
      <c r="O559" s="26">
        <f>(Table1[[#This Row],[Unit_Cost]]-Table1[[#This Row],[Negotiated_Cost]])/Table1[[#This Row],[Unit_Cost]]</f>
        <v>2.9778335424508539E-2</v>
      </c>
    </row>
    <row r="560" spans="1:15" x14ac:dyDescent="0.25">
      <c r="A560" t="s">
        <v>595</v>
      </c>
      <c r="B560" t="s">
        <v>17</v>
      </c>
      <c r="C560" s="14" t="s">
        <v>44</v>
      </c>
      <c r="D560" s="1">
        <v>45005</v>
      </c>
      <c r="E560" s="13">
        <v>45015</v>
      </c>
      <c r="F560" s="14" t="s">
        <v>14</v>
      </c>
      <c r="G560">
        <v>71</v>
      </c>
      <c r="H560">
        <v>7694.71</v>
      </c>
      <c r="I560">
        <v>7300.44</v>
      </c>
      <c r="J560">
        <v>2</v>
      </c>
      <c r="K560" s="14" t="s">
        <v>15</v>
      </c>
      <c r="L560" s="14">
        <f>IF(OR(Table1[[#This Row],[Order_Status]]="Delivered",Table1[[#This Row],[Delivery_Date]]&lt;&gt;"Not Yet Delivered"),Table1[[#This Row],[Delivery_Date]]-Table1[[#This Row],[Order_Date]],"Not Applicable")</f>
        <v>10</v>
      </c>
      <c r="M560" s="14">
        <f>Table1[[#This Row],[Unit_Cost]]-Table1[[#This Row],[Negotiated_Cost]]</f>
        <v>394.27000000000044</v>
      </c>
      <c r="N560" s="18">
        <f>Table1[[#This Row],[Defective_Units]]/Table1[[#This Row],[Quantity]]</f>
        <v>2.8169014084507043E-2</v>
      </c>
      <c r="O560" s="26">
        <f>(Table1[[#This Row],[Unit_Cost]]-Table1[[#This Row],[Negotiated_Cost]])/Table1[[#This Row],[Unit_Cost]]</f>
        <v>5.1239098029685383E-2</v>
      </c>
    </row>
    <row r="561" spans="1:15" x14ac:dyDescent="0.25">
      <c r="A561" t="s">
        <v>596</v>
      </c>
      <c r="B561" t="s">
        <v>40</v>
      </c>
      <c r="C561" s="14" t="s">
        <v>42</v>
      </c>
      <c r="D561" s="1">
        <v>45543</v>
      </c>
      <c r="E561" s="13">
        <v>45550</v>
      </c>
      <c r="F561" s="14" t="s">
        <v>14</v>
      </c>
      <c r="G561">
        <v>5</v>
      </c>
      <c r="H561">
        <v>13056.21</v>
      </c>
      <c r="I561">
        <v>12798.8</v>
      </c>
      <c r="J561">
        <v>0</v>
      </c>
      <c r="K561" s="14" t="s">
        <v>15</v>
      </c>
      <c r="L561" s="14">
        <f>IF(OR(Table1[[#This Row],[Order_Status]]="Delivered",Table1[[#This Row],[Delivery_Date]]&lt;&gt;"Not Yet Delivered"),Table1[[#This Row],[Delivery_Date]]-Table1[[#This Row],[Order_Date]],"Not Applicable")</f>
        <v>7</v>
      </c>
      <c r="M561" s="14">
        <f>Table1[[#This Row],[Unit_Cost]]-Table1[[#This Row],[Negotiated_Cost]]</f>
        <v>257.40999999999985</v>
      </c>
      <c r="N561" s="18">
        <f>Table1[[#This Row],[Defective_Units]]/Table1[[#This Row],[Quantity]]</f>
        <v>0</v>
      </c>
      <c r="O561" s="26">
        <f>(Table1[[#This Row],[Unit_Cost]]-Table1[[#This Row],[Negotiated_Cost]])/Table1[[#This Row],[Unit_Cost]]</f>
        <v>1.9715522345305405E-2</v>
      </c>
    </row>
    <row r="562" spans="1:15" x14ac:dyDescent="0.25">
      <c r="A562" t="s">
        <v>597</v>
      </c>
      <c r="B562" t="s">
        <v>20</v>
      </c>
      <c r="C562" s="14" t="s">
        <v>21</v>
      </c>
      <c r="D562" s="1">
        <v>45023</v>
      </c>
      <c r="E562" s="13">
        <v>45043</v>
      </c>
      <c r="F562" s="14" t="s">
        <v>14</v>
      </c>
      <c r="G562">
        <v>78</v>
      </c>
      <c r="H562">
        <v>121.67</v>
      </c>
      <c r="I562">
        <v>119.17</v>
      </c>
      <c r="J562">
        <v>1</v>
      </c>
      <c r="K562" s="14" t="s">
        <v>15</v>
      </c>
      <c r="L562" s="14">
        <f>IF(OR(Table1[[#This Row],[Order_Status]]="Delivered",Table1[[#This Row],[Delivery_Date]]&lt;&gt;"Not Yet Delivered"),Table1[[#This Row],[Delivery_Date]]-Table1[[#This Row],[Order_Date]],"Not Applicable")</f>
        <v>20</v>
      </c>
      <c r="M562" s="14">
        <f>Table1[[#This Row],[Unit_Cost]]-Table1[[#This Row],[Negotiated_Cost]]</f>
        <v>2.5</v>
      </c>
      <c r="N562" s="18">
        <f>Table1[[#This Row],[Defective_Units]]/Table1[[#This Row],[Quantity]]</f>
        <v>1.282051282051282E-2</v>
      </c>
      <c r="O562" s="26">
        <f>(Table1[[#This Row],[Unit_Cost]]-Table1[[#This Row],[Negotiated_Cost]])/Table1[[#This Row],[Unit_Cost]]</f>
        <v>2.0547382263499631E-2</v>
      </c>
    </row>
    <row r="563" spans="1:15" x14ac:dyDescent="0.25">
      <c r="A563" t="s">
        <v>598</v>
      </c>
      <c r="B563" t="s">
        <v>12</v>
      </c>
      <c r="C563" s="14" t="s">
        <v>42</v>
      </c>
      <c r="D563" s="1">
        <v>45647</v>
      </c>
      <c r="E563" s="13">
        <v>45650</v>
      </c>
      <c r="F563" s="14" t="s">
        <v>14</v>
      </c>
      <c r="G563">
        <v>324</v>
      </c>
      <c r="H563">
        <v>12553.19</v>
      </c>
      <c r="I563">
        <v>12403.26</v>
      </c>
      <c r="J563">
        <v>3</v>
      </c>
      <c r="K563" s="14" t="s">
        <v>15</v>
      </c>
      <c r="L563" s="14">
        <f>IF(OR(Table1[[#This Row],[Order_Status]]="Delivered",Table1[[#This Row],[Delivery_Date]]&lt;&gt;"Not Yet Delivered"),Table1[[#This Row],[Delivery_Date]]-Table1[[#This Row],[Order_Date]],"Not Applicable")</f>
        <v>3</v>
      </c>
      <c r="M563" s="14">
        <f>Table1[[#This Row],[Unit_Cost]]-Table1[[#This Row],[Negotiated_Cost]]</f>
        <v>149.93000000000029</v>
      </c>
      <c r="N563" s="18">
        <f>Table1[[#This Row],[Defective_Units]]/Table1[[#This Row],[Quantity]]</f>
        <v>9.2592592592592587E-3</v>
      </c>
      <c r="O563" s="26">
        <f>(Table1[[#This Row],[Unit_Cost]]-Table1[[#This Row],[Negotiated_Cost]])/Table1[[#This Row],[Unit_Cost]]</f>
        <v>1.1943577688221104E-2</v>
      </c>
    </row>
    <row r="564" spans="1:15" x14ac:dyDescent="0.25">
      <c r="A564" t="s">
        <v>599</v>
      </c>
      <c r="B564" t="s">
        <v>32</v>
      </c>
      <c r="C564" s="14" t="s">
        <v>21</v>
      </c>
      <c r="D564" s="1">
        <v>45438</v>
      </c>
      <c r="E564" s="13">
        <v>45464</v>
      </c>
      <c r="F564" s="14" t="s">
        <v>14</v>
      </c>
      <c r="G564">
        <v>451</v>
      </c>
      <c r="H564">
        <v>111.4</v>
      </c>
      <c r="I564">
        <v>110.42</v>
      </c>
      <c r="J564">
        <v>2</v>
      </c>
      <c r="K564" s="14" t="s">
        <v>15</v>
      </c>
      <c r="L564" s="14">
        <f>IF(OR(Table1[[#This Row],[Order_Status]]="Delivered",Table1[[#This Row],[Delivery_Date]]&lt;&gt;"Not Yet Delivered"),Table1[[#This Row],[Delivery_Date]]-Table1[[#This Row],[Order_Date]],"Not Applicable")</f>
        <v>26</v>
      </c>
      <c r="M564" s="14">
        <f>Table1[[#This Row],[Unit_Cost]]-Table1[[#This Row],[Negotiated_Cost]]</f>
        <v>0.98000000000000398</v>
      </c>
      <c r="N564" s="18">
        <f>Table1[[#This Row],[Defective_Units]]/Table1[[#This Row],[Quantity]]</f>
        <v>4.434589800443459E-3</v>
      </c>
      <c r="O564" s="26">
        <f>(Table1[[#This Row],[Unit_Cost]]-Table1[[#This Row],[Negotiated_Cost]])/Table1[[#This Row],[Unit_Cost]]</f>
        <v>8.7971274685817221E-3</v>
      </c>
    </row>
    <row r="565" spans="1:15" x14ac:dyDescent="0.25">
      <c r="A565" t="s">
        <v>600</v>
      </c>
      <c r="B565" t="s">
        <v>32</v>
      </c>
      <c r="C565" s="14" t="s">
        <v>18</v>
      </c>
      <c r="D565" s="1">
        <v>45046</v>
      </c>
      <c r="E565" s="13">
        <v>45049</v>
      </c>
      <c r="F565" s="14" t="s">
        <v>14</v>
      </c>
      <c r="G565">
        <v>101</v>
      </c>
      <c r="H565">
        <v>4548.49</v>
      </c>
      <c r="I565">
        <v>4524.1499999999996</v>
      </c>
      <c r="J565">
        <v>1</v>
      </c>
      <c r="K565" s="14" t="s">
        <v>15</v>
      </c>
      <c r="L565" s="14">
        <f>IF(OR(Table1[[#This Row],[Order_Status]]="Delivered",Table1[[#This Row],[Delivery_Date]]&lt;&gt;"Not Yet Delivered"),Table1[[#This Row],[Delivery_Date]]-Table1[[#This Row],[Order_Date]],"Not Applicable")</f>
        <v>3</v>
      </c>
      <c r="M565" s="14">
        <f>Table1[[#This Row],[Unit_Cost]]-Table1[[#This Row],[Negotiated_Cost]]</f>
        <v>24.340000000000146</v>
      </c>
      <c r="N565" s="18">
        <f>Table1[[#This Row],[Defective_Units]]/Table1[[#This Row],[Quantity]]</f>
        <v>9.9009900990099011E-3</v>
      </c>
      <c r="O565" s="26">
        <f>(Table1[[#This Row],[Unit_Cost]]-Table1[[#This Row],[Negotiated_Cost]])/Table1[[#This Row],[Unit_Cost]]</f>
        <v>5.3512264509760704E-3</v>
      </c>
    </row>
    <row r="566" spans="1:15" x14ac:dyDescent="0.25">
      <c r="A566" t="s">
        <v>601</v>
      </c>
      <c r="B566" t="s">
        <v>46</v>
      </c>
      <c r="C566" s="14" t="s">
        <v>50</v>
      </c>
      <c r="D566" s="1">
        <v>45294</v>
      </c>
      <c r="E566" s="13">
        <v>45316</v>
      </c>
      <c r="F566" s="14" t="s">
        <v>14</v>
      </c>
      <c r="G566">
        <v>98</v>
      </c>
      <c r="H566">
        <v>49662.52</v>
      </c>
      <c r="I566">
        <v>48892.45</v>
      </c>
      <c r="J566">
        <v>0</v>
      </c>
      <c r="K566" s="14" t="s">
        <v>15</v>
      </c>
      <c r="L566" s="14">
        <f>IF(OR(Table1[[#This Row],[Order_Status]]="Delivered",Table1[[#This Row],[Delivery_Date]]&lt;&gt;"Not Yet Delivered"),Table1[[#This Row],[Delivery_Date]]-Table1[[#This Row],[Order_Date]],"Not Applicable")</f>
        <v>22</v>
      </c>
      <c r="M566" s="14">
        <f>Table1[[#This Row],[Unit_Cost]]-Table1[[#This Row],[Negotiated_Cost]]</f>
        <v>770.06999999999971</v>
      </c>
      <c r="N566" s="18">
        <f>Table1[[#This Row],[Defective_Units]]/Table1[[#This Row],[Quantity]]</f>
        <v>0</v>
      </c>
      <c r="O566" s="26">
        <f>(Table1[[#This Row],[Unit_Cost]]-Table1[[#This Row],[Negotiated_Cost]])/Table1[[#This Row],[Unit_Cost]]</f>
        <v>1.550605970055486E-2</v>
      </c>
    </row>
    <row r="567" spans="1:15" x14ac:dyDescent="0.25">
      <c r="A567" t="s">
        <v>602</v>
      </c>
      <c r="B567" t="s">
        <v>35</v>
      </c>
      <c r="C567" s="14" t="s">
        <v>44</v>
      </c>
      <c r="D567" s="1">
        <v>45650</v>
      </c>
      <c r="E567" s="13">
        <v>45665</v>
      </c>
      <c r="F567" s="14" t="s">
        <v>37</v>
      </c>
      <c r="G567">
        <v>105</v>
      </c>
      <c r="H567">
        <v>8601.36</v>
      </c>
      <c r="I567">
        <v>8189.15</v>
      </c>
      <c r="J567">
        <v>2</v>
      </c>
      <c r="K567" s="14" t="s">
        <v>15</v>
      </c>
      <c r="L567" s="14">
        <f>IF(OR(Table1[[#This Row],[Order_Status]]="Delivered",Table1[[#This Row],[Delivery_Date]]&lt;&gt;"Not Yet Delivered"),Table1[[#This Row],[Delivery_Date]]-Table1[[#This Row],[Order_Date]],"Not Applicable")</f>
        <v>15</v>
      </c>
      <c r="M567" s="14">
        <f>Table1[[#This Row],[Unit_Cost]]-Table1[[#This Row],[Negotiated_Cost]]</f>
        <v>412.21000000000095</v>
      </c>
      <c r="N567" s="18">
        <f>Table1[[#This Row],[Defective_Units]]/Table1[[#This Row],[Quantity]]</f>
        <v>1.9047619047619049E-2</v>
      </c>
      <c r="O567" s="26">
        <f>(Table1[[#This Row],[Unit_Cost]]-Table1[[#This Row],[Negotiated_Cost]])/Table1[[#This Row],[Unit_Cost]]</f>
        <v>4.7923816698754722E-2</v>
      </c>
    </row>
    <row r="568" spans="1:15" x14ac:dyDescent="0.25">
      <c r="A568" t="s">
        <v>603</v>
      </c>
      <c r="B568" t="s">
        <v>40</v>
      </c>
      <c r="C568" s="14" t="s">
        <v>18</v>
      </c>
      <c r="D568" s="1">
        <v>45033</v>
      </c>
      <c r="E568" s="13">
        <v>45049</v>
      </c>
      <c r="F568" s="14" t="s">
        <v>14</v>
      </c>
      <c r="G568">
        <v>112</v>
      </c>
      <c r="H568">
        <v>5312.47</v>
      </c>
      <c r="I568">
        <v>5075.66</v>
      </c>
      <c r="J568">
        <v>0</v>
      </c>
      <c r="K568" s="14" t="s">
        <v>15</v>
      </c>
      <c r="L568" s="14">
        <f>IF(OR(Table1[[#This Row],[Order_Status]]="Delivered",Table1[[#This Row],[Delivery_Date]]&lt;&gt;"Not Yet Delivered"),Table1[[#This Row],[Delivery_Date]]-Table1[[#This Row],[Order_Date]],"Not Applicable")</f>
        <v>16</v>
      </c>
      <c r="M568" s="14">
        <f>Table1[[#This Row],[Unit_Cost]]-Table1[[#This Row],[Negotiated_Cost]]</f>
        <v>236.8100000000004</v>
      </c>
      <c r="N568" s="18">
        <f>Table1[[#This Row],[Defective_Units]]/Table1[[#This Row],[Quantity]]</f>
        <v>0</v>
      </c>
      <c r="O568" s="26">
        <f>(Table1[[#This Row],[Unit_Cost]]-Table1[[#This Row],[Negotiated_Cost]])/Table1[[#This Row],[Unit_Cost]]</f>
        <v>4.4576251724715694E-2</v>
      </c>
    </row>
    <row r="569" spans="1:15" x14ac:dyDescent="0.25">
      <c r="A569" t="s">
        <v>604</v>
      </c>
      <c r="B569" t="s">
        <v>27</v>
      </c>
      <c r="C569" s="14" t="s">
        <v>44</v>
      </c>
      <c r="D569" s="1">
        <v>45612</v>
      </c>
      <c r="E569" s="13">
        <v>45616</v>
      </c>
      <c r="F569" s="14" t="s">
        <v>14</v>
      </c>
      <c r="G569">
        <v>96</v>
      </c>
      <c r="H569">
        <v>8799.26</v>
      </c>
      <c r="I569">
        <v>8709.18</v>
      </c>
      <c r="J569">
        <v>2</v>
      </c>
      <c r="K569" s="14" t="s">
        <v>15</v>
      </c>
      <c r="L569" s="14">
        <f>IF(OR(Table1[[#This Row],[Order_Status]]="Delivered",Table1[[#This Row],[Delivery_Date]]&lt;&gt;"Not Yet Delivered"),Table1[[#This Row],[Delivery_Date]]-Table1[[#This Row],[Order_Date]],"Not Applicable")</f>
        <v>4</v>
      </c>
      <c r="M569" s="14">
        <f>Table1[[#This Row],[Unit_Cost]]-Table1[[#This Row],[Negotiated_Cost]]</f>
        <v>90.079999999999927</v>
      </c>
      <c r="N569" s="18">
        <f>Table1[[#This Row],[Defective_Units]]/Table1[[#This Row],[Quantity]]</f>
        <v>2.0833333333333332E-2</v>
      </c>
      <c r="O569" s="26">
        <f>(Table1[[#This Row],[Unit_Cost]]-Table1[[#This Row],[Negotiated_Cost]])/Table1[[#This Row],[Unit_Cost]]</f>
        <v>1.0237224493877886E-2</v>
      </c>
    </row>
    <row r="570" spans="1:15" x14ac:dyDescent="0.25">
      <c r="A570" t="s">
        <v>605</v>
      </c>
      <c r="B570" t="s">
        <v>35</v>
      </c>
      <c r="C570" s="14" t="s">
        <v>50</v>
      </c>
      <c r="D570" s="1">
        <v>45569</v>
      </c>
      <c r="E570" s="13">
        <v>45578</v>
      </c>
      <c r="F570" s="14" t="s">
        <v>37</v>
      </c>
      <c r="G570">
        <v>367</v>
      </c>
      <c r="H570">
        <v>53848.92</v>
      </c>
      <c r="I570">
        <v>53309.15</v>
      </c>
      <c r="J570">
        <v>8</v>
      </c>
      <c r="K570" s="14" t="s">
        <v>15</v>
      </c>
      <c r="L570" s="14">
        <f>IF(OR(Table1[[#This Row],[Order_Status]]="Delivered",Table1[[#This Row],[Delivery_Date]]&lt;&gt;"Not Yet Delivered"),Table1[[#This Row],[Delivery_Date]]-Table1[[#This Row],[Order_Date]],"Not Applicable")</f>
        <v>9</v>
      </c>
      <c r="M570" s="14">
        <f>Table1[[#This Row],[Unit_Cost]]-Table1[[#This Row],[Negotiated_Cost]]</f>
        <v>539.7699999999968</v>
      </c>
      <c r="N570" s="18">
        <f>Table1[[#This Row],[Defective_Units]]/Table1[[#This Row],[Quantity]]</f>
        <v>2.1798365122615803E-2</v>
      </c>
      <c r="O570" s="26">
        <f>(Table1[[#This Row],[Unit_Cost]]-Table1[[#This Row],[Negotiated_Cost]])/Table1[[#This Row],[Unit_Cost]]</f>
        <v>1.0023785063841519E-2</v>
      </c>
    </row>
    <row r="571" spans="1:15" x14ac:dyDescent="0.25">
      <c r="A571" t="s">
        <v>606</v>
      </c>
      <c r="B571" t="s">
        <v>46</v>
      </c>
      <c r="C571" s="14" t="s">
        <v>18</v>
      </c>
      <c r="D571" s="1">
        <v>45055</v>
      </c>
      <c r="E571" s="13">
        <v>45072</v>
      </c>
      <c r="F571" s="14" t="s">
        <v>14</v>
      </c>
      <c r="G571">
        <v>53</v>
      </c>
      <c r="H571">
        <v>4851.49</v>
      </c>
      <c r="I571">
        <v>4578.6000000000004</v>
      </c>
      <c r="J571">
        <v>0</v>
      </c>
      <c r="K571" s="14" t="s">
        <v>15</v>
      </c>
      <c r="L571" s="14">
        <f>IF(OR(Table1[[#This Row],[Order_Status]]="Delivered",Table1[[#This Row],[Delivery_Date]]&lt;&gt;"Not Yet Delivered"),Table1[[#This Row],[Delivery_Date]]-Table1[[#This Row],[Order_Date]],"Not Applicable")</f>
        <v>17</v>
      </c>
      <c r="M571" s="14">
        <f>Table1[[#This Row],[Unit_Cost]]-Table1[[#This Row],[Negotiated_Cost]]</f>
        <v>272.88999999999942</v>
      </c>
      <c r="N571" s="18">
        <f>Table1[[#This Row],[Defective_Units]]/Table1[[#This Row],[Quantity]]</f>
        <v>0</v>
      </c>
      <c r="O571" s="26">
        <f>(Table1[[#This Row],[Unit_Cost]]-Table1[[#This Row],[Negotiated_Cost]])/Table1[[#This Row],[Unit_Cost]]</f>
        <v>5.6248698853341848E-2</v>
      </c>
    </row>
    <row r="572" spans="1:15" x14ac:dyDescent="0.25">
      <c r="A572" t="s">
        <v>607</v>
      </c>
      <c r="B572" t="s">
        <v>20</v>
      </c>
      <c r="C572" s="14" t="s">
        <v>13</v>
      </c>
      <c r="D572" s="1">
        <v>45260</v>
      </c>
      <c r="E572" s="13">
        <v>45262</v>
      </c>
      <c r="F572" s="14" t="s">
        <v>37</v>
      </c>
      <c r="G572">
        <v>303</v>
      </c>
      <c r="H572">
        <v>3844.68</v>
      </c>
      <c r="I572">
        <v>3751.59</v>
      </c>
      <c r="J572">
        <v>2</v>
      </c>
      <c r="K572" s="14" t="s">
        <v>25</v>
      </c>
      <c r="L572" s="14">
        <f>IF(OR(Table1[[#This Row],[Order_Status]]="Delivered",Table1[[#This Row],[Delivery_Date]]&lt;&gt;"Not Yet Delivered"),Table1[[#This Row],[Delivery_Date]]-Table1[[#This Row],[Order_Date]],"Not Applicable")</f>
        <v>2</v>
      </c>
      <c r="M572" s="14">
        <f>Table1[[#This Row],[Unit_Cost]]-Table1[[#This Row],[Negotiated_Cost]]</f>
        <v>93.089999999999691</v>
      </c>
      <c r="N572" s="18">
        <f>Table1[[#This Row],[Defective_Units]]/Table1[[#This Row],[Quantity]]</f>
        <v>6.6006600660066007E-3</v>
      </c>
      <c r="O572" s="26">
        <f>(Table1[[#This Row],[Unit_Cost]]-Table1[[#This Row],[Negotiated_Cost]])/Table1[[#This Row],[Unit_Cost]]</f>
        <v>2.4212678298323839E-2</v>
      </c>
    </row>
    <row r="573" spans="1:15" x14ac:dyDescent="0.25">
      <c r="A573" t="s">
        <v>608</v>
      </c>
      <c r="B573" t="s">
        <v>17</v>
      </c>
      <c r="C573" s="14" t="s">
        <v>44</v>
      </c>
      <c r="D573" s="1">
        <v>45440</v>
      </c>
      <c r="E573" s="13">
        <v>45467</v>
      </c>
      <c r="F573" s="14" t="s">
        <v>14</v>
      </c>
      <c r="G573">
        <v>402</v>
      </c>
      <c r="H573">
        <v>8283.01</v>
      </c>
      <c r="I573">
        <v>7934.96</v>
      </c>
      <c r="J573">
        <v>4</v>
      </c>
      <c r="K573" s="14" t="s">
        <v>15</v>
      </c>
      <c r="L573" s="14">
        <f>IF(OR(Table1[[#This Row],[Order_Status]]="Delivered",Table1[[#This Row],[Delivery_Date]]&lt;&gt;"Not Yet Delivered"),Table1[[#This Row],[Delivery_Date]]-Table1[[#This Row],[Order_Date]],"Not Applicable")</f>
        <v>27</v>
      </c>
      <c r="M573" s="14">
        <f>Table1[[#This Row],[Unit_Cost]]-Table1[[#This Row],[Negotiated_Cost]]</f>
        <v>348.05000000000018</v>
      </c>
      <c r="N573" s="18">
        <f>Table1[[#This Row],[Defective_Units]]/Table1[[#This Row],[Quantity]]</f>
        <v>9.9502487562189053E-3</v>
      </c>
      <c r="O573" s="26">
        <f>(Table1[[#This Row],[Unit_Cost]]-Table1[[#This Row],[Negotiated_Cost]])/Table1[[#This Row],[Unit_Cost]]</f>
        <v>4.2019748859412238E-2</v>
      </c>
    </row>
    <row r="574" spans="1:15" x14ac:dyDescent="0.25">
      <c r="A574" t="s">
        <v>609</v>
      </c>
      <c r="B574" t="s">
        <v>46</v>
      </c>
      <c r="C574" s="14" t="s">
        <v>44</v>
      </c>
      <c r="D574" s="1">
        <v>45504</v>
      </c>
      <c r="E574" s="13">
        <v>45528</v>
      </c>
      <c r="F574" s="14" t="s">
        <v>14</v>
      </c>
      <c r="G574">
        <v>238</v>
      </c>
      <c r="H574">
        <v>8896.9599999999991</v>
      </c>
      <c r="I574">
        <v>8492.52</v>
      </c>
      <c r="J574">
        <v>1</v>
      </c>
      <c r="K574" s="14" t="s">
        <v>15</v>
      </c>
      <c r="L574" s="14">
        <f>IF(OR(Table1[[#This Row],[Order_Status]]="Delivered",Table1[[#This Row],[Delivery_Date]]&lt;&gt;"Not Yet Delivered"),Table1[[#This Row],[Delivery_Date]]-Table1[[#This Row],[Order_Date]],"Not Applicable")</f>
        <v>24</v>
      </c>
      <c r="M574" s="14">
        <f>Table1[[#This Row],[Unit_Cost]]-Table1[[#This Row],[Negotiated_Cost]]</f>
        <v>404.43999999999869</v>
      </c>
      <c r="N574" s="18">
        <f>Table1[[#This Row],[Defective_Units]]/Table1[[#This Row],[Quantity]]</f>
        <v>4.2016806722689074E-3</v>
      </c>
      <c r="O574" s="26">
        <f>(Table1[[#This Row],[Unit_Cost]]-Table1[[#This Row],[Negotiated_Cost]])/Table1[[#This Row],[Unit_Cost]]</f>
        <v>4.5458223932668997E-2</v>
      </c>
    </row>
    <row r="575" spans="1:15" x14ac:dyDescent="0.25">
      <c r="A575" t="s">
        <v>610</v>
      </c>
      <c r="B575" t="s">
        <v>40</v>
      </c>
      <c r="C575" s="14" t="s">
        <v>24</v>
      </c>
      <c r="D575" s="1">
        <v>45194</v>
      </c>
      <c r="E575" s="13">
        <v>45211</v>
      </c>
      <c r="F575" s="14" t="s">
        <v>14</v>
      </c>
      <c r="G575">
        <v>300</v>
      </c>
      <c r="H575">
        <v>13936.99</v>
      </c>
      <c r="I575">
        <v>13916.43</v>
      </c>
      <c r="J575">
        <v>6</v>
      </c>
      <c r="K575" s="14" t="s">
        <v>15</v>
      </c>
      <c r="L575" s="14">
        <f>IF(OR(Table1[[#This Row],[Order_Status]]="Delivered",Table1[[#This Row],[Delivery_Date]]&lt;&gt;"Not Yet Delivered"),Table1[[#This Row],[Delivery_Date]]-Table1[[#This Row],[Order_Date]],"Not Applicable")</f>
        <v>17</v>
      </c>
      <c r="M575" s="14">
        <f>Table1[[#This Row],[Unit_Cost]]-Table1[[#This Row],[Negotiated_Cost]]</f>
        <v>20.559999999999491</v>
      </c>
      <c r="N575" s="18">
        <f>Table1[[#This Row],[Defective_Units]]/Table1[[#This Row],[Quantity]]</f>
        <v>0.02</v>
      </c>
      <c r="O575" s="26">
        <f>(Table1[[#This Row],[Unit_Cost]]-Table1[[#This Row],[Negotiated_Cost]])/Table1[[#This Row],[Unit_Cost]]</f>
        <v>1.4752109314851694E-3</v>
      </c>
    </row>
    <row r="576" spans="1:15" x14ac:dyDescent="0.25">
      <c r="A576" t="s">
        <v>611</v>
      </c>
      <c r="B576" t="s">
        <v>32</v>
      </c>
      <c r="C576" s="14" t="s">
        <v>30</v>
      </c>
      <c r="D576" s="1">
        <v>44944</v>
      </c>
      <c r="E576" s="13">
        <v>44966</v>
      </c>
      <c r="F576" s="14" t="s">
        <v>14</v>
      </c>
      <c r="G576">
        <v>16</v>
      </c>
      <c r="H576">
        <v>861.99</v>
      </c>
      <c r="I576">
        <v>842.03</v>
      </c>
      <c r="J576">
        <v>1</v>
      </c>
      <c r="K576" s="14" t="s">
        <v>15</v>
      </c>
      <c r="L576" s="14">
        <f>IF(OR(Table1[[#This Row],[Order_Status]]="Delivered",Table1[[#This Row],[Delivery_Date]]&lt;&gt;"Not Yet Delivered"),Table1[[#This Row],[Delivery_Date]]-Table1[[#This Row],[Order_Date]],"Not Applicable")</f>
        <v>22</v>
      </c>
      <c r="M576" s="14">
        <f>Table1[[#This Row],[Unit_Cost]]-Table1[[#This Row],[Negotiated_Cost]]</f>
        <v>19.960000000000036</v>
      </c>
      <c r="N576" s="18">
        <f>Table1[[#This Row],[Defective_Units]]/Table1[[#This Row],[Quantity]]</f>
        <v>6.25E-2</v>
      </c>
      <c r="O576" s="26">
        <f>(Table1[[#This Row],[Unit_Cost]]-Table1[[#This Row],[Negotiated_Cost]])/Table1[[#This Row],[Unit_Cost]]</f>
        <v>2.3155721064049509E-2</v>
      </c>
    </row>
    <row r="577" spans="1:15" x14ac:dyDescent="0.25">
      <c r="A577" t="s">
        <v>612</v>
      </c>
      <c r="B577" t="s">
        <v>46</v>
      </c>
      <c r="C577" s="14" t="s">
        <v>42</v>
      </c>
      <c r="D577" s="1">
        <v>45545</v>
      </c>
      <c r="E577" s="13">
        <v>45557</v>
      </c>
      <c r="F577" s="14" t="s">
        <v>14</v>
      </c>
      <c r="G577">
        <v>361</v>
      </c>
      <c r="H577">
        <v>12274.6</v>
      </c>
      <c r="I577">
        <v>12162.32</v>
      </c>
      <c r="J577">
        <v>8</v>
      </c>
      <c r="K577" s="14" t="s">
        <v>15</v>
      </c>
      <c r="L577" s="14">
        <f>IF(OR(Table1[[#This Row],[Order_Status]]="Delivered",Table1[[#This Row],[Delivery_Date]]&lt;&gt;"Not Yet Delivered"),Table1[[#This Row],[Delivery_Date]]-Table1[[#This Row],[Order_Date]],"Not Applicable")</f>
        <v>12</v>
      </c>
      <c r="M577" s="14">
        <f>Table1[[#This Row],[Unit_Cost]]-Table1[[#This Row],[Negotiated_Cost]]</f>
        <v>112.28000000000065</v>
      </c>
      <c r="N577" s="18">
        <f>Table1[[#This Row],[Defective_Units]]/Table1[[#This Row],[Quantity]]</f>
        <v>2.2160664819944598E-2</v>
      </c>
      <c r="O577" s="26">
        <f>(Table1[[#This Row],[Unit_Cost]]-Table1[[#This Row],[Negotiated_Cost]])/Table1[[#This Row],[Unit_Cost]]</f>
        <v>9.1473449236635536E-3</v>
      </c>
    </row>
    <row r="578" spans="1:15" x14ac:dyDescent="0.25">
      <c r="A578" t="s">
        <v>613</v>
      </c>
      <c r="B578" t="s">
        <v>40</v>
      </c>
      <c r="C578" s="14" t="s">
        <v>48</v>
      </c>
      <c r="D578" s="1">
        <v>45313</v>
      </c>
      <c r="E578" s="13">
        <v>45322</v>
      </c>
      <c r="F578" s="14" t="s">
        <v>14</v>
      </c>
      <c r="G578">
        <v>97</v>
      </c>
      <c r="H578">
        <v>6840.13</v>
      </c>
      <c r="I578">
        <v>6642.35</v>
      </c>
      <c r="J578">
        <v>2</v>
      </c>
      <c r="K578" s="14" t="s">
        <v>15</v>
      </c>
      <c r="L578" s="14">
        <f>IF(OR(Table1[[#This Row],[Order_Status]]="Delivered",Table1[[#This Row],[Delivery_Date]]&lt;&gt;"Not Yet Delivered"),Table1[[#This Row],[Delivery_Date]]-Table1[[#This Row],[Order_Date]],"Not Applicable")</f>
        <v>9</v>
      </c>
      <c r="M578" s="14">
        <f>Table1[[#This Row],[Unit_Cost]]-Table1[[#This Row],[Negotiated_Cost]]</f>
        <v>197.77999999999975</v>
      </c>
      <c r="N578" s="18">
        <f>Table1[[#This Row],[Defective_Units]]/Table1[[#This Row],[Quantity]]</f>
        <v>2.0618556701030927E-2</v>
      </c>
      <c r="O578" s="26">
        <f>(Table1[[#This Row],[Unit_Cost]]-Table1[[#This Row],[Negotiated_Cost]])/Table1[[#This Row],[Unit_Cost]]</f>
        <v>2.8914655130823499E-2</v>
      </c>
    </row>
    <row r="579" spans="1:15" x14ac:dyDescent="0.25">
      <c r="A579" t="s">
        <v>614</v>
      </c>
      <c r="B579" t="s">
        <v>40</v>
      </c>
      <c r="C579" s="14" t="s">
        <v>24</v>
      </c>
      <c r="D579" s="1">
        <v>45452</v>
      </c>
      <c r="E579" s="13">
        <v>45476</v>
      </c>
      <c r="F579" s="14" t="s">
        <v>14</v>
      </c>
      <c r="G579">
        <v>18</v>
      </c>
      <c r="H579">
        <v>13817.83</v>
      </c>
      <c r="I579">
        <v>13148.66</v>
      </c>
      <c r="J579">
        <v>0</v>
      </c>
      <c r="K579" s="14" t="s">
        <v>15</v>
      </c>
      <c r="L579" s="14">
        <f>IF(OR(Table1[[#This Row],[Order_Status]]="Delivered",Table1[[#This Row],[Delivery_Date]]&lt;&gt;"Not Yet Delivered"),Table1[[#This Row],[Delivery_Date]]-Table1[[#This Row],[Order_Date]],"Not Applicable")</f>
        <v>24</v>
      </c>
      <c r="M579" s="14">
        <f>Table1[[#This Row],[Unit_Cost]]-Table1[[#This Row],[Negotiated_Cost]]</f>
        <v>669.17000000000007</v>
      </c>
      <c r="N579" s="18">
        <f>Table1[[#This Row],[Defective_Units]]/Table1[[#This Row],[Quantity]]</f>
        <v>0</v>
      </c>
      <c r="O579" s="26">
        <f>(Table1[[#This Row],[Unit_Cost]]-Table1[[#This Row],[Negotiated_Cost]])/Table1[[#This Row],[Unit_Cost]]</f>
        <v>4.8428009318395152E-2</v>
      </c>
    </row>
    <row r="580" spans="1:15" x14ac:dyDescent="0.25">
      <c r="A580" t="s">
        <v>615</v>
      </c>
      <c r="B580" t="s">
        <v>20</v>
      </c>
      <c r="C580" s="14" t="s">
        <v>24</v>
      </c>
      <c r="D580" s="1">
        <v>45442</v>
      </c>
      <c r="E580" s="14" t="s">
        <v>2057</v>
      </c>
      <c r="F580" s="14" t="s">
        <v>33</v>
      </c>
      <c r="G580">
        <v>430</v>
      </c>
      <c r="H580">
        <v>11519.41</v>
      </c>
      <c r="I580">
        <v>11090.71</v>
      </c>
      <c r="J580">
        <v>2</v>
      </c>
      <c r="K580" s="14" t="s">
        <v>15</v>
      </c>
      <c r="L580" s="14" t="str">
        <f>IF(OR(Table1[[#This Row],[Order_Status]]="Delivered",Table1[[#This Row],[Delivery_Date]]&lt;&gt;"Not Yet Delivered"),Table1[[#This Row],[Delivery_Date]]-Table1[[#This Row],[Order_Date]],"Not Applicable")</f>
        <v>Not Applicable</v>
      </c>
      <c r="M580" s="14">
        <f>Table1[[#This Row],[Unit_Cost]]-Table1[[#This Row],[Negotiated_Cost]]</f>
        <v>428.70000000000073</v>
      </c>
      <c r="N580" s="18">
        <f>Table1[[#This Row],[Defective_Units]]/Table1[[#This Row],[Quantity]]</f>
        <v>4.6511627906976744E-3</v>
      </c>
      <c r="O580" s="26">
        <f>(Table1[[#This Row],[Unit_Cost]]-Table1[[#This Row],[Negotiated_Cost]])/Table1[[#This Row],[Unit_Cost]]</f>
        <v>3.721544766615658E-2</v>
      </c>
    </row>
    <row r="581" spans="1:15" x14ac:dyDescent="0.25">
      <c r="A581" t="s">
        <v>616</v>
      </c>
      <c r="B581" t="s">
        <v>27</v>
      </c>
      <c r="C581" s="14" t="s">
        <v>24</v>
      </c>
      <c r="D581" s="1">
        <v>44938</v>
      </c>
      <c r="E581" s="13">
        <v>44968</v>
      </c>
      <c r="F581" s="14" t="s">
        <v>14</v>
      </c>
      <c r="G581">
        <v>85</v>
      </c>
      <c r="H581">
        <v>13088.33</v>
      </c>
      <c r="I581">
        <v>12447.36</v>
      </c>
      <c r="J581">
        <v>1</v>
      </c>
      <c r="K581" s="14" t="s">
        <v>15</v>
      </c>
      <c r="L581" s="14">
        <f>IF(OR(Table1[[#This Row],[Order_Status]]="Delivered",Table1[[#This Row],[Delivery_Date]]&lt;&gt;"Not Yet Delivered"),Table1[[#This Row],[Delivery_Date]]-Table1[[#This Row],[Order_Date]],"Not Applicable")</f>
        <v>30</v>
      </c>
      <c r="M581" s="14">
        <f>Table1[[#This Row],[Unit_Cost]]-Table1[[#This Row],[Negotiated_Cost]]</f>
        <v>640.96999999999935</v>
      </c>
      <c r="N581" s="18">
        <f>Table1[[#This Row],[Defective_Units]]/Table1[[#This Row],[Quantity]]</f>
        <v>1.1764705882352941E-2</v>
      </c>
      <c r="O581" s="26">
        <f>(Table1[[#This Row],[Unit_Cost]]-Table1[[#This Row],[Negotiated_Cost]])/Table1[[#This Row],[Unit_Cost]]</f>
        <v>4.8972634400263393E-2</v>
      </c>
    </row>
    <row r="582" spans="1:15" x14ac:dyDescent="0.25">
      <c r="A582" t="s">
        <v>617</v>
      </c>
      <c r="B582" t="s">
        <v>27</v>
      </c>
      <c r="C582" s="14" t="s">
        <v>18</v>
      </c>
      <c r="D582" s="1">
        <v>45577</v>
      </c>
      <c r="E582" s="13">
        <v>45598</v>
      </c>
      <c r="F582" s="14" t="s">
        <v>14</v>
      </c>
      <c r="G582">
        <v>128</v>
      </c>
      <c r="H582">
        <v>5316.29</v>
      </c>
      <c r="I582">
        <v>5060.33</v>
      </c>
      <c r="J582">
        <v>1</v>
      </c>
      <c r="K582" s="14" t="s">
        <v>15</v>
      </c>
      <c r="L582" s="14">
        <f>IF(OR(Table1[[#This Row],[Order_Status]]="Delivered",Table1[[#This Row],[Delivery_Date]]&lt;&gt;"Not Yet Delivered"),Table1[[#This Row],[Delivery_Date]]-Table1[[#This Row],[Order_Date]],"Not Applicable")</f>
        <v>21</v>
      </c>
      <c r="M582" s="14">
        <f>Table1[[#This Row],[Unit_Cost]]-Table1[[#This Row],[Negotiated_Cost]]</f>
        <v>255.96000000000004</v>
      </c>
      <c r="N582" s="18">
        <f>Table1[[#This Row],[Defective_Units]]/Table1[[#This Row],[Quantity]]</f>
        <v>7.8125E-3</v>
      </c>
      <c r="O582" s="26">
        <f>(Table1[[#This Row],[Unit_Cost]]-Table1[[#This Row],[Negotiated_Cost]])/Table1[[#This Row],[Unit_Cost]]</f>
        <v>4.8146357704338935E-2</v>
      </c>
    </row>
    <row r="583" spans="1:15" x14ac:dyDescent="0.25">
      <c r="A583" t="s">
        <v>618</v>
      </c>
      <c r="B583" t="s">
        <v>27</v>
      </c>
      <c r="C583" s="14" t="s">
        <v>55</v>
      </c>
      <c r="D583" s="1">
        <v>45587</v>
      </c>
      <c r="E583" s="13">
        <v>45612</v>
      </c>
      <c r="F583" s="14" t="s">
        <v>14</v>
      </c>
      <c r="G583">
        <v>240</v>
      </c>
      <c r="H583">
        <v>14518.46</v>
      </c>
      <c r="I583">
        <v>14459.98</v>
      </c>
      <c r="J583">
        <v>2</v>
      </c>
      <c r="K583" s="14" t="s">
        <v>15</v>
      </c>
      <c r="L583" s="14">
        <f>IF(OR(Table1[[#This Row],[Order_Status]]="Delivered",Table1[[#This Row],[Delivery_Date]]&lt;&gt;"Not Yet Delivered"),Table1[[#This Row],[Delivery_Date]]-Table1[[#This Row],[Order_Date]],"Not Applicable")</f>
        <v>25</v>
      </c>
      <c r="M583" s="14">
        <f>Table1[[#This Row],[Unit_Cost]]-Table1[[#This Row],[Negotiated_Cost]]</f>
        <v>58.479999999999563</v>
      </c>
      <c r="N583" s="18">
        <f>Table1[[#This Row],[Defective_Units]]/Table1[[#This Row],[Quantity]]</f>
        <v>8.3333333333333332E-3</v>
      </c>
      <c r="O583" s="26">
        <f>(Table1[[#This Row],[Unit_Cost]]-Table1[[#This Row],[Negotiated_Cost]])/Table1[[#This Row],[Unit_Cost]]</f>
        <v>4.0279754188804855E-3</v>
      </c>
    </row>
    <row r="584" spans="1:15" x14ac:dyDescent="0.25">
      <c r="A584" t="s">
        <v>619</v>
      </c>
      <c r="B584" t="s">
        <v>32</v>
      </c>
      <c r="C584" s="14" t="s">
        <v>21</v>
      </c>
      <c r="D584" s="1">
        <v>45482</v>
      </c>
      <c r="E584" s="13">
        <v>45500</v>
      </c>
      <c r="F584" s="14" t="s">
        <v>14</v>
      </c>
      <c r="G584">
        <v>334</v>
      </c>
      <c r="H584">
        <v>115.97</v>
      </c>
      <c r="I584">
        <v>109.1</v>
      </c>
      <c r="J584">
        <v>0</v>
      </c>
      <c r="K584" s="14" t="s">
        <v>15</v>
      </c>
      <c r="L584" s="14">
        <f>IF(OR(Table1[[#This Row],[Order_Status]]="Delivered",Table1[[#This Row],[Delivery_Date]]&lt;&gt;"Not Yet Delivered"),Table1[[#This Row],[Delivery_Date]]-Table1[[#This Row],[Order_Date]],"Not Applicable")</f>
        <v>18</v>
      </c>
      <c r="M584" s="14">
        <f>Table1[[#This Row],[Unit_Cost]]-Table1[[#This Row],[Negotiated_Cost]]</f>
        <v>6.8700000000000045</v>
      </c>
      <c r="N584" s="18">
        <f>Table1[[#This Row],[Defective_Units]]/Table1[[#This Row],[Quantity]]</f>
        <v>0</v>
      </c>
      <c r="O584" s="26">
        <f>(Table1[[#This Row],[Unit_Cost]]-Table1[[#This Row],[Negotiated_Cost]])/Table1[[#This Row],[Unit_Cost]]</f>
        <v>5.9239458480641584E-2</v>
      </c>
    </row>
    <row r="585" spans="1:15" x14ac:dyDescent="0.25">
      <c r="A585" t="s">
        <v>620</v>
      </c>
      <c r="B585" t="s">
        <v>35</v>
      </c>
      <c r="C585" s="14" t="s">
        <v>36</v>
      </c>
      <c r="D585" s="1">
        <v>44996</v>
      </c>
      <c r="E585" s="13">
        <v>44998</v>
      </c>
      <c r="F585" s="14" t="s">
        <v>14</v>
      </c>
      <c r="G585">
        <v>345</v>
      </c>
      <c r="H585">
        <v>535.57000000000005</v>
      </c>
      <c r="I585">
        <v>518.14</v>
      </c>
      <c r="J585">
        <v>0</v>
      </c>
      <c r="K585" s="14" t="s">
        <v>15</v>
      </c>
      <c r="L585" s="14">
        <f>IF(OR(Table1[[#This Row],[Order_Status]]="Delivered",Table1[[#This Row],[Delivery_Date]]&lt;&gt;"Not Yet Delivered"),Table1[[#This Row],[Delivery_Date]]-Table1[[#This Row],[Order_Date]],"Not Applicable")</f>
        <v>2</v>
      </c>
      <c r="M585" s="14">
        <f>Table1[[#This Row],[Unit_Cost]]-Table1[[#This Row],[Negotiated_Cost]]</f>
        <v>17.430000000000064</v>
      </c>
      <c r="N585" s="18">
        <f>Table1[[#This Row],[Defective_Units]]/Table1[[#This Row],[Quantity]]</f>
        <v>0</v>
      </c>
      <c r="O585" s="26">
        <f>(Table1[[#This Row],[Unit_Cost]]-Table1[[#This Row],[Negotiated_Cost]])/Table1[[#This Row],[Unit_Cost]]</f>
        <v>3.2544765390145197E-2</v>
      </c>
    </row>
    <row r="586" spans="1:15" x14ac:dyDescent="0.25">
      <c r="A586" t="s">
        <v>621</v>
      </c>
      <c r="B586" t="s">
        <v>17</v>
      </c>
      <c r="C586" s="14" t="s">
        <v>44</v>
      </c>
      <c r="D586" s="1">
        <v>45512</v>
      </c>
      <c r="E586" s="13">
        <v>45523</v>
      </c>
      <c r="F586" s="14" t="s">
        <v>14</v>
      </c>
      <c r="G586">
        <v>114</v>
      </c>
      <c r="H586">
        <v>8304.4599999999991</v>
      </c>
      <c r="I586">
        <v>7994.53</v>
      </c>
      <c r="J586">
        <v>0</v>
      </c>
      <c r="K586" s="14" t="s">
        <v>15</v>
      </c>
      <c r="L586" s="14">
        <f>IF(OR(Table1[[#This Row],[Order_Status]]="Delivered",Table1[[#This Row],[Delivery_Date]]&lt;&gt;"Not Yet Delivered"),Table1[[#This Row],[Delivery_Date]]-Table1[[#This Row],[Order_Date]],"Not Applicable")</f>
        <v>11</v>
      </c>
      <c r="M586" s="14">
        <f>Table1[[#This Row],[Unit_Cost]]-Table1[[#This Row],[Negotiated_Cost]]</f>
        <v>309.92999999999938</v>
      </c>
      <c r="N586" s="18">
        <f>Table1[[#This Row],[Defective_Units]]/Table1[[#This Row],[Quantity]]</f>
        <v>0</v>
      </c>
      <c r="O586" s="26">
        <f>(Table1[[#This Row],[Unit_Cost]]-Table1[[#This Row],[Negotiated_Cost]])/Table1[[#This Row],[Unit_Cost]]</f>
        <v>3.7320909487191148E-2</v>
      </c>
    </row>
    <row r="587" spans="1:15" x14ac:dyDescent="0.25">
      <c r="A587" t="s">
        <v>622</v>
      </c>
      <c r="B587" t="s">
        <v>46</v>
      </c>
      <c r="C587" s="14" t="s">
        <v>13</v>
      </c>
      <c r="D587" s="1">
        <v>45502</v>
      </c>
      <c r="E587" s="13">
        <v>45521</v>
      </c>
      <c r="F587" s="14" t="s">
        <v>14</v>
      </c>
      <c r="G587">
        <v>459</v>
      </c>
      <c r="H587">
        <v>4127.01</v>
      </c>
      <c r="I587">
        <v>4088.38</v>
      </c>
      <c r="J587">
        <v>4</v>
      </c>
      <c r="K587" s="14" t="s">
        <v>15</v>
      </c>
      <c r="L587" s="14">
        <f>IF(OR(Table1[[#This Row],[Order_Status]]="Delivered",Table1[[#This Row],[Delivery_Date]]&lt;&gt;"Not Yet Delivered"),Table1[[#This Row],[Delivery_Date]]-Table1[[#This Row],[Order_Date]],"Not Applicable")</f>
        <v>19</v>
      </c>
      <c r="M587" s="14">
        <f>Table1[[#This Row],[Unit_Cost]]-Table1[[#This Row],[Negotiated_Cost]]</f>
        <v>38.630000000000109</v>
      </c>
      <c r="N587" s="18">
        <f>Table1[[#This Row],[Defective_Units]]/Table1[[#This Row],[Quantity]]</f>
        <v>8.7145969498910684E-3</v>
      </c>
      <c r="O587" s="26">
        <f>(Table1[[#This Row],[Unit_Cost]]-Table1[[#This Row],[Negotiated_Cost]])/Table1[[#This Row],[Unit_Cost]]</f>
        <v>9.3602874720439509E-3</v>
      </c>
    </row>
    <row r="588" spans="1:15" x14ac:dyDescent="0.25">
      <c r="A588" t="s">
        <v>623</v>
      </c>
      <c r="B588" t="s">
        <v>27</v>
      </c>
      <c r="C588" s="14" t="s">
        <v>55</v>
      </c>
      <c r="D588" s="1">
        <v>45548</v>
      </c>
      <c r="E588" s="13">
        <v>45561</v>
      </c>
      <c r="F588" s="14" t="s">
        <v>14</v>
      </c>
      <c r="G588">
        <v>258</v>
      </c>
      <c r="H588">
        <v>14462.61</v>
      </c>
      <c r="I588">
        <v>13687.38</v>
      </c>
      <c r="J588">
        <v>7</v>
      </c>
      <c r="K588" s="14" t="s">
        <v>15</v>
      </c>
      <c r="L588" s="14">
        <f>IF(OR(Table1[[#This Row],[Order_Status]]="Delivered",Table1[[#This Row],[Delivery_Date]]&lt;&gt;"Not Yet Delivered"),Table1[[#This Row],[Delivery_Date]]-Table1[[#This Row],[Order_Date]],"Not Applicable")</f>
        <v>13</v>
      </c>
      <c r="M588" s="14">
        <f>Table1[[#This Row],[Unit_Cost]]-Table1[[#This Row],[Negotiated_Cost]]</f>
        <v>775.23000000000138</v>
      </c>
      <c r="N588" s="18">
        <f>Table1[[#This Row],[Defective_Units]]/Table1[[#This Row],[Quantity]]</f>
        <v>2.7131782945736434E-2</v>
      </c>
      <c r="O588" s="26">
        <f>(Table1[[#This Row],[Unit_Cost]]-Table1[[#This Row],[Negotiated_Cost]])/Table1[[#This Row],[Unit_Cost]]</f>
        <v>5.3602358080595505E-2</v>
      </c>
    </row>
    <row r="589" spans="1:15" x14ac:dyDescent="0.25">
      <c r="A589" t="s">
        <v>624</v>
      </c>
      <c r="B589" t="s">
        <v>12</v>
      </c>
      <c r="C589" s="14" t="s">
        <v>44</v>
      </c>
      <c r="D589" s="1">
        <v>45087</v>
      </c>
      <c r="E589" s="13">
        <v>45098</v>
      </c>
      <c r="F589" s="14" t="s">
        <v>14</v>
      </c>
      <c r="G589">
        <v>435</v>
      </c>
      <c r="H589">
        <v>8694.31</v>
      </c>
      <c r="I589">
        <v>8442.4599999999991</v>
      </c>
      <c r="J589">
        <v>4</v>
      </c>
      <c r="K589" s="14" t="s">
        <v>15</v>
      </c>
      <c r="L589" s="14">
        <f>IF(OR(Table1[[#This Row],[Order_Status]]="Delivered",Table1[[#This Row],[Delivery_Date]]&lt;&gt;"Not Yet Delivered"),Table1[[#This Row],[Delivery_Date]]-Table1[[#This Row],[Order_Date]],"Not Applicable")</f>
        <v>11</v>
      </c>
      <c r="M589" s="14">
        <f>Table1[[#This Row],[Unit_Cost]]-Table1[[#This Row],[Negotiated_Cost]]</f>
        <v>251.85000000000036</v>
      </c>
      <c r="N589" s="18">
        <f>Table1[[#This Row],[Defective_Units]]/Table1[[#This Row],[Quantity]]</f>
        <v>9.1954022988505746E-3</v>
      </c>
      <c r="O589" s="26">
        <f>(Table1[[#This Row],[Unit_Cost]]-Table1[[#This Row],[Negotiated_Cost]])/Table1[[#This Row],[Unit_Cost]]</f>
        <v>2.8967221090575375E-2</v>
      </c>
    </row>
    <row r="590" spans="1:15" x14ac:dyDescent="0.25">
      <c r="A590" t="s">
        <v>625</v>
      </c>
      <c r="B590" t="s">
        <v>35</v>
      </c>
      <c r="C590" s="14" t="s">
        <v>55</v>
      </c>
      <c r="D590" s="1">
        <v>45066</v>
      </c>
      <c r="E590" s="14" t="s">
        <v>2057</v>
      </c>
      <c r="F590" s="14" t="s">
        <v>33</v>
      </c>
      <c r="G590">
        <v>284</v>
      </c>
      <c r="H590">
        <v>14359.3</v>
      </c>
      <c r="I590">
        <v>13595.36</v>
      </c>
      <c r="J590">
        <v>2</v>
      </c>
      <c r="K590" s="14" t="s">
        <v>15</v>
      </c>
      <c r="L590" s="14" t="str">
        <f>IF(OR(Table1[[#This Row],[Order_Status]]="Delivered",Table1[[#This Row],[Delivery_Date]]&lt;&gt;"Not Yet Delivered"),Table1[[#This Row],[Delivery_Date]]-Table1[[#This Row],[Order_Date]],"Not Applicable")</f>
        <v>Not Applicable</v>
      </c>
      <c r="M590" s="14">
        <f>Table1[[#This Row],[Unit_Cost]]-Table1[[#This Row],[Negotiated_Cost]]</f>
        <v>763.93999999999869</v>
      </c>
      <c r="N590" s="18">
        <f>Table1[[#This Row],[Defective_Units]]/Table1[[#This Row],[Quantity]]</f>
        <v>7.0422535211267607E-3</v>
      </c>
      <c r="O590" s="26">
        <f>(Table1[[#This Row],[Unit_Cost]]-Table1[[#This Row],[Negotiated_Cost]])/Table1[[#This Row],[Unit_Cost]]</f>
        <v>5.3201757745851029E-2</v>
      </c>
    </row>
    <row r="591" spans="1:15" x14ac:dyDescent="0.25">
      <c r="A591" t="s">
        <v>626</v>
      </c>
      <c r="B591" t="s">
        <v>46</v>
      </c>
      <c r="C591" s="14" t="s">
        <v>55</v>
      </c>
      <c r="D591" s="1">
        <v>45265</v>
      </c>
      <c r="E591" s="13">
        <v>45292</v>
      </c>
      <c r="F591" s="14" t="s">
        <v>14</v>
      </c>
      <c r="G591">
        <v>289</v>
      </c>
      <c r="H591">
        <v>13873.22</v>
      </c>
      <c r="I591">
        <v>13469.76</v>
      </c>
      <c r="J591">
        <v>0</v>
      </c>
      <c r="K591" s="14" t="s">
        <v>25</v>
      </c>
      <c r="L591" s="14">
        <f>IF(OR(Table1[[#This Row],[Order_Status]]="Delivered",Table1[[#This Row],[Delivery_Date]]&lt;&gt;"Not Yet Delivered"),Table1[[#This Row],[Delivery_Date]]-Table1[[#This Row],[Order_Date]],"Not Applicable")</f>
        <v>27</v>
      </c>
      <c r="M591" s="14">
        <f>Table1[[#This Row],[Unit_Cost]]-Table1[[#This Row],[Negotiated_Cost]]</f>
        <v>403.45999999999913</v>
      </c>
      <c r="N591" s="18">
        <f>Table1[[#This Row],[Defective_Units]]/Table1[[#This Row],[Quantity]]</f>
        <v>0</v>
      </c>
      <c r="O591" s="26">
        <f>(Table1[[#This Row],[Unit_Cost]]-Table1[[#This Row],[Negotiated_Cost]])/Table1[[#This Row],[Unit_Cost]]</f>
        <v>2.9081929069098532E-2</v>
      </c>
    </row>
    <row r="592" spans="1:15" x14ac:dyDescent="0.25">
      <c r="A592" t="s">
        <v>627</v>
      </c>
      <c r="B592" t="s">
        <v>32</v>
      </c>
      <c r="C592" s="14" t="s">
        <v>36</v>
      </c>
      <c r="D592" s="1">
        <v>45184</v>
      </c>
      <c r="E592" s="13">
        <v>45209</v>
      </c>
      <c r="F592" s="14" t="s">
        <v>14</v>
      </c>
      <c r="G592">
        <v>131</v>
      </c>
      <c r="H592">
        <v>517.12</v>
      </c>
      <c r="I592">
        <v>515.03</v>
      </c>
      <c r="J592">
        <v>0</v>
      </c>
      <c r="K592" s="14" t="s">
        <v>15</v>
      </c>
      <c r="L592" s="14">
        <f>IF(OR(Table1[[#This Row],[Order_Status]]="Delivered",Table1[[#This Row],[Delivery_Date]]&lt;&gt;"Not Yet Delivered"),Table1[[#This Row],[Delivery_Date]]-Table1[[#This Row],[Order_Date]],"Not Applicable")</f>
        <v>25</v>
      </c>
      <c r="M592" s="14">
        <f>Table1[[#This Row],[Unit_Cost]]-Table1[[#This Row],[Negotiated_Cost]]</f>
        <v>2.0900000000000318</v>
      </c>
      <c r="N592" s="18">
        <f>Table1[[#This Row],[Defective_Units]]/Table1[[#This Row],[Quantity]]</f>
        <v>0</v>
      </c>
      <c r="O592" s="26">
        <f>(Table1[[#This Row],[Unit_Cost]]-Table1[[#This Row],[Negotiated_Cost]])/Table1[[#This Row],[Unit_Cost]]</f>
        <v>4.0416150990099627E-3</v>
      </c>
    </row>
    <row r="593" spans="1:15" x14ac:dyDescent="0.25">
      <c r="A593" t="s">
        <v>628</v>
      </c>
      <c r="B593" t="s">
        <v>46</v>
      </c>
      <c r="C593" s="14" t="s">
        <v>36</v>
      </c>
      <c r="D593" s="1">
        <v>45443</v>
      </c>
      <c r="E593" s="13">
        <v>45465</v>
      </c>
      <c r="F593" s="14" t="s">
        <v>14</v>
      </c>
      <c r="G593">
        <v>463</v>
      </c>
      <c r="H593">
        <v>570.59</v>
      </c>
      <c r="I593">
        <v>557.70000000000005</v>
      </c>
      <c r="J593">
        <v>8</v>
      </c>
      <c r="K593" s="14" t="s">
        <v>15</v>
      </c>
      <c r="L593" s="14">
        <f>IF(OR(Table1[[#This Row],[Order_Status]]="Delivered",Table1[[#This Row],[Delivery_Date]]&lt;&gt;"Not Yet Delivered"),Table1[[#This Row],[Delivery_Date]]-Table1[[#This Row],[Order_Date]],"Not Applicable")</f>
        <v>22</v>
      </c>
      <c r="M593" s="14">
        <f>Table1[[#This Row],[Unit_Cost]]-Table1[[#This Row],[Negotiated_Cost]]</f>
        <v>12.889999999999986</v>
      </c>
      <c r="N593" s="18">
        <f>Table1[[#This Row],[Defective_Units]]/Table1[[#This Row],[Quantity]]</f>
        <v>1.7278617710583154E-2</v>
      </c>
      <c r="O593" s="26">
        <f>(Table1[[#This Row],[Unit_Cost]]-Table1[[#This Row],[Negotiated_Cost]])/Table1[[#This Row],[Unit_Cost]]</f>
        <v>2.2590651781489311E-2</v>
      </c>
    </row>
    <row r="594" spans="1:15" x14ac:dyDescent="0.25">
      <c r="A594" t="s">
        <v>629</v>
      </c>
      <c r="B594" t="s">
        <v>35</v>
      </c>
      <c r="C594" s="14" t="s">
        <v>21</v>
      </c>
      <c r="D594" s="1">
        <v>45281</v>
      </c>
      <c r="E594" s="13">
        <v>45288</v>
      </c>
      <c r="F594" s="14" t="s">
        <v>14</v>
      </c>
      <c r="G594">
        <v>259</v>
      </c>
      <c r="H594">
        <v>121.81</v>
      </c>
      <c r="I594">
        <v>115.63</v>
      </c>
      <c r="J594">
        <v>2</v>
      </c>
      <c r="K594" s="14" t="s">
        <v>15</v>
      </c>
      <c r="L594" s="14">
        <f>IF(OR(Table1[[#This Row],[Order_Status]]="Delivered",Table1[[#This Row],[Delivery_Date]]&lt;&gt;"Not Yet Delivered"),Table1[[#This Row],[Delivery_Date]]-Table1[[#This Row],[Order_Date]],"Not Applicable")</f>
        <v>7</v>
      </c>
      <c r="M594" s="14">
        <f>Table1[[#This Row],[Unit_Cost]]-Table1[[#This Row],[Negotiated_Cost]]</f>
        <v>6.1800000000000068</v>
      </c>
      <c r="N594" s="18">
        <f>Table1[[#This Row],[Defective_Units]]/Table1[[#This Row],[Quantity]]</f>
        <v>7.7220077220077222E-3</v>
      </c>
      <c r="O594" s="26">
        <f>(Table1[[#This Row],[Unit_Cost]]-Table1[[#This Row],[Negotiated_Cost]])/Table1[[#This Row],[Unit_Cost]]</f>
        <v>5.0734750841474482E-2</v>
      </c>
    </row>
    <row r="595" spans="1:15" x14ac:dyDescent="0.25">
      <c r="A595" t="s">
        <v>630</v>
      </c>
      <c r="B595" t="s">
        <v>35</v>
      </c>
      <c r="C595" s="14" t="s">
        <v>36</v>
      </c>
      <c r="D595" s="1">
        <v>45163</v>
      </c>
      <c r="E595" s="13">
        <v>45177</v>
      </c>
      <c r="F595" s="14" t="s">
        <v>14</v>
      </c>
      <c r="G595">
        <v>241</v>
      </c>
      <c r="H595">
        <v>546.23</v>
      </c>
      <c r="I595">
        <v>541.22</v>
      </c>
      <c r="J595">
        <v>2</v>
      </c>
      <c r="K595" s="14" t="s">
        <v>15</v>
      </c>
      <c r="L595" s="14">
        <f>IF(OR(Table1[[#This Row],[Order_Status]]="Delivered",Table1[[#This Row],[Delivery_Date]]&lt;&gt;"Not Yet Delivered"),Table1[[#This Row],[Delivery_Date]]-Table1[[#This Row],[Order_Date]],"Not Applicable")</f>
        <v>14</v>
      </c>
      <c r="M595" s="14">
        <f>Table1[[#This Row],[Unit_Cost]]-Table1[[#This Row],[Negotiated_Cost]]</f>
        <v>5.0099999999999909</v>
      </c>
      <c r="N595" s="18">
        <f>Table1[[#This Row],[Defective_Units]]/Table1[[#This Row],[Quantity]]</f>
        <v>8.2987551867219917E-3</v>
      </c>
      <c r="O595" s="26">
        <f>(Table1[[#This Row],[Unit_Cost]]-Table1[[#This Row],[Negotiated_Cost]])/Table1[[#This Row],[Unit_Cost]]</f>
        <v>9.1719605294472862E-3</v>
      </c>
    </row>
    <row r="596" spans="1:15" x14ac:dyDescent="0.25">
      <c r="A596" t="s">
        <v>631</v>
      </c>
      <c r="B596" t="s">
        <v>27</v>
      </c>
      <c r="C596" s="14" t="s">
        <v>36</v>
      </c>
      <c r="D596" s="1">
        <v>45335</v>
      </c>
      <c r="E596" s="13">
        <v>45352</v>
      </c>
      <c r="F596" s="14" t="s">
        <v>14</v>
      </c>
      <c r="G596">
        <v>304</v>
      </c>
      <c r="H596">
        <v>557.35</v>
      </c>
      <c r="I596">
        <v>551.22</v>
      </c>
      <c r="J596">
        <v>3</v>
      </c>
      <c r="K596" s="14" t="s">
        <v>15</v>
      </c>
      <c r="L596" s="14">
        <f>IF(OR(Table1[[#This Row],[Order_Status]]="Delivered",Table1[[#This Row],[Delivery_Date]]&lt;&gt;"Not Yet Delivered"),Table1[[#This Row],[Delivery_Date]]-Table1[[#This Row],[Order_Date]],"Not Applicable")</f>
        <v>17</v>
      </c>
      <c r="M596" s="14">
        <f>Table1[[#This Row],[Unit_Cost]]-Table1[[#This Row],[Negotiated_Cost]]</f>
        <v>6.1299999999999955</v>
      </c>
      <c r="N596" s="18">
        <f>Table1[[#This Row],[Defective_Units]]/Table1[[#This Row],[Quantity]]</f>
        <v>9.8684210526315784E-3</v>
      </c>
      <c r="O596" s="26">
        <f>(Table1[[#This Row],[Unit_Cost]]-Table1[[#This Row],[Negotiated_Cost]])/Table1[[#This Row],[Unit_Cost]]</f>
        <v>1.0998474925989047E-2</v>
      </c>
    </row>
    <row r="597" spans="1:15" x14ac:dyDescent="0.25">
      <c r="A597" t="s">
        <v>632</v>
      </c>
      <c r="B597" t="s">
        <v>35</v>
      </c>
      <c r="C597" s="14" t="s">
        <v>21</v>
      </c>
      <c r="D597" s="1">
        <v>45025</v>
      </c>
      <c r="E597" s="14" t="s">
        <v>2057</v>
      </c>
      <c r="F597" s="14" t="s">
        <v>22</v>
      </c>
      <c r="G597">
        <v>201</v>
      </c>
      <c r="H597">
        <v>126.87</v>
      </c>
      <c r="I597">
        <v>120.68</v>
      </c>
      <c r="J597">
        <v>2</v>
      </c>
      <c r="K597" s="14" t="s">
        <v>15</v>
      </c>
      <c r="L597" s="14" t="str">
        <f>IF(OR(Table1[[#This Row],[Order_Status]]="Delivered",Table1[[#This Row],[Delivery_Date]]&lt;&gt;"Not Yet Delivered"),Table1[[#This Row],[Delivery_Date]]-Table1[[#This Row],[Order_Date]],"Not Applicable")</f>
        <v>Not Applicable</v>
      </c>
      <c r="M597" s="14">
        <f>Table1[[#This Row],[Unit_Cost]]-Table1[[#This Row],[Negotiated_Cost]]</f>
        <v>6.1899999999999977</v>
      </c>
      <c r="N597" s="18">
        <f>Table1[[#This Row],[Defective_Units]]/Table1[[#This Row],[Quantity]]</f>
        <v>9.9502487562189053E-3</v>
      </c>
      <c r="O597" s="26">
        <f>(Table1[[#This Row],[Unit_Cost]]-Table1[[#This Row],[Negotiated_Cost]])/Table1[[#This Row],[Unit_Cost]]</f>
        <v>4.8790100102467072E-2</v>
      </c>
    </row>
    <row r="598" spans="1:15" x14ac:dyDescent="0.25">
      <c r="A598" t="s">
        <v>633</v>
      </c>
      <c r="B598" t="s">
        <v>27</v>
      </c>
      <c r="C598" s="14" t="s">
        <v>42</v>
      </c>
      <c r="D598" s="1">
        <v>45348</v>
      </c>
      <c r="E598" s="13">
        <v>45358</v>
      </c>
      <c r="F598" s="14" t="s">
        <v>37</v>
      </c>
      <c r="G598">
        <v>328</v>
      </c>
      <c r="H598">
        <v>12428.74</v>
      </c>
      <c r="I598">
        <v>11843.46</v>
      </c>
      <c r="J598">
        <v>4</v>
      </c>
      <c r="K598" s="14" t="s">
        <v>15</v>
      </c>
      <c r="L598" s="14">
        <f>IF(OR(Table1[[#This Row],[Order_Status]]="Delivered",Table1[[#This Row],[Delivery_Date]]&lt;&gt;"Not Yet Delivered"),Table1[[#This Row],[Delivery_Date]]-Table1[[#This Row],[Order_Date]],"Not Applicable")</f>
        <v>10</v>
      </c>
      <c r="M598" s="14">
        <f>Table1[[#This Row],[Unit_Cost]]-Table1[[#This Row],[Negotiated_Cost]]</f>
        <v>585.28000000000065</v>
      </c>
      <c r="N598" s="18">
        <f>Table1[[#This Row],[Defective_Units]]/Table1[[#This Row],[Quantity]]</f>
        <v>1.2195121951219513E-2</v>
      </c>
      <c r="O598" s="26">
        <f>(Table1[[#This Row],[Unit_Cost]]-Table1[[#This Row],[Negotiated_Cost]])/Table1[[#This Row],[Unit_Cost]]</f>
        <v>4.7090855549315594E-2</v>
      </c>
    </row>
    <row r="599" spans="1:15" x14ac:dyDescent="0.25">
      <c r="A599" t="s">
        <v>634</v>
      </c>
      <c r="B599" t="s">
        <v>40</v>
      </c>
      <c r="C599" s="14" t="s">
        <v>55</v>
      </c>
      <c r="D599" s="1">
        <v>45147</v>
      </c>
      <c r="E599" s="14" t="s">
        <v>2057</v>
      </c>
      <c r="F599" s="14" t="s">
        <v>22</v>
      </c>
      <c r="G599">
        <v>87</v>
      </c>
      <c r="H599">
        <v>15175.65</v>
      </c>
      <c r="I599">
        <v>14450.39</v>
      </c>
      <c r="J599">
        <v>2</v>
      </c>
      <c r="K599" s="14" t="s">
        <v>15</v>
      </c>
      <c r="L599" s="14" t="str">
        <f>IF(OR(Table1[[#This Row],[Order_Status]]="Delivered",Table1[[#This Row],[Delivery_Date]]&lt;&gt;"Not Yet Delivered"),Table1[[#This Row],[Delivery_Date]]-Table1[[#This Row],[Order_Date]],"Not Applicable")</f>
        <v>Not Applicable</v>
      </c>
      <c r="M599" s="14">
        <f>Table1[[#This Row],[Unit_Cost]]-Table1[[#This Row],[Negotiated_Cost]]</f>
        <v>725.26000000000022</v>
      </c>
      <c r="N599" s="18">
        <f>Table1[[#This Row],[Defective_Units]]/Table1[[#This Row],[Quantity]]</f>
        <v>2.2988505747126436E-2</v>
      </c>
      <c r="O599" s="26">
        <f>(Table1[[#This Row],[Unit_Cost]]-Table1[[#This Row],[Negotiated_Cost]])/Table1[[#This Row],[Unit_Cost]]</f>
        <v>4.7791033662479054E-2</v>
      </c>
    </row>
    <row r="600" spans="1:15" x14ac:dyDescent="0.25">
      <c r="A600" t="s">
        <v>635</v>
      </c>
      <c r="B600" t="s">
        <v>12</v>
      </c>
      <c r="C600" s="14" t="s">
        <v>18</v>
      </c>
      <c r="D600" s="1">
        <v>45207</v>
      </c>
      <c r="E600" s="13">
        <v>45211</v>
      </c>
      <c r="F600" s="14" t="s">
        <v>14</v>
      </c>
      <c r="G600">
        <v>219</v>
      </c>
      <c r="H600">
        <v>5379.54</v>
      </c>
      <c r="I600">
        <v>5315.58</v>
      </c>
      <c r="J600">
        <v>5</v>
      </c>
      <c r="K600" s="14" t="s">
        <v>15</v>
      </c>
      <c r="L600" s="14">
        <f>IF(OR(Table1[[#This Row],[Order_Status]]="Delivered",Table1[[#This Row],[Delivery_Date]]&lt;&gt;"Not Yet Delivered"),Table1[[#This Row],[Delivery_Date]]-Table1[[#This Row],[Order_Date]],"Not Applicable")</f>
        <v>4</v>
      </c>
      <c r="M600" s="14">
        <f>Table1[[#This Row],[Unit_Cost]]-Table1[[#This Row],[Negotiated_Cost]]</f>
        <v>63.960000000000036</v>
      </c>
      <c r="N600" s="18">
        <f>Table1[[#This Row],[Defective_Units]]/Table1[[#This Row],[Quantity]]</f>
        <v>2.2831050228310501E-2</v>
      </c>
      <c r="O600" s="26">
        <f>(Table1[[#This Row],[Unit_Cost]]-Table1[[#This Row],[Negotiated_Cost]])/Table1[[#This Row],[Unit_Cost]]</f>
        <v>1.1889492410131729E-2</v>
      </c>
    </row>
    <row r="601" spans="1:15" x14ac:dyDescent="0.25">
      <c r="A601" t="s">
        <v>636</v>
      </c>
      <c r="B601" t="s">
        <v>40</v>
      </c>
      <c r="C601" s="14" t="s">
        <v>48</v>
      </c>
      <c r="D601" s="1">
        <v>45152</v>
      </c>
      <c r="E601" s="13">
        <v>45166</v>
      </c>
      <c r="F601" s="14" t="s">
        <v>14</v>
      </c>
      <c r="G601">
        <v>109</v>
      </c>
      <c r="H601">
        <v>7098.39</v>
      </c>
      <c r="I601">
        <v>6880.85</v>
      </c>
      <c r="J601">
        <v>2</v>
      </c>
      <c r="K601" s="14" t="s">
        <v>15</v>
      </c>
      <c r="L601" s="14">
        <f>IF(OR(Table1[[#This Row],[Order_Status]]="Delivered",Table1[[#This Row],[Delivery_Date]]&lt;&gt;"Not Yet Delivered"),Table1[[#This Row],[Delivery_Date]]-Table1[[#This Row],[Order_Date]],"Not Applicable")</f>
        <v>14</v>
      </c>
      <c r="M601" s="14">
        <f>Table1[[#This Row],[Unit_Cost]]-Table1[[#This Row],[Negotiated_Cost]]</f>
        <v>217.53999999999996</v>
      </c>
      <c r="N601" s="18">
        <f>Table1[[#This Row],[Defective_Units]]/Table1[[#This Row],[Quantity]]</f>
        <v>1.834862385321101E-2</v>
      </c>
      <c r="O601" s="26">
        <f>(Table1[[#This Row],[Unit_Cost]]-Table1[[#This Row],[Negotiated_Cost]])/Table1[[#This Row],[Unit_Cost]]</f>
        <v>3.0646386011475835E-2</v>
      </c>
    </row>
    <row r="602" spans="1:15" x14ac:dyDescent="0.25">
      <c r="A602" t="s">
        <v>637</v>
      </c>
      <c r="B602" t="s">
        <v>27</v>
      </c>
      <c r="C602" s="14" t="s">
        <v>28</v>
      </c>
      <c r="D602" s="1">
        <v>45439</v>
      </c>
      <c r="E602" s="13">
        <v>45467</v>
      </c>
      <c r="F602" s="14" t="s">
        <v>14</v>
      </c>
      <c r="G602">
        <v>171</v>
      </c>
      <c r="H602">
        <v>49922.02</v>
      </c>
      <c r="I602">
        <v>47280.86</v>
      </c>
      <c r="J602">
        <v>4</v>
      </c>
      <c r="K602" s="14" t="s">
        <v>15</v>
      </c>
      <c r="L602" s="14">
        <f>IF(OR(Table1[[#This Row],[Order_Status]]="Delivered",Table1[[#This Row],[Delivery_Date]]&lt;&gt;"Not Yet Delivered"),Table1[[#This Row],[Delivery_Date]]-Table1[[#This Row],[Order_Date]],"Not Applicable")</f>
        <v>28</v>
      </c>
      <c r="M602" s="14">
        <f>Table1[[#This Row],[Unit_Cost]]-Table1[[#This Row],[Negotiated_Cost]]</f>
        <v>2641.1599999999962</v>
      </c>
      <c r="N602" s="18">
        <f>Table1[[#This Row],[Defective_Units]]/Table1[[#This Row],[Quantity]]</f>
        <v>2.3391812865497075E-2</v>
      </c>
      <c r="O602" s="26">
        <f>(Table1[[#This Row],[Unit_Cost]]-Table1[[#This Row],[Negotiated_Cost]])/Table1[[#This Row],[Unit_Cost]]</f>
        <v>5.2905711748042171E-2</v>
      </c>
    </row>
    <row r="603" spans="1:15" x14ac:dyDescent="0.25">
      <c r="A603" t="s">
        <v>638</v>
      </c>
      <c r="B603" t="s">
        <v>32</v>
      </c>
      <c r="C603" s="14" t="s">
        <v>50</v>
      </c>
      <c r="D603" s="1">
        <v>45220</v>
      </c>
      <c r="E603" s="13">
        <v>45230</v>
      </c>
      <c r="F603" s="14" t="s">
        <v>14</v>
      </c>
      <c r="G603">
        <v>411</v>
      </c>
      <c r="H603">
        <v>47376.92</v>
      </c>
      <c r="I603">
        <v>46527.26</v>
      </c>
      <c r="J603">
        <v>5</v>
      </c>
      <c r="K603" s="14" t="s">
        <v>15</v>
      </c>
      <c r="L603" s="14">
        <f>IF(OR(Table1[[#This Row],[Order_Status]]="Delivered",Table1[[#This Row],[Delivery_Date]]&lt;&gt;"Not Yet Delivered"),Table1[[#This Row],[Delivery_Date]]-Table1[[#This Row],[Order_Date]],"Not Applicable")</f>
        <v>10</v>
      </c>
      <c r="M603" s="14">
        <f>Table1[[#This Row],[Unit_Cost]]-Table1[[#This Row],[Negotiated_Cost]]</f>
        <v>849.65999999999622</v>
      </c>
      <c r="N603" s="18">
        <f>Table1[[#This Row],[Defective_Units]]/Table1[[#This Row],[Quantity]]</f>
        <v>1.2165450121654502E-2</v>
      </c>
      <c r="O603" s="26">
        <f>(Table1[[#This Row],[Unit_Cost]]-Table1[[#This Row],[Negotiated_Cost]])/Table1[[#This Row],[Unit_Cost]]</f>
        <v>1.7934048899759549E-2</v>
      </c>
    </row>
    <row r="604" spans="1:15" x14ac:dyDescent="0.25">
      <c r="A604" t="s">
        <v>639</v>
      </c>
      <c r="B604" t="s">
        <v>35</v>
      </c>
      <c r="C604" s="14" t="s">
        <v>18</v>
      </c>
      <c r="D604" s="1">
        <v>44977</v>
      </c>
      <c r="E604" s="13">
        <v>45006</v>
      </c>
      <c r="F604" s="14" t="s">
        <v>14</v>
      </c>
      <c r="G604">
        <v>303</v>
      </c>
      <c r="H604">
        <v>5201.21</v>
      </c>
      <c r="I604">
        <v>5173.1000000000004</v>
      </c>
      <c r="J604">
        <v>4</v>
      </c>
      <c r="K604" s="14" t="s">
        <v>15</v>
      </c>
      <c r="L604" s="14">
        <f>IF(OR(Table1[[#This Row],[Order_Status]]="Delivered",Table1[[#This Row],[Delivery_Date]]&lt;&gt;"Not Yet Delivered"),Table1[[#This Row],[Delivery_Date]]-Table1[[#This Row],[Order_Date]],"Not Applicable")</f>
        <v>29</v>
      </c>
      <c r="M604" s="14">
        <f>Table1[[#This Row],[Unit_Cost]]-Table1[[#This Row],[Negotiated_Cost]]</f>
        <v>28.109999999999673</v>
      </c>
      <c r="N604" s="18">
        <f>Table1[[#This Row],[Defective_Units]]/Table1[[#This Row],[Quantity]]</f>
        <v>1.3201320132013201E-2</v>
      </c>
      <c r="O604" s="26">
        <f>(Table1[[#This Row],[Unit_Cost]]-Table1[[#This Row],[Negotiated_Cost]])/Table1[[#This Row],[Unit_Cost]]</f>
        <v>5.4045116424831282E-3</v>
      </c>
    </row>
    <row r="605" spans="1:15" x14ac:dyDescent="0.25">
      <c r="A605" t="s">
        <v>640</v>
      </c>
      <c r="B605" t="s">
        <v>32</v>
      </c>
      <c r="C605" s="14" t="s">
        <v>21</v>
      </c>
      <c r="D605" s="1">
        <v>45346</v>
      </c>
      <c r="E605" s="14" t="s">
        <v>2057</v>
      </c>
      <c r="F605" s="14" t="s">
        <v>22</v>
      </c>
      <c r="G605">
        <v>199</v>
      </c>
      <c r="H605">
        <v>113.01</v>
      </c>
      <c r="I605">
        <v>106.79</v>
      </c>
      <c r="J605">
        <v>2</v>
      </c>
      <c r="K605" s="14" t="s">
        <v>15</v>
      </c>
      <c r="L605" s="14" t="str">
        <f>IF(OR(Table1[[#This Row],[Order_Status]]="Delivered",Table1[[#This Row],[Delivery_Date]]&lt;&gt;"Not Yet Delivered"),Table1[[#This Row],[Delivery_Date]]-Table1[[#This Row],[Order_Date]],"Not Applicable")</f>
        <v>Not Applicable</v>
      </c>
      <c r="M605" s="14">
        <f>Table1[[#This Row],[Unit_Cost]]-Table1[[#This Row],[Negotiated_Cost]]</f>
        <v>6.2199999999999989</v>
      </c>
      <c r="N605" s="18">
        <f>Table1[[#This Row],[Defective_Units]]/Table1[[#This Row],[Quantity]]</f>
        <v>1.0050251256281407E-2</v>
      </c>
      <c r="O605" s="26">
        <f>(Table1[[#This Row],[Unit_Cost]]-Table1[[#This Row],[Negotiated_Cost]])/Table1[[#This Row],[Unit_Cost]]</f>
        <v>5.5039377046279078E-2</v>
      </c>
    </row>
    <row r="606" spans="1:15" x14ac:dyDescent="0.25">
      <c r="A606" t="s">
        <v>641</v>
      </c>
      <c r="B606" t="s">
        <v>40</v>
      </c>
      <c r="C606" s="14" t="s">
        <v>21</v>
      </c>
      <c r="D606" s="1">
        <v>45395</v>
      </c>
      <c r="E606" s="13">
        <v>45422</v>
      </c>
      <c r="F606" s="14" t="s">
        <v>37</v>
      </c>
      <c r="G606">
        <v>316</v>
      </c>
      <c r="H606">
        <v>133.13</v>
      </c>
      <c r="I606">
        <v>132.12</v>
      </c>
      <c r="J606">
        <v>1</v>
      </c>
      <c r="K606" s="14" t="s">
        <v>25</v>
      </c>
      <c r="L606" s="14">
        <f>IF(OR(Table1[[#This Row],[Order_Status]]="Delivered",Table1[[#This Row],[Delivery_Date]]&lt;&gt;"Not Yet Delivered"),Table1[[#This Row],[Delivery_Date]]-Table1[[#This Row],[Order_Date]],"Not Applicable")</f>
        <v>27</v>
      </c>
      <c r="M606" s="14">
        <f>Table1[[#This Row],[Unit_Cost]]-Table1[[#This Row],[Negotiated_Cost]]</f>
        <v>1.0099999999999909</v>
      </c>
      <c r="N606" s="18">
        <f>Table1[[#This Row],[Defective_Units]]/Table1[[#This Row],[Quantity]]</f>
        <v>3.1645569620253164E-3</v>
      </c>
      <c r="O606" s="26">
        <f>(Table1[[#This Row],[Unit_Cost]]-Table1[[#This Row],[Negotiated_Cost]])/Table1[[#This Row],[Unit_Cost]]</f>
        <v>7.5865695185156684E-3</v>
      </c>
    </row>
    <row r="607" spans="1:15" x14ac:dyDescent="0.25">
      <c r="A607" t="s">
        <v>642</v>
      </c>
      <c r="B607" t="s">
        <v>46</v>
      </c>
      <c r="C607" s="14" t="s">
        <v>36</v>
      </c>
      <c r="D607" s="1">
        <v>45071</v>
      </c>
      <c r="E607" s="13">
        <v>45090</v>
      </c>
      <c r="F607" s="14" t="s">
        <v>14</v>
      </c>
      <c r="G607">
        <v>41</v>
      </c>
      <c r="H607">
        <v>567.88</v>
      </c>
      <c r="I607">
        <v>544.20000000000005</v>
      </c>
      <c r="J607">
        <v>1</v>
      </c>
      <c r="K607" s="14" t="s">
        <v>25</v>
      </c>
      <c r="L607" s="14">
        <f>IF(OR(Table1[[#This Row],[Order_Status]]="Delivered",Table1[[#This Row],[Delivery_Date]]&lt;&gt;"Not Yet Delivered"),Table1[[#This Row],[Delivery_Date]]-Table1[[#This Row],[Order_Date]],"Not Applicable")</f>
        <v>19</v>
      </c>
      <c r="M607" s="14">
        <f>Table1[[#This Row],[Unit_Cost]]-Table1[[#This Row],[Negotiated_Cost]]</f>
        <v>23.67999999999995</v>
      </c>
      <c r="N607" s="18">
        <f>Table1[[#This Row],[Defective_Units]]/Table1[[#This Row],[Quantity]]</f>
        <v>2.4390243902439025E-2</v>
      </c>
      <c r="O607" s="26">
        <f>(Table1[[#This Row],[Unit_Cost]]-Table1[[#This Row],[Negotiated_Cost]])/Table1[[#This Row],[Unit_Cost]]</f>
        <v>4.1698950482496215E-2</v>
      </c>
    </row>
    <row r="608" spans="1:15" x14ac:dyDescent="0.25">
      <c r="A608" t="s">
        <v>643</v>
      </c>
      <c r="B608" t="s">
        <v>40</v>
      </c>
      <c r="C608" s="14" t="s">
        <v>21</v>
      </c>
      <c r="D608" s="1">
        <v>45354</v>
      </c>
      <c r="E608" s="13">
        <v>45360</v>
      </c>
      <c r="F608" s="14" t="s">
        <v>14</v>
      </c>
      <c r="G608">
        <v>121</v>
      </c>
      <c r="H608">
        <v>127</v>
      </c>
      <c r="I608">
        <v>126.54</v>
      </c>
      <c r="J608">
        <v>1</v>
      </c>
      <c r="K608" s="14" t="s">
        <v>15</v>
      </c>
      <c r="L608" s="14">
        <f>IF(OR(Table1[[#This Row],[Order_Status]]="Delivered",Table1[[#This Row],[Delivery_Date]]&lt;&gt;"Not Yet Delivered"),Table1[[#This Row],[Delivery_Date]]-Table1[[#This Row],[Order_Date]],"Not Applicable")</f>
        <v>6</v>
      </c>
      <c r="M608" s="14">
        <f>Table1[[#This Row],[Unit_Cost]]-Table1[[#This Row],[Negotiated_Cost]]</f>
        <v>0.45999999999999375</v>
      </c>
      <c r="N608" s="18">
        <f>Table1[[#This Row],[Defective_Units]]/Table1[[#This Row],[Quantity]]</f>
        <v>8.2644628099173556E-3</v>
      </c>
      <c r="O608" s="26">
        <f>(Table1[[#This Row],[Unit_Cost]]-Table1[[#This Row],[Negotiated_Cost]])/Table1[[#This Row],[Unit_Cost]]</f>
        <v>3.6220472440944389E-3</v>
      </c>
    </row>
    <row r="609" spans="1:15" x14ac:dyDescent="0.25">
      <c r="A609" t="s">
        <v>644</v>
      </c>
      <c r="B609" t="s">
        <v>27</v>
      </c>
      <c r="C609" s="14" t="s">
        <v>44</v>
      </c>
      <c r="D609" s="1">
        <v>45448</v>
      </c>
      <c r="E609" s="13">
        <v>45470</v>
      </c>
      <c r="F609" s="14" t="s">
        <v>14</v>
      </c>
      <c r="G609">
        <v>362</v>
      </c>
      <c r="H609">
        <v>8515.9</v>
      </c>
      <c r="I609">
        <v>8365.48</v>
      </c>
      <c r="J609">
        <v>4</v>
      </c>
      <c r="K609" s="14" t="s">
        <v>15</v>
      </c>
      <c r="L609" s="14">
        <f>IF(OR(Table1[[#This Row],[Order_Status]]="Delivered",Table1[[#This Row],[Delivery_Date]]&lt;&gt;"Not Yet Delivered"),Table1[[#This Row],[Delivery_Date]]-Table1[[#This Row],[Order_Date]],"Not Applicable")</f>
        <v>22</v>
      </c>
      <c r="M609" s="14">
        <f>Table1[[#This Row],[Unit_Cost]]-Table1[[#This Row],[Negotiated_Cost]]</f>
        <v>150.42000000000007</v>
      </c>
      <c r="N609" s="18">
        <f>Table1[[#This Row],[Defective_Units]]/Table1[[#This Row],[Quantity]]</f>
        <v>1.1049723756906077E-2</v>
      </c>
      <c r="O609" s="26">
        <f>(Table1[[#This Row],[Unit_Cost]]-Table1[[#This Row],[Negotiated_Cost]])/Table1[[#This Row],[Unit_Cost]]</f>
        <v>1.7663429584659295E-2</v>
      </c>
    </row>
    <row r="610" spans="1:15" x14ac:dyDescent="0.25">
      <c r="A610" t="s">
        <v>645</v>
      </c>
      <c r="B610" t="s">
        <v>20</v>
      </c>
      <c r="C610" s="14" t="s">
        <v>36</v>
      </c>
      <c r="D610" s="1">
        <v>45071</v>
      </c>
      <c r="E610" s="13">
        <v>45092</v>
      </c>
      <c r="F610" s="14" t="s">
        <v>14</v>
      </c>
      <c r="G610">
        <v>73</v>
      </c>
      <c r="H610">
        <v>497.55</v>
      </c>
      <c r="I610">
        <v>473.33</v>
      </c>
      <c r="J610">
        <v>0</v>
      </c>
      <c r="K610" s="14" t="s">
        <v>15</v>
      </c>
      <c r="L610" s="14">
        <f>IF(OR(Table1[[#This Row],[Order_Status]]="Delivered",Table1[[#This Row],[Delivery_Date]]&lt;&gt;"Not Yet Delivered"),Table1[[#This Row],[Delivery_Date]]-Table1[[#This Row],[Order_Date]],"Not Applicable")</f>
        <v>21</v>
      </c>
      <c r="M610" s="14">
        <f>Table1[[#This Row],[Unit_Cost]]-Table1[[#This Row],[Negotiated_Cost]]</f>
        <v>24.220000000000027</v>
      </c>
      <c r="N610" s="18">
        <f>Table1[[#This Row],[Defective_Units]]/Table1[[#This Row],[Quantity]]</f>
        <v>0</v>
      </c>
      <c r="O610" s="26">
        <f>(Table1[[#This Row],[Unit_Cost]]-Table1[[#This Row],[Negotiated_Cost]])/Table1[[#This Row],[Unit_Cost]]</f>
        <v>4.8678524771379815E-2</v>
      </c>
    </row>
    <row r="611" spans="1:15" x14ac:dyDescent="0.25">
      <c r="A611" t="s">
        <v>646</v>
      </c>
      <c r="B611" t="s">
        <v>46</v>
      </c>
      <c r="C611" s="14" t="s">
        <v>50</v>
      </c>
      <c r="D611" s="1">
        <v>45535</v>
      </c>
      <c r="E611" s="13">
        <v>45562</v>
      </c>
      <c r="F611" s="14" t="s">
        <v>14</v>
      </c>
      <c r="G611">
        <v>450</v>
      </c>
      <c r="H611">
        <v>51065.11</v>
      </c>
      <c r="I611">
        <v>49642.06</v>
      </c>
      <c r="J611">
        <v>8</v>
      </c>
      <c r="K611" s="14" t="s">
        <v>15</v>
      </c>
      <c r="L611" s="14">
        <f>IF(OR(Table1[[#This Row],[Order_Status]]="Delivered",Table1[[#This Row],[Delivery_Date]]&lt;&gt;"Not Yet Delivered"),Table1[[#This Row],[Delivery_Date]]-Table1[[#This Row],[Order_Date]],"Not Applicable")</f>
        <v>27</v>
      </c>
      <c r="M611" s="14">
        <f>Table1[[#This Row],[Unit_Cost]]-Table1[[#This Row],[Negotiated_Cost]]</f>
        <v>1423.0500000000029</v>
      </c>
      <c r="N611" s="18">
        <f>Table1[[#This Row],[Defective_Units]]/Table1[[#This Row],[Quantity]]</f>
        <v>1.7777777777777778E-2</v>
      </c>
      <c r="O611" s="26">
        <f>(Table1[[#This Row],[Unit_Cost]]-Table1[[#This Row],[Negotiated_Cost]])/Table1[[#This Row],[Unit_Cost]]</f>
        <v>2.7867363841965736E-2</v>
      </c>
    </row>
    <row r="612" spans="1:15" x14ac:dyDescent="0.25">
      <c r="A612" t="s">
        <v>647</v>
      </c>
      <c r="B612" t="s">
        <v>46</v>
      </c>
      <c r="C612" s="14" t="s">
        <v>42</v>
      </c>
      <c r="D612" s="1">
        <v>45018</v>
      </c>
      <c r="E612" s="13">
        <v>45039</v>
      </c>
      <c r="F612" s="14" t="s">
        <v>14</v>
      </c>
      <c r="G612">
        <v>131</v>
      </c>
      <c r="H612">
        <v>11248.8</v>
      </c>
      <c r="I612">
        <v>11202.23</v>
      </c>
      <c r="J612">
        <v>3</v>
      </c>
      <c r="K612" s="14" t="s">
        <v>15</v>
      </c>
      <c r="L612" s="14">
        <f>IF(OR(Table1[[#This Row],[Order_Status]]="Delivered",Table1[[#This Row],[Delivery_Date]]&lt;&gt;"Not Yet Delivered"),Table1[[#This Row],[Delivery_Date]]-Table1[[#This Row],[Order_Date]],"Not Applicable")</f>
        <v>21</v>
      </c>
      <c r="M612" s="14">
        <f>Table1[[#This Row],[Unit_Cost]]-Table1[[#This Row],[Negotiated_Cost]]</f>
        <v>46.569999999999709</v>
      </c>
      <c r="N612" s="18">
        <f>Table1[[#This Row],[Defective_Units]]/Table1[[#This Row],[Quantity]]</f>
        <v>2.2900763358778626E-2</v>
      </c>
      <c r="O612" s="26">
        <f>(Table1[[#This Row],[Unit_Cost]]-Table1[[#This Row],[Negotiated_Cost]])/Table1[[#This Row],[Unit_Cost]]</f>
        <v>4.1399971552520901E-3</v>
      </c>
    </row>
    <row r="613" spans="1:15" x14ac:dyDescent="0.25">
      <c r="A613" t="s">
        <v>648</v>
      </c>
      <c r="B613" t="s">
        <v>40</v>
      </c>
      <c r="C613" s="14" t="s">
        <v>28</v>
      </c>
      <c r="D613" s="1">
        <v>45636</v>
      </c>
      <c r="E613" s="13">
        <v>45638</v>
      </c>
      <c r="F613" s="14" t="s">
        <v>14</v>
      </c>
      <c r="G613">
        <v>61</v>
      </c>
      <c r="H613">
        <v>50465.25</v>
      </c>
      <c r="I613">
        <v>48663.55</v>
      </c>
      <c r="J613">
        <v>1</v>
      </c>
      <c r="K613" s="14" t="s">
        <v>15</v>
      </c>
      <c r="L613" s="14">
        <f>IF(OR(Table1[[#This Row],[Order_Status]]="Delivered",Table1[[#This Row],[Delivery_Date]]&lt;&gt;"Not Yet Delivered"),Table1[[#This Row],[Delivery_Date]]-Table1[[#This Row],[Order_Date]],"Not Applicable")</f>
        <v>2</v>
      </c>
      <c r="M613" s="14">
        <f>Table1[[#This Row],[Unit_Cost]]-Table1[[#This Row],[Negotiated_Cost]]</f>
        <v>1801.6999999999971</v>
      </c>
      <c r="N613" s="18">
        <f>Table1[[#This Row],[Defective_Units]]/Table1[[#This Row],[Quantity]]</f>
        <v>1.6393442622950821E-2</v>
      </c>
      <c r="O613" s="26">
        <f>(Table1[[#This Row],[Unit_Cost]]-Table1[[#This Row],[Negotiated_Cost]])/Table1[[#This Row],[Unit_Cost]]</f>
        <v>3.5701794799391603E-2</v>
      </c>
    </row>
    <row r="614" spans="1:15" x14ac:dyDescent="0.25">
      <c r="A614" t="s">
        <v>649</v>
      </c>
      <c r="B614" t="s">
        <v>40</v>
      </c>
      <c r="C614" s="14" t="s">
        <v>48</v>
      </c>
      <c r="D614" s="1">
        <v>45163</v>
      </c>
      <c r="E614" s="13">
        <v>45176</v>
      </c>
      <c r="F614" s="14" t="s">
        <v>14</v>
      </c>
      <c r="G614">
        <v>490</v>
      </c>
      <c r="H614">
        <v>6652.63</v>
      </c>
      <c r="I614">
        <v>6283.14</v>
      </c>
      <c r="J614">
        <v>7</v>
      </c>
      <c r="K614" s="14" t="s">
        <v>25</v>
      </c>
      <c r="L614" s="14">
        <f>IF(OR(Table1[[#This Row],[Order_Status]]="Delivered",Table1[[#This Row],[Delivery_Date]]&lt;&gt;"Not Yet Delivered"),Table1[[#This Row],[Delivery_Date]]-Table1[[#This Row],[Order_Date]],"Not Applicable")</f>
        <v>13</v>
      </c>
      <c r="M614" s="14">
        <f>Table1[[#This Row],[Unit_Cost]]-Table1[[#This Row],[Negotiated_Cost]]</f>
        <v>369.48999999999978</v>
      </c>
      <c r="N614" s="18">
        <f>Table1[[#This Row],[Defective_Units]]/Table1[[#This Row],[Quantity]]</f>
        <v>1.4285714285714285E-2</v>
      </c>
      <c r="O614" s="26">
        <f>(Table1[[#This Row],[Unit_Cost]]-Table1[[#This Row],[Negotiated_Cost]])/Table1[[#This Row],[Unit_Cost]]</f>
        <v>5.5540440397256391E-2</v>
      </c>
    </row>
    <row r="615" spans="1:15" x14ac:dyDescent="0.25">
      <c r="A615" t="s">
        <v>650</v>
      </c>
      <c r="B615" t="s">
        <v>46</v>
      </c>
      <c r="C615" s="14" t="s">
        <v>24</v>
      </c>
      <c r="D615" s="1">
        <v>45423</v>
      </c>
      <c r="E615" s="14" t="s">
        <v>2057</v>
      </c>
      <c r="F615" s="14" t="s">
        <v>22</v>
      </c>
      <c r="G615">
        <v>91</v>
      </c>
      <c r="H615">
        <v>12811.86</v>
      </c>
      <c r="I615">
        <v>12523.76</v>
      </c>
      <c r="J615">
        <v>2</v>
      </c>
      <c r="K615" s="14" t="s">
        <v>15</v>
      </c>
      <c r="L615" s="14" t="str">
        <f>IF(OR(Table1[[#This Row],[Order_Status]]="Delivered",Table1[[#This Row],[Delivery_Date]]&lt;&gt;"Not Yet Delivered"),Table1[[#This Row],[Delivery_Date]]-Table1[[#This Row],[Order_Date]],"Not Applicable")</f>
        <v>Not Applicable</v>
      </c>
      <c r="M615" s="14">
        <f>Table1[[#This Row],[Unit_Cost]]-Table1[[#This Row],[Negotiated_Cost]]</f>
        <v>288.10000000000036</v>
      </c>
      <c r="N615" s="18">
        <f>Table1[[#This Row],[Defective_Units]]/Table1[[#This Row],[Quantity]]</f>
        <v>2.197802197802198E-2</v>
      </c>
      <c r="O615" s="26">
        <f>(Table1[[#This Row],[Unit_Cost]]-Table1[[#This Row],[Negotiated_Cost]])/Table1[[#This Row],[Unit_Cost]]</f>
        <v>2.2486976910456431E-2</v>
      </c>
    </row>
    <row r="616" spans="1:15" x14ac:dyDescent="0.25">
      <c r="A616" t="s">
        <v>651</v>
      </c>
      <c r="B616" t="s">
        <v>27</v>
      </c>
      <c r="C616" s="14" t="s">
        <v>44</v>
      </c>
      <c r="D616" s="1">
        <v>45241</v>
      </c>
      <c r="E616" s="13">
        <v>45244</v>
      </c>
      <c r="F616" s="14" t="s">
        <v>14</v>
      </c>
      <c r="G616">
        <v>280</v>
      </c>
      <c r="H616">
        <v>8969.84</v>
      </c>
      <c r="I616">
        <v>8444.59</v>
      </c>
      <c r="J616">
        <v>5</v>
      </c>
      <c r="K616" s="14" t="s">
        <v>25</v>
      </c>
      <c r="L616" s="14">
        <f>IF(OR(Table1[[#This Row],[Order_Status]]="Delivered",Table1[[#This Row],[Delivery_Date]]&lt;&gt;"Not Yet Delivered"),Table1[[#This Row],[Delivery_Date]]-Table1[[#This Row],[Order_Date]],"Not Applicable")</f>
        <v>3</v>
      </c>
      <c r="M616" s="14">
        <f>Table1[[#This Row],[Unit_Cost]]-Table1[[#This Row],[Negotiated_Cost]]</f>
        <v>525.25</v>
      </c>
      <c r="N616" s="18">
        <f>Table1[[#This Row],[Defective_Units]]/Table1[[#This Row],[Quantity]]</f>
        <v>1.7857142857142856E-2</v>
      </c>
      <c r="O616" s="26">
        <f>(Table1[[#This Row],[Unit_Cost]]-Table1[[#This Row],[Negotiated_Cost]])/Table1[[#This Row],[Unit_Cost]]</f>
        <v>5.8557343274796426E-2</v>
      </c>
    </row>
    <row r="617" spans="1:15" x14ac:dyDescent="0.25">
      <c r="A617" t="s">
        <v>652</v>
      </c>
      <c r="B617" t="s">
        <v>32</v>
      </c>
      <c r="C617" s="14" t="s">
        <v>36</v>
      </c>
      <c r="D617" s="1">
        <v>45007</v>
      </c>
      <c r="E617" s="13">
        <v>45014</v>
      </c>
      <c r="F617" s="14" t="s">
        <v>14</v>
      </c>
      <c r="G617">
        <v>43</v>
      </c>
      <c r="H617">
        <v>500.27</v>
      </c>
      <c r="I617">
        <v>475.33</v>
      </c>
      <c r="J617">
        <v>0</v>
      </c>
      <c r="K617" s="14" t="s">
        <v>15</v>
      </c>
      <c r="L617" s="14">
        <f>IF(OR(Table1[[#This Row],[Order_Status]]="Delivered",Table1[[#This Row],[Delivery_Date]]&lt;&gt;"Not Yet Delivered"),Table1[[#This Row],[Delivery_Date]]-Table1[[#This Row],[Order_Date]],"Not Applicable")</f>
        <v>7</v>
      </c>
      <c r="M617" s="14">
        <f>Table1[[#This Row],[Unit_Cost]]-Table1[[#This Row],[Negotiated_Cost]]</f>
        <v>24.939999999999998</v>
      </c>
      <c r="N617" s="18">
        <f>Table1[[#This Row],[Defective_Units]]/Table1[[#This Row],[Quantity]]</f>
        <v>0</v>
      </c>
      <c r="O617" s="26">
        <f>(Table1[[#This Row],[Unit_Cost]]-Table1[[#This Row],[Negotiated_Cost]])/Table1[[#This Row],[Unit_Cost]]</f>
        <v>4.9853079337157935E-2</v>
      </c>
    </row>
    <row r="618" spans="1:15" x14ac:dyDescent="0.25">
      <c r="A618" t="s">
        <v>653</v>
      </c>
      <c r="B618" t="s">
        <v>17</v>
      </c>
      <c r="C618" s="14" t="s">
        <v>30</v>
      </c>
      <c r="D618" s="1">
        <v>45590</v>
      </c>
      <c r="E618" s="13">
        <v>45610</v>
      </c>
      <c r="F618" s="14" t="s">
        <v>14</v>
      </c>
      <c r="G618">
        <v>18</v>
      </c>
      <c r="H618">
        <v>825.23</v>
      </c>
      <c r="I618">
        <v>780.2</v>
      </c>
      <c r="J618">
        <v>0</v>
      </c>
      <c r="K618" s="14" t="s">
        <v>15</v>
      </c>
      <c r="L618" s="14">
        <f>IF(OR(Table1[[#This Row],[Order_Status]]="Delivered",Table1[[#This Row],[Delivery_Date]]&lt;&gt;"Not Yet Delivered"),Table1[[#This Row],[Delivery_Date]]-Table1[[#This Row],[Order_Date]],"Not Applicable")</f>
        <v>20</v>
      </c>
      <c r="M618" s="14">
        <f>Table1[[#This Row],[Unit_Cost]]-Table1[[#This Row],[Negotiated_Cost]]</f>
        <v>45.029999999999973</v>
      </c>
      <c r="N618" s="18">
        <f>Table1[[#This Row],[Defective_Units]]/Table1[[#This Row],[Quantity]]</f>
        <v>0</v>
      </c>
      <c r="O618" s="26">
        <f>(Table1[[#This Row],[Unit_Cost]]-Table1[[#This Row],[Negotiated_Cost]])/Table1[[#This Row],[Unit_Cost]]</f>
        <v>5.456660567356976E-2</v>
      </c>
    </row>
    <row r="619" spans="1:15" x14ac:dyDescent="0.25">
      <c r="A619" t="s">
        <v>654</v>
      </c>
      <c r="B619" t="s">
        <v>20</v>
      </c>
      <c r="C619" s="14" t="s">
        <v>50</v>
      </c>
      <c r="D619" s="1">
        <v>45261</v>
      </c>
      <c r="E619" s="13">
        <v>45286</v>
      </c>
      <c r="F619" s="14" t="s">
        <v>14</v>
      </c>
      <c r="G619">
        <v>292</v>
      </c>
      <c r="H619">
        <v>49511.5</v>
      </c>
      <c r="I619">
        <v>48863.24</v>
      </c>
      <c r="J619">
        <v>5</v>
      </c>
      <c r="K619" s="14" t="s">
        <v>15</v>
      </c>
      <c r="L619" s="14">
        <f>IF(OR(Table1[[#This Row],[Order_Status]]="Delivered",Table1[[#This Row],[Delivery_Date]]&lt;&gt;"Not Yet Delivered"),Table1[[#This Row],[Delivery_Date]]-Table1[[#This Row],[Order_Date]],"Not Applicable")</f>
        <v>25</v>
      </c>
      <c r="M619" s="14">
        <f>Table1[[#This Row],[Unit_Cost]]-Table1[[#This Row],[Negotiated_Cost]]</f>
        <v>648.26000000000204</v>
      </c>
      <c r="N619" s="18">
        <f>Table1[[#This Row],[Defective_Units]]/Table1[[#This Row],[Quantity]]</f>
        <v>1.7123287671232876E-2</v>
      </c>
      <c r="O619" s="26">
        <f>(Table1[[#This Row],[Unit_Cost]]-Table1[[#This Row],[Negotiated_Cost]])/Table1[[#This Row],[Unit_Cost]]</f>
        <v>1.3093119780253114E-2</v>
      </c>
    </row>
    <row r="620" spans="1:15" x14ac:dyDescent="0.25">
      <c r="A620" t="s">
        <v>655</v>
      </c>
      <c r="B620" t="s">
        <v>20</v>
      </c>
      <c r="C620" s="14" t="s">
        <v>30</v>
      </c>
      <c r="D620" s="1">
        <v>45651</v>
      </c>
      <c r="E620" s="13">
        <v>45679</v>
      </c>
      <c r="F620" s="14" t="s">
        <v>14</v>
      </c>
      <c r="G620">
        <v>437</v>
      </c>
      <c r="H620">
        <v>889.98</v>
      </c>
      <c r="I620">
        <v>849.18</v>
      </c>
      <c r="J620">
        <v>6</v>
      </c>
      <c r="K620" s="14" t="s">
        <v>15</v>
      </c>
      <c r="L620" s="14">
        <f>IF(OR(Table1[[#This Row],[Order_Status]]="Delivered",Table1[[#This Row],[Delivery_Date]]&lt;&gt;"Not Yet Delivered"),Table1[[#This Row],[Delivery_Date]]-Table1[[#This Row],[Order_Date]],"Not Applicable")</f>
        <v>28</v>
      </c>
      <c r="M620" s="14">
        <f>Table1[[#This Row],[Unit_Cost]]-Table1[[#This Row],[Negotiated_Cost]]</f>
        <v>40.800000000000068</v>
      </c>
      <c r="N620" s="18">
        <f>Table1[[#This Row],[Defective_Units]]/Table1[[#This Row],[Quantity]]</f>
        <v>1.3729977116704805E-2</v>
      </c>
      <c r="O620" s="26">
        <f>(Table1[[#This Row],[Unit_Cost]]-Table1[[#This Row],[Negotiated_Cost]])/Table1[[#This Row],[Unit_Cost]]</f>
        <v>4.5843726825321993E-2</v>
      </c>
    </row>
    <row r="621" spans="1:15" x14ac:dyDescent="0.25">
      <c r="A621" t="s">
        <v>656</v>
      </c>
      <c r="B621" t="s">
        <v>12</v>
      </c>
      <c r="C621" s="14" t="s">
        <v>42</v>
      </c>
      <c r="D621" s="1">
        <v>45456</v>
      </c>
      <c r="E621" s="13">
        <v>45465</v>
      </c>
      <c r="F621" s="14" t="s">
        <v>14</v>
      </c>
      <c r="G621">
        <v>171</v>
      </c>
      <c r="H621">
        <v>13163.25</v>
      </c>
      <c r="I621">
        <v>12566.28</v>
      </c>
      <c r="J621">
        <v>2</v>
      </c>
      <c r="K621" s="14" t="s">
        <v>15</v>
      </c>
      <c r="L621" s="14">
        <f>IF(OR(Table1[[#This Row],[Order_Status]]="Delivered",Table1[[#This Row],[Delivery_Date]]&lt;&gt;"Not Yet Delivered"),Table1[[#This Row],[Delivery_Date]]-Table1[[#This Row],[Order_Date]],"Not Applicable")</f>
        <v>9</v>
      </c>
      <c r="M621" s="14">
        <f>Table1[[#This Row],[Unit_Cost]]-Table1[[#This Row],[Negotiated_Cost]]</f>
        <v>596.96999999999935</v>
      </c>
      <c r="N621" s="18">
        <f>Table1[[#This Row],[Defective_Units]]/Table1[[#This Row],[Quantity]]</f>
        <v>1.1695906432748537E-2</v>
      </c>
      <c r="O621" s="26">
        <f>(Table1[[#This Row],[Unit_Cost]]-Table1[[#This Row],[Negotiated_Cost]])/Table1[[#This Row],[Unit_Cost]]</f>
        <v>4.5351262036351155E-2</v>
      </c>
    </row>
    <row r="622" spans="1:15" x14ac:dyDescent="0.25">
      <c r="A622" t="s">
        <v>657</v>
      </c>
      <c r="B622" t="s">
        <v>17</v>
      </c>
      <c r="C622" s="14" t="s">
        <v>55</v>
      </c>
      <c r="D622" s="1">
        <v>45437</v>
      </c>
      <c r="E622" s="14" t="s">
        <v>2057</v>
      </c>
      <c r="F622" s="14" t="s">
        <v>22</v>
      </c>
      <c r="G622">
        <v>397</v>
      </c>
      <c r="H622">
        <v>14230.36</v>
      </c>
      <c r="I622">
        <v>13584.87</v>
      </c>
      <c r="J622">
        <v>2</v>
      </c>
      <c r="K622" s="14" t="s">
        <v>15</v>
      </c>
      <c r="L622" s="14" t="str">
        <f>IF(OR(Table1[[#This Row],[Order_Status]]="Delivered",Table1[[#This Row],[Delivery_Date]]&lt;&gt;"Not Yet Delivered"),Table1[[#This Row],[Delivery_Date]]-Table1[[#This Row],[Order_Date]],"Not Applicable")</f>
        <v>Not Applicable</v>
      </c>
      <c r="M622" s="14">
        <f>Table1[[#This Row],[Unit_Cost]]-Table1[[#This Row],[Negotiated_Cost]]</f>
        <v>645.48999999999978</v>
      </c>
      <c r="N622" s="18">
        <f>Table1[[#This Row],[Defective_Units]]/Table1[[#This Row],[Quantity]]</f>
        <v>5.0377833753148613E-3</v>
      </c>
      <c r="O622" s="26">
        <f>(Table1[[#This Row],[Unit_Cost]]-Table1[[#This Row],[Negotiated_Cost]])/Table1[[#This Row],[Unit_Cost]]</f>
        <v>4.536006116500213E-2</v>
      </c>
    </row>
    <row r="623" spans="1:15" x14ac:dyDescent="0.25">
      <c r="A623" t="s">
        <v>658</v>
      </c>
      <c r="B623" t="s">
        <v>32</v>
      </c>
      <c r="C623" s="14" t="s">
        <v>21</v>
      </c>
      <c r="D623" s="1">
        <v>44930</v>
      </c>
      <c r="E623" s="13">
        <v>44943</v>
      </c>
      <c r="F623" s="14" t="s">
        <v>14</v>
      </c>
      <c r="G623">
        <v>171</v>
      </c>
      <c r="H623">
        <v>116.58</v>
      </c>
      <c r="I623">
        <v>112.69</v>
      </c>
      <c r="J623">
        <v>0</v>
      </c>
      <c r="K623" s="14" t="s">
        <v>15</v>
      </c>
      <c r="L623" s="14">
        <f>IF(OR(Table1[[#This Row],[Order_Status]]="Delivered",Table1[[#This Row],[Delivery_Date]]&lt;&gt;"Not Yet Delivered"),Table1[[#This Row],[Delivery_Date]]-Table1[[#This Row],[Order_Date]],"Not Applicable")</f>
        <v>13</v>
      </c>
      <c r="M623" s="14">
        <f>Table1[[#This Row],[Unit_Cost]]-Table1[[#This Row],[Negotiated_Cost]]</f>
        <v>3.8900000000000006</v>
      </c>
      <c r="N623" s="18">
        <f>Table1[[#This Row],[Defective_Units]]/Table1[[#This Row],[Quantity]]</f>
        <v>0</v>
      </c>
      <c r="O623" s="26">
        <f>(Table1[[#This Row],[Unit_Cost]]-Table1[[#This Row],[Negotiated_Cost]])/Table1[[#This Row],[Unit_Cost]]</f>
        <v>3.3367644535940988E-2</v>
      </c>
    </row>
    <row r="624" spans="1:15" x14ac:dyDescent="0.25">
      <c r="A624" t="s">
        <v>659</v>
      </c>
      <c r="B624" t="s">
        <v>40</v>
      </c>
      <c r="C624" s="14" t="s">
        <v>55</v>
      </c>
      <c r="D624" s="1">
        <v>44994</v>
      </c>
      <c r="E624" s="13">
        <v>45020</v>
      </c>
      <c r="F624" s="14" t="s">
        <v>14</v>
      </c>
      <c r="G624">
        <v>467</v>
      </c>
      <c r="H624">
        <v>15446.31</v>
      </c>
      <c r="I624">
        <v>14847.12</v>
      </c>
      <c r="J624">
        <v>10</v>
      </c>
      <c r="K624" s="14" t="s">
        <v>15</v>
      </c>
      <c r="L624" s="14">
        <f>IF(OR(Table1[[#This Row],[Order_Status]]="Delivered",Table1[[#This Row],[Delivery_Date]]&lt;&gt;"Not Yet Delivered"),Table1[[#This Row],[Delivery_Date]]-Table1[[#This Row],[Order_Date]],"Not Applicable")</f>
        <v>26</v>
      </c>
      <c r="M624" s="14">
        <f>Table1[[#This Row],[Unit_Cost]]-Table1[[#This Row],[Negotiated_Cost]]</f>
        <v>599.18999999999869</v>
      </c>
      <c r="N624" s="18">
        <f>Table1[[#This Row],[Defective_Units]]/Table1[[#This Row],[Quantity]]</f>
        <v>2.1413276231263382E-2</v>
      </c>
      <c r="O624" s="26">
        <f>(Table1[[#This Row],[Unit_Cost]]-Table1[[#This Row],[Negotiated_Cost]])/Table1[[#This Row],[Unit_Cost]]</f>
        <v>3.8791789106912833E-2</v>
      </c>
    </row>
    <row r="625" spans="1:15" x14ac:dyDescent="0.25">
      <c r="A625" t="s">
        <v>660</v>
      </c>
      <c r="B625" t="s">
        <v>12</v>
      </c>
      <c r="C625" s="14" t="s">
        <v>21</v>
      </c>
      <c r="D625" s="1">
        <v>45584</v>
      </c>
      <c r="E625" s="13">
        <v>45611</v>
      </c>
      <c r="F625" s="14" t="s">
        <v>37</v>
      </c>
      <c r="G625">
        <v>454</v>
      </c>
      <c r="H625">
        <v>125.16</v>
      </c>
      <c r="I625">
        <v>121.98</v>
      </c>
      <c r="J625">
        <v>0</v>
      </c>
      <c r="K625" s="14" t="s">
        <v>15</v>
      </c>
      <c r="L625" s="14">
        <f>IF(OR(Table1[[#This Row],[Order_Status]]="Delivered",Table1[[#This Row],[Delivery_Date]]&lt;&gt;"Not Yet Delivered"),Table1[[#This Row],[Delivery_Date]]-Table1[[#This Row],[Order_Date]],"Not Applicable")</f>
        <v>27</v>
      </c>
      <c r="M625" s="14">
        <f>Table1[[#This Row],[Unit_Cost]]-Table1[[#This Row],[Negotiated_Cost]]</f>
        <v>3.1799999999999926</v>
      </c>
      <c r="N625" s="18">
        <f>Table1[[#This Row],[Defective_Units]]/Table1[[#This Row],[Quantity]]</f>
        <v>0</v>
      </c>
      <c r="O625" s="26">
        <f>(Table1[[#This Row],[Unit_Cost]]-Table1[[#This Row],[Negotiated_Cost]])/Table1[[#This Row],[Unit_Cost]]</f>
        <v>2.5407478427612599E-2</v>
      </c>
    </row>
    <row r="626" spans="1:15" x14ac:dyDescent="0.25">
      <c r="A626" t="s">
        <v>661</v>
      </c>
      <c r="B626" t="s">
        <v>40</v>
      </c>
      <c r="C626" s="14" t="s">
        <v>42</v>
      </c>
      <c r="D626" s="1">
        <v>45045</v>
      </c>
      <c r="E626" s="13">
        <v>45072</v>
      </c>
      <c r="F626" s="14" t="s">
        <v>14</v>
      </c>
      <c r="G626">
        <v>166</v>
      </c>
      <c r="H626">
        <v>12282.08</v>
      </c>
      <c r="I626">
        <v>11984.47</v>
      </c>
      <c r="J626">
        <v>2</v>
      </c>
      <c r="K626" s="14" t="s">
        <v>15</v>
      </c>
      <c r="L626" s="14">
        <f>IF(OR(Table1[[#This Row],[Order_Status]]="Delivered",Table1[[#This Row],[Delivery_Date]]&lt;&gt;"Not Yet Delivered"),Table1[[#This Row],[Delivery_Date]]-Table1[[#This Row],[Order_Date]],"Not Applicable")</f>
        <v>27</v>
      </c>
      <c r="M626" s="14">
        <f>Table1[[#This Row],[Unit_Cost]]-Table1[[#This Row],[Negotiated_Cost]]</f>
        <v>297.61000000000058</v>
      </c>
      <c r="N626" s="18">
        <f>Table1[[#This Row],[Defective_Units]]/Table1[[#This Row],[Quantity]]</f>
        <v>1.2048192771084338E-2</v>
      </c>
      <c r="O626" s="26">
        <f>(Table1[[#This Row],[Unit_Cost]]-Table1[[#This Row],[Negotiated_Cost]])/Table1[[#This Row],[Unit_Cost]]</f>
        <v>2.4231237705665539E-2</v>
      </c>
    </row>
    <row r="627" spans="1:15" x14ac:dyDescent="0.25">
      <c r="A627" t="s">
        <v>662</v>
      </c>
      <c r="B627" t="s">
        <v>27</v>
      </c>
      <c r="C627" s="14" t="s">
        <v>36</v>
      </c>
      <c r="D627" s="1">
        <v>45342</v>
      </c>
      <c r="E627" s="13">
        <v>45362</v>
      </c>
      <c r="F627" s="14" t="s">
        <v>14</v>
      </c>
      <c r="G627">
        <v>455</v>
      </c>
      <c r="H627">
        <v>590.47</v>
      </c>
      <c r="I627">
        <v>579.03</v>
      </c>
      <c r="J627">
        <v>1</v>
      </c>
      <c r="K627" s="14" t="s">
        <v>15</v>
      </c>
      <c r="L627" s="14">
        <f>IF(OR(Table1[[#This Row],[Order_Status]]="Delivered",Table1[[#This Row],[Delivery_Date]]&lt;&gt;"Not Yet Delivered"),Table1[[#This Row],[Delivery_Date]]-Table1[[#This Row],[Order_Date]],"Not Applicable")</f>
        <v>20</v>
      </c>
      <c r="M627" s="14">
        <f>Table1[[#This Row],[Unit_Cost]]-Table1[[#This Row],[Negotiated_Cost]]</f>
        <v>11.440000000000055</v>
      </c>
      <c r="N627" s="18">
        <f>Table1[[#This Row],[Defective_Units]]/Table1[[#This Row],[Quantity]]</f>
        <v>2.1978021978021978E-3</v>
      </c>
      <c r="O627" s="26">
        <f>(Table1[[#This Row],[Unit_Cost]]-Table1[[#This Row],[Negotiated_Cost]])/Table1[[#This Row],[Unit_Cost]]</f>
        <v>1.9374396667061925E-2</v>
      </c>
    </row>
    <row r="628" spans="1:15" x14ac:dyDescent="0.25">
      <c r="A628" t="s">
        <v>663</v>
      </c>
      <c r="B628" t="s">
        <v>27</v>
      </c>
      <c r="C628" s="14" t="s">
        <v>18</v>
      </c>
      <c r="D628" s="1">
        <v>44930</v>
      </c>
      <c r="E628" s="13">
        <v>44937</v>
      </c>
      <c r="F628" s="14" t="s">
        <v>37</v>
      </c>
      <c r="G628">
        <v>142</v>
      </c>
      <c r="H628">
        <v>5170.17</v>
      </c>
      <c r="I628">
        <v>4934.0200000000004</v>
      </c>
      <c r="J628">
        <v>0</v>
      </c>
      <c r="K628" s="14" t="s">
        <v>15</v>
      </c>
      <c r="L628" s="14">
        <f>IF(OR(Table1[[#This Row],[Order_Status]]="Delivered",Table1[[#This Row],[Delivery_Date]]&lt;&gt;"Not Yet Delivered"),Table1[[#This Row],[Delivery_Date]]-Table1[[#This Row],[Order_Date]],"Not Applicable")</f>
        <v>7</v>
      </c>
      <c r="M628" s="14">
        <f>Table1[[#This Row],[Unit_Cost]]-Table1[[#This Row],[Negotiated_Cost]]</f>
        <v>236.14999999999964</v>
      </c>
      <c r="N628" s="18">
        <f>Table1[[#This Row],[Defective_Units]]/Table1[[#This Row],[Quantity]]</f>
        <v>0</v>
      </c>
      <c r="O628" s="26">
        <f>(Table1[[#This Row],[Unit_Cost]]-Table1[[#This Row],[Negotiated_Cost]])/Table1[[#This Row],[Unit_Cost]]</f>
        <v>4.567548069019E-2</v>
      </c>
    </row>
    <row r="629" spans="1:15" x14ac:dyDescent="0.25">
      <c r="A629" t="s">
        <v>664</v>
      </c>
      <c r="B629" t="s">
        <v>35</v>
      </c>
      <c r="C629" s="14" t="s">
        <v>36</v>
      </c>
      <c r="D629" s="1">
        <v>45412</v>
      </c>
      <c r="E629" s="13">
        <v>45417</v>
      </c>
      <c r="F629" s="14" t="s">
        <v>14</v>
      </c>
      <c r="G629">
        <v>8</v>
      </c>
      <c r="H629">
        <v>574.52</v>
      </c>
      <c r="I629">
        <v>554.47</v>
      </c>
      <c r="J629">
        <v>0</v>
      </c>
      <c r="K629" s="14" t="s">
        <v>15</v>
      </c>
      <c r="L629" s="14">
        <f>IF(OR(Table1[[#This Row],[Order_Status]]="Delivered",Table1[[#This Row],[Delivery_Date]]&lt;&gt;"Not Yet Delivered"),Table1[[#This Row],[Delivery_Date]]-Table1[[#This Row],[Order_Date]],"Not Applicable")</f>
        <v>5</v>
      </c>
      <c r="M629" s="14">
        <f>Table1[[#This Row],[Unit_Cost]]-Table1[[#This Row],[Negotiated_Cost]]</f>
        <v>20.049999999999955</v>
      </c>
      <c r="N629" s="18">
        <f>Table1[[#This Row],[Defective_Units]]/Table1[[#This Row],[Quantity]]</f>
        <v>0</v>
      </c>
      <c r="O629" s="26">
        <f>(Table1[[#This Row],[Unit_Cost]]-Table1[[#This Row],[Negotiated_Cost]])/Table1[[#This Row],[Unit_Cost]]</f>
        <v>3.4898698043584128E-2</v>
      </c>
    </row>
    <row r="630" spans="1:15" x14ac:dyDescent="0.25">
      <c r="A630" t="s">
        <v>665</v>
      </c>
      <c r="B630" t="s">
        <v>20</v>
      </c>
      <c r="C630" s="14" t="s">
        <v>21</v>
      </c>
      <c r="D630" s="1">
        <v>45222</v>
      </c>
      <c r="E630" s="13">
        <v>45250</v>
      </c>
      <c r="F630" s="14" t="s">
        <v>14</v>
      </c>
      <c r="G630">
        <v>465</v>
      </c>
      <c r="H630">
        <v>120.15</v>
      </c>
      <c r="I630">
        <v>119.03</v>
      </c>
      <c r="J630">
        <v>1</v>
      </c>
      <c r="K630" s="14" t="s">
        <v>15</v>
      </c>
      <c r="L630" s="14">
        <f>IF(OR(Table1[[#This Row],[Order_Status]]="Delivered",Table1[[#This Row],[Delivery_Date]]&lt;&gt;"Not Yet Delivered"),Table1[[#This Row],[Delivery_Date]]-Table1[[#This Row],[Order_Date]],"Not Applicable")</f>
        <v>28</v>
      </c>
      <c r="M630" s="14">
        <f>Table1[[#This Row],[Unit_Cost]]-Table1[[#This Row],[Negotiated_Cost]]</f>
        <v>1.1200000000000045</v>
      </c>
      <c r="N630" s="18">
        <f>Table1[[#This Row],[Defective_Units]]/Table1[[#This Row],[Quantity]]</f>
        <v>2.1505376344086021E-3</v>
      </c>
      <c r="O630" s="26">
        <f>(Table1[[#This Row],[Unit_Cost]]-Table1[[#This Row],[Negotiated_Cost]])/Table1[[#This Row],[Unit_Cost]]</f>
        <v>9.3216812317936295E-3</v>
      </c>
    </row>
    <row r="631" spans="1:15" x14ac:dyDescent="0.25">
      <c r="A631" t="s">
        <v>666</v>
      </c>
      <c r="B631" t="s">
        <v>20</v>
      </c>
      <c r="C631" s="14" t="s">
        <v>28</v>
      </c>
      <c r="D631" s="1">
        <v>45515</v>
      </c>
      <c r="E631" s="13">
        <v>45543</v>
      </c>
      <c r="F631" s="14" t="s">
        <v>37</v>
      </c>
      <c r="G631">
        <v>184</v>
      </c>
      <c r="H631">
        <v>44564</v>
      </c>
      <c r="I631">
        <v>42360.82</v>
      </c>
      <c r="J631">
        <v>2</v>
      </c>
      <c r="K631" s="14" t="s">
        <v>15</v>
      </c>
      <c r="L631" s="14">
        <f>IF(OR(Table1[[#This Row],[Order_Status]]="Delivered",Table1[[#This Row],[Delivery_Date]]&lt;&gt;"Not Yet Delivered"),Table1[[#This Row],[Delivery_Date]]-Table1[[#This Row],[Order_Date]],"Not Applicable")</f>
        <v>28</v>
      </c>
      <c r="M631" s="14">
        <f>Table1[[#This Row],[Unit_Cost]]-Table1[[#This Row],[Negotiated_Cost]]</f>
        <v>2203.1800000000003</v>
      </c>
      <c r="N631" s="18">
        <f>Table1[[#This Row],[Defective_Units]]/Table1[[#This Row],[Quantity]]</f>
        <v>1.0869565217391304E-2</v>
      </c>
      <c r="O631" s="26">
        <f>(Table1[[#This Row],[Unit_Cost]]-Table1[[#This Row],[Negotiated_Cost]])/Table1[[#This Row],[Unit_Cost]]</f>
        <v>4.9438560272866E-2</v>
      </c>
    </row>
    <row r="632" spans="1:15" x14ac:dyDescent="0.25">
      <c r="A632" t="s">
        <v>667</v>
      </c>
      <c r="B632" t="s">
        <v>12</v>
      </c>
      <c r="C632" s="14" t="s">
        <v>44</v>
      </c>
      <c r="D632" s="1">
        <v>45654</v>
      </c>
      <c r="E632" s="13">
        <v>45664</v>
      </c>
      <c r="F632" s="14" t="s">
        <v>14</v>
      </c>
      <c r="G632">
        <v>73</v>
      </c>
      <c r="H632">
        <v>9131.6200000000008</v>
      </c>
      <c r="I632">
        <v>9124.7000000000007</v>
      </c>
      <c r="J632">
        <v>1</v>
      </c>
      <c r="K632" s="14" t="s">
        <v>15</v>
      </c>
      <c r="L632" s="14">
        <f>IF(OR(Table1[[#This Row],[Order_Status]]="Delivered",Table1[[#This Row],[Delivery_Date]]&lt;&gt;"Not Yet Delivered"),Table1[[#This Row],[Delivery_Date]]-Table1[[#This Row],[Order_Date]],"Not Applicable")</f>
        <v>10</v>
      </c>
      <c r="M632" s="14">
        <f>Table1[[#This Row],[Unit_Cost]]-Table1[[#This Row],[Negotiated_Cost]]</f>
        <v>6.9200000000000728</v>
      </c>
      <c r="N632" s="18">
        <f>Table1[[#This Row],[Defective_Units]]/Table1[[#This Row],[Quantity]]</f>
        <v>1.3698630136986301E-2</v>
      </c>
      <c r="O632" s="26">
        <f>(Table1[[#This Row],[Unit_Cost]]-Table1[[#This Row],[Negotiated_Cost]])/Table1[[#This Row],[Unit_Cost]]</f>
        <v>7.5780639141795998E-4</v>
      </c>
    </row>
    <row r="633" spans="1:15" x14ac:dyDescent="0.25">
      <c r="A633" t="s">
        <v>668</v>
      </c>
      <c r="B633" t="s">
        <v>35</v>
      </c>
      <c r="C633" s="14" t="s">
        <v>48</v>
      </c>
      <c r="D633" s="1">
        <v>45262</v>
      </c>
      <c r="E633" s="13">
        <v>45268</v>
      </c>
      <c r="F633" s="14" t="s">
        <v>14</v>
      </c>
      <c r="G633">
        <v>132</v>
      </c>
      <c r="H633">
        <v>6324.24</v>
      </c>
      <c r="I633">
        <v>6124.81</v>
      </c>
      <c r="J633">
        <v>1</v>
      </c>
      <c r="K633" s="14" t="s">
        <v>15</v>
      </c>
      <c r="L633" s="14">
        <f>IF(OR(Table1[[#This Row],[Order_Status]]="Delivered",Table1[[#This Row],[Delivery_Date]]&lt;&gt;"Not Yet Delivered"),Table1[[#This Row],[Delivery_Date]]-Table1[[#This Row],[Order_Date]],"Not Applicable")</f>
        <v>6</v>
      </c>
      <c r="M633" s="14">
        <f>Table1[[#This Row],[Unit_Cost]]-Table1[[#This Row],[Negotiated_Cost]]</f>
        <v>199.42999999999938</v>
      </c>
      <c r="N633" s="18">
        <f>Table1[[#This Row],[Defective_Units]]/Table1[[#This Row],[Quantity]]</f>
        <v>7.575757575757576E-3</v>
      </c>
      <c r="O633" s="26">
        <f>(Table1[[#This Row],[Unit_Cost]]-Table1[[#This Row],[Negotiated_Cost]])/Table1[[#This Row],[Unit_Cost]]</f>
        <v>3.1534223875121656E-2</v>
      </c>
    </row>
    <row r="634" spans="1:15" x14ac:dyDescent="0.25">
      <c r="A634" t="s">
        <v>669</v>
      </c>
      <c r="B634" t="s">
        <v>27</v>
      </c>
      <c r="C634" s="14" t="s">
        <v>30</v>
      </c>
      <c r="D634" s="1">
        <v>45505</v>
      </c>
      <c r="E634" s="13">
        <v>45519</v>
      </c>
      <c r="F634" s="14" t="s">
        <v>14</v>
      </c>
      <c r="G634">
        <v>204</v>
      </c>
      <c r="H634">
        <v>865.9</v>
      </c>
      <c r="I634">
        <v>837.29</v>
      </c>
      <c r="J634">
        <v>1</v>
      </c>
      <c r="K634" s="14" t="s">
        <v>15</v>
      </c>
      <c r="L634" s="14">
        <f>IF(OR(Table1[[#This Row],[Order_Status]]="Delivered",Table1[[#This Row],[Delivery_Date]]&lt;&gt;"Not Yet Delivered"),Table1[[#This Row],[Delivery_Date]]-Table1[[#This Row],[Order_Date]],"Not Applicable")</f>
        <v>14</v>
      </c>
      <c r="M634" s="14">
        <f>Table1[[#This Row],[Unit_Cost]]-Table1[[#This Row],[Negotiated_Cost]]</f>
        <v>28.610000000000014</v>
      </c>
      <c r="N634" s="18">
        <f>Table1[[#This Row],[Defective_Units]]/Table1[[#This Row],[Quantity]]</f>
        <v>4.9019607843137254E-3</v>
      </c>
      <c r="O634" s="26">
        <f>(Table1[[#This Row],[Unit_Cost]]-Table1[[#This Row],[Negotiated_Cost]])/Table1[[#This Row],[Unit_Cost]]</f>
        <v>3.3040766832197727E-2</v>
      </c>
    </row>
    <row r="635" spans="1:15" x14ac:dyDescent="0.25">
      <c r="A635" t="s">
        <v>670</v>
      </c>
      <c r="B635" t="s">
        <v>35</v>
      </c>
      <c r="C635" s="14" t="s">
        <v>28</v>
      </c>
      <c r="D635" s="1">
        <v>45322</v>
      </c>
      <c r="E635" s="13">
        <v>45329</v>
      </c>
      <c r="F635" s="14" t="s">
        <v>14</v>
      </c>
      <c r="G635">
        <v>203</v>
      </c>
      <c r="H635">
        <v>46836.22</v>
      </c>
      <c r="I635">
        <v>45304.89</v>
      </c>
      <c r="J635">
        <v>1</v>
      </c>
      <c r="K635" s="14" t="s">
        <v>15</v>
      </c>
      <c r="L635" s="14">
        <f>IF(OR(Table1[[#This Row],[Order_Status]]="Delivered",Table1[[#This Row],[Delivery_Date]]&lt;&gt;"Not Yet Delivered"),Table1[[#This Row],[Delivery_Date]]-Table1[[#This Row],[Order_Date]],"Not Applicable")</f>
        <v>7</v>
      </c>
      <c r="M635" s="14">
        <f>Table1[[#This Row],[Unit_Cost]]-Table1[[#This Row],[Negotiated_Cost]]</f>
        <v>1531.3300000000017</v>
      </c>
      <c r="N635" s="18">
        <f>Table1[[#This Row],[Defective_Units]]/Table1[[#This Row],[Quantity]]</f>
        <v>4.9261083743842365E-3</v>
      </c>
      <c r="O635" s="26">
        <f>(Table1[[#This Row],[Unit_Cost]]-Table1[[#This Row],[Negotiated_Cost]])/Table1[[#This Row],[Unit_Cost]]</f>
        <v>3.2695422474315852E-2</v>
      </c>
    </row>
    <row r="636" spans="1:15" x14ac:dyDescent="0.25">
      <c r="A636" t="s">
        <v>671</v>
      </c>
      <c r="B636" t="s">
        <v>12</v>
      </c>
      <c r="C636" s="14" t="s">
        <v>55</v>
      </c>
      <c r="D636" s="1">
        <v>45527</v>
      </c>
      <c r="E636" s="13">
        <v>45533</v>
      </c>
      <c r="F636" s="14" t="s">
        <v>37</v>
      </c>
      <c r="G636">
        <v>339</v>
      </c>
      <c r="H636">
        <v>15487.92</v>
      </c>
      <c r="I636">
        <v>15333.96</v>
      </c>
      <c r="J636">
        <v>3</v>
      </c>
      <c r="K636" s="14" t="s">
        <v>15</v>
      </c>
      <c r="L636" s="14">
        <f>IF(OR(Table1[[#This Row],[Order_Status]]="Delivered",Table1[[#This Row],[Delivery_Date]]&lt;&gt;"Not Yet Delivered"),Table1[[#This Row],[Delivery_Date]]-Table1[[#This Row],[Order_Date]],"Not Applicable")</f>
        <v>6</v>
      </c>
      <c r="M636" s="14">
        <f>Table1[[#This Row],[Unit_Cost]]-Table1[[#This Row],[Negotiated_Cost]]</f>
        <v>153.96000000000095</v>
      </c>
      <c r="N636" s="18">
        <f>Table1[[#This Row],[Defective_Units]]/Table1[[#This Row],[Quantity]]</f>
        <v>8.8495575221238937E-3</v>
      </c>
      <c r="O636" s="26">
        <f>(Table1[[#This Row],[Unit_Cost]]-Table1[[#This Row],[Negotiated_Cost]])/Table1[[#This Row],[Unit_Cost]]</f>
        <v>9.9406505198891097E-3</v>
      </c>
    </row>
    <row r="637" spans="1:15" x14ac:dyDescent="0.25">
      <c r="A637" t="s">
        <v>672</v>
      </c>
      <c r="B637" t="s">
        <v>32</v>
      </c>
      <c r="C637" s="14" t="s">
        <v>28</v>
      </c>
      <c r="D637" s="1">
        <v>45300</v>
      </c>
      <c r="E637" s="13">
        <v>45311</v>
      </c>
      <c r="F637" s="14" t="s">
        <v>14</v>
      </c>
      <c r="G637">
        <v>377</v>
      </c>
      <c r="H637">
        <v>46100.480000000003</v>
      </c>
      <c r="I637">
        <v>44715.22</v>
      </c>
      <c r="J637">
        <v>10</v>
      </c>
      <c r="K637" s="14" t="s">
        <v>15</v>
      </c>
      <c r="L637" s="14">
        <f>IF(OR(Table1[[#This Row],[Order_Status]]="Delivered",Table1[[#This Row],[Delivery_Date]]&lt;&gt;"Not Yet Delivered"),Table1[[#This Row],[Delivery_Date]]-Table1[[#This Row],[Order_Date]],"Not Applicable")</f>
        <v>11</v>
      </c>
      <c r="M637" s="14">
        <f>Table1[[#This Row],[Unit_Cost]]-Table1[[#This Row],[Negotiated_Cost]]</f>
        <v>1385.260000000002</v>
      </c>
      <c r="N637" s="18">
        <f>Table1[[#This Row],[Defective_Units]]/Table1[[#This Row],[Quantity]]</f>
        <v>2.6525198938992044E-2</v>
      </c>
      <c r="O637" s="26">
        <f>(Table1[[#This Row],[Unit_Cost]]-Table1[[#This Row],[Negotiated_Cost]])/Table1[[#This Row],[Unit_Cost]]</f>
        <v>3.0048710989560239E-2</v>
      </c>
    </row>
    <row r="638" spans="1:15" x14ac:dyDescent="0.25">
      <c r="A638" t="s">
        <v>673</v>
      </c>
      <c r="B638" t="s">
        <v>32</v>
      </c>
      <c r="C638" s="14" t="s">
        <v>55</v>
      </c>
      <c r="D638" s="1">
        <v>45089</v>
      </c>
      <c r="E638" s="13">
        <v>45099</v>
      </c>
      <c r="F638" s="14" t="s">
        <v>14</v>
      </c>
      <c r="G638">
        <v>102</v>
      </c>
      <c r="H638">
        <v>13943.71</v>
      </c>
      <c r="I638">
        <v>13548.98</v>
      </c>
      <c r="J638">
        <v>1</v>
      </c>
      <c r="K638" s="14" t="s">
        <v>15</v>
      </c>
      <c r="L638" s="14">
        <f>IF(OR(Table1[[#This Row],[Order_Status]]="Delivered",Table1[[#This Row],[Delivery_Date]]&lt;&gt;"Not Yet Delivered"),Table1[[#This Row],[Delivery_Date]]-Table1[[#This Row],[Order_Date]],"Not Applicable")</f>
        <v>10</v>
      </c>
      <c r="M638" s="14">
        <f>Table1[[#This Row],[Unit_Cost]]-Table1[[#This Row],[Negotiated_Cost]]</f>
        <v>394.72999999999956</v>
      </c>
      <c r="N638" s="18">
        <f>Table1[[#This Row],[Defective_Units]]/Table1[[#This Row],[Quantity]]</f>
        <v>9.8039215686274508E-3</v>
      </c>
      <c r="O638" s="26">
        <f>(Table1[[#This Row],[Unit_Cost]]-Table1[[#This Row],[Negotiated_Cost]])/Table1[[#This Row],[Unit_Cost]]</f>
        <v>2.8308821683755585E-2</v>
      </c>
    </row>
    <row r="639" spans="1:15" x14ac:dyDescent="0.25">
      <c r="A639" t="s">
        <v>674</v>
      </c>
      <c r="B639" t="s">
        <v>35</v>
      </c>
      <c r="C639" s="14" t="s">
        <v>30</v>
      </c>
      <c r="D639" s="1">
        <v>45115</v>
      </c>
      <c r="E639" s="13">
        <v>45142</v>
      </c>
      <c r="F639" s="14" t="s">
        <v>14</v>
      </c>
      <c r="G639">
        <v>351</v>
      </c>
      <c r="H639">
        <v>880.1</v>
      </c>
      <c r="I639">
        <v>860.11</v>
      </c>
      <c r="J639">
        <v>0</v>
      </c>
      <c r="K639" s="14" t="s">
        <v>15</v>
      </c>
      <c r="L639" s="14">
        <f>IF(OR(Table1[[#This Row],[Order_Status]]="Delivered",Table1[[#This Row],[Delivery_Date]]&lt;&gt;"Not Yet Delivered"),Table1[[#This Row],[Delivery_Date]]-Table1[[#This Row],[Order_Date]],"Not Applicable")</f>
        <v>27</v>
      </c>
      <c r="M639" s="14">
        <f>Table1[[#This Row],[Unit_Cost]]-Table1[[#This Row],[Negotiated_Cost]]</f>
        <v>19.990000000000009</v>
      </c>
      <c r="N639" s="18">
        <f>Table1[[#This Row],[Defective_Units]]/Table1[[#This Row],[Quantity]]</f>
        <v>0</v>
      </c>
      <c r="O639" s="26">
        <f>(Table1[[#This Row],[Unit_Cost]]-Table1[[#This Row],[Negotiated_Cost]])/Table1[[#This Row],[Unit_Cost]]</f>
        <v>2.2713328030905588E-2</v>
      </c>
    </row>
    <row r="640" spans="1:15" x14ac:dyDescent="0.25">
      <c r="A640" t="s">
        <v>675</v>
      </c>
      <c r="B640" t="s">
        <v>12</v>
      </c>
      <c r="C640" s="14" t="s">
        <v>13</v>
      </c>
      <c r="D640" s="1">
        <v>45491</v>
      </c>
      <c r="E640" s="13">
        <v>45511</v>
      </c>
      <c r="F640" s="14" t="s">
        <v>37</v>
      </c>
      <c r="G640">
        <v>403</v>
      </c>
      <c r="H640">
        <v>4385.62</v>
      </c>
      <c r="I640">
        <v>4255.8900000000003</v>
      </c>
      <c r="J640">
        <v>3</v>
      </c>
      <c r="K640" s="14" t="s">
        <v>15</v>
      </c>
      <c r="L640" s="14">
        <f>IF(OR(Table1[[#This Row],[Order_Status]]="Delivered",Table1[[#This Row],[Delivery_Date]]&lt;&gt;"Not Yet Delivered"),Table1[[#This Row],[Delivery_Date]]-Table1[[#This Row],[Order_Date]],"Not Applicable")</f>
        <v>20</v>
      </c>
      <c r="M640" s="14">
        <f>Table1[[#This Row],[Unit_Cost]]-Table1[[#This Row],[Negotiated_Cost]]</f>
        <v>129.72999999999956</v>
      </c>
      <c r="N640" s="18">
        <f>Table1[[#This Row],[Defective_Units]]/Table1[[#This Row],[Quantity]]</f>
        <v>7.4441687344913151E-3</v>
      </c>
      <c r="O640" s="26">
        <f>(Table1[[#This Row],[Unit_Cost]]-Table1[[#This Row],[Negotiated_Cost]])/Table1[[#This Row],[Unit_Cost]]</f>
        <v>2.9580766231456342E-2</v>
      </c>
    </row>
    <row r="641" spans="1:15" x14ac:dyDescent="0.25">
      <c r="A641" t="s">
        <v>676</v>
      </c>
      <c r="B641" t="s">
        <v>32</v>
      </c>
      <c r="C641" s="14" t="s">
        <v>30</v>
      </c>
      <c r="D641" s="1">
        <v>44929</v>
      </c>
      <c r="E641" s="13">
        <v>44936</v>
      </c>
      <c r="F641" s="14" t="s">
        <v>14</v>
      </c>
      <c r="G641">
        <v>68</v>
      </c>
      <c r="H641">
        <v>838.22</v>
      </c>
      <c r="I641">
        <v>820.83</v>
      </c>
      <c r="J641">
        <v>2</v>
      </c>
      <c r="K641" s="14" t="s">
        <v>25</v>
      </c>
      <c r="L641" s="14">
        <f>IF(OR(Table1[[#This Row],[Order_Status]]="Delivered",Table1[[#This Row],[Delivery_Date]]&lt;&gt;"Not Yet Delivered"),Table1[[#This Row],[Delivery_Date]]-Table1[[#This Row],[Order_Date]],"Not Applicable")</f>
        <v>7</v>
      </c>
      <c r="M641" s="14">
        <f>Table1[[#This Row],[Unit_Cost]]-Table1[[#This Row],[Negotiated_Cost]]</f>
        <v>17.389999999999986</v>
      </c>
      <c r="N641" s="18">
        <f>Table1[[#This Row],[Defective_Units]]/Table1[[#This Row],[Quantity]]</f>
        <v>2.9411764705882353E-2</v>
      </c>
      <c r="O641" s="26">
        <f>(Table1[[#This Row],[Unit_Cost]]-Table1[[#This Row],[Negotiated_Cost]])/Table1[[#This Row],[Unit_Cost]]</f>
        <v>2.0746343442055767E-2</v>
      </c>
    </row>
    <row r="642" spans="1:15" x14ac:dyDescent="0.25">
      <c r="A642" t="s">
        <v>677</v>
      </c>
      <c r="B642" t="s">
        <v>17</v>
      </c>
      <c r="C642" s="14" t="s">
        <v>28</v>
      </c>
      <c r="D642" s="1">
        <v>45090</v>
      </c>
      <c r="E642" s="13">
        <v>45094</v>
      </c>
      <c r="F642" s="14" t="s">
        <v>14</v>
      </c>
      <c r="G642">
        <v>463</v>
      </c>
      <c r="H642">
        <v>46099.75</v>
      </c>
      <c r="I642">
        <v>45765.96</v>
      </c>
      <c r="J642">
        <v>4</v>
      </c>
      <c r="K642" s="14" t="s">
        <v>15</v>
      </c>
      <c r="L642" s="14">
        <f>IF(OR(Table1[[#This Row],[Order_Status]]="Delivered",Table1[[#This Row],[Delivery_Date]]&lt;&gt;"Not Yet Delivered"),Table1[[#This Row],[Delivery_Date]]-Table1[[#This Row],[Order_Date]],"Not Applicable")</f>
        <v>4</v>
      </c>
      <c r="M642" s="14">
        <f>Table1[[#This Row],[Unit_Cost]]-Table1[[#This Row],[Negotiated_Cost]]</f>
        <v>333.79000000000087</v>
      </c>
      <c r="N642" s="18">
        <f>Table1[[#This Row],[Defective_Units]]/Table1[[#This Row],[Quantity]]</f>
        <v>8.6393088552915772E-3</v>
      </c>
      <c r="O642" s="26">
        <f>(Table1[[#This Row],[Unit_Cost]]-Table1[[#This Row],[Negotiated_Cost]])/Table1[[#This Row],[Unit_Cost]]</f>
        <v>7.2406032570675738E-3</v>
      </c>
    </row>
    <row r="643" spans="1:15" x14ac:dyDescent="0.25">
      <c r="A643" t="s">
        <v>678</v>
      </c>
      <c r="B643" t="s">
        <v>17</v>
      </c>
      <c r="C643" s="14" t="s">
        <v>30</v>
      </c>
      <c r="D643" s="1">
        <v>45629</v>
      </c>
      <c r="E643" s="13">
        <v>45659</v>
      </c>
      <c r="F643" s="14" t="s">
        <v>14</v>
      </c>
      <c r="G643">
        <v>55</v>
      </c>
      <c r="H643">
        <v>805.09</v>
      </c>
      <c r="I643">
        <v>759.89</v>
      </c>
      <c r="J643">
        <v>0</v>
      </c>
      <c r="K643" s="14" t="s">
        <v>15</v>
      </c>
      <c r="L643" s="14">
        <f>IF(OR(Table1[[#This Row],[Order_Status]]="Delivered",Table1[[#This Row],[Delivery_Date]]&lt;&gt;"Not Yet Delivered"),Table1[[#This Row],[Delivery_Date]]-Table1[[#This Row],[Order_Date]],"Not Applicable")</f>
        <v>30</v>
      </c>
      <c r="M643" s="14">
        <f>Table1[[#This Row],[Unit_Cost]]-Table1[[#This Row],[Negotiated_Cost]]</f>
        <v>45.200000000000045</v>
      </c>
      <c r="N643" s="18">
        <f>Table1[[#This Row],[Defective_Units]]/Table1[[#This Row],[Quantity]]</f>
        <v>0</v>
      </c>
      <c r="O643" s="26">
        <f>(Table1[[#This Row],[Unit_Cost]]-Table1[[#This Row],[Negotiated_Cost]])/Table1[[#This Row],[Unit_Cost]]</f>
        <v>5.6142791489150336E-2</v>
      </c>
    </row>
    <row r="644" spans="1:15" x14ac:dyDescent="0.25">
      <c r="A644" t="s">
        <v>679</v>
      </c>
      <c r="B644" t="s">
        <v>27</v>
      </c>
      <c r="C644" s="14" t="s">
        <v>44</v>
      </c>
      <c r="D644" s="1">
        <v>45002</v>
      </c>
      <c r="E644" s="14" t="s">
        <v>2057</v>
      </c>
      <c r="F644" s="14" t="s">
        <v>33</v>
      </c>
      <c r="G644">
        <v>168</v>
      </c>
      <c r="H644">
        <v>8696.34</v>
      </c>
      <c r="I644">
        <v>8209.0300000000007</v>
      </c>
      <c r="J644">
        <v>2</v>
      </c>
      <c r="K644" s="14" t="s">
        <v>25</v>
      </c>
      <c r="L644" s="14" t="str">
        <f>IF(OR(Table1[[#This Row],[Order_Status]]="Delivered",Table1[[#This Row],[Delivery_Date]]&lt;&gt;"Not Yet Delivered"),Table1[[#This Row],[Delivery_Date]]-Table1[[#This Row],[Order_Date]],"Not Applicable")</f>
        <v>Not Applicable</v>
      </c>
      <c r="M644" s="14">
        <f>Table1[[#This Row],[Unit_Cost]]-Table1[[#This Row],[Negotiated_Cost]]</f>
        <v>487.30999999999949</v>
      </c>
      <c r="N644" s="18">
        <f>Table1[[#This Row],[Defective_Units]]/Table1[[#This Row],[Quantity]]</f>
        <v>1.1904761904761904E-2</v>
      </c>
      <c r="O644" s="26">
        <f>(Table1[[#This Row],[Unit_Cost]]-Table1[[#This Row],[Negotiated_Cost]])/Table1[[#This Row],[Unit_Cost]]</f>
        <v>5.603621753519291E-2</v>
      </c>
    </row>
    <row r="645" spans="1:15" x14ac:dyDescent="0.25">
      <c r="A645" t="s">
        <v>680</v>
      </c>
      <c r="B645" t="s">
        <v>32</v>
      </c>
      <c r="C645" s="14" t="s">
        <v>36</v>
      </c>
      <c r="D645" s="1">
        <v>45144</v>
      </c>
      <c r="E645" s="13">
        <v>45157</v>
      </c>
      <c r="F645" s="14" t="s">
        <v>14</v>
      </c>
      <c r="G645">
        <v>193</v>
      </c>
      <c r="H645">
        <v>521.15</v>
      </c>
      <c r="I645">
        <v>511.75</v>
      </c>
      <c r="J645">
        <v>2</v>
      </c>
      <c r="K645" s="14" t="s">
        <v>15</v>
      </c>
      <c r="L645" s="14">
        <f>IF(OR(Table1[[#This Row],[Order_Status]]="Delivered",Table1[[#This Row],[Delivery_Date]]&lt;&gt;"Not Yet Delivered"),Table1[[#This Row],[Delivery_Date]]-Table1[[#This Row],[Order_Date]],"Not Applicable")</f>
        <v>13</v>
      </c>
      <c r="M645" s="14">
        <f>Table1[[#This Row],[Unit_Cost]]-Table1[[#This Row],[Negotiated_Cost]]</f>
        <v>9.3999999999999773</v>
      </c>
      <c r="N645" s="18">
        <f>Table1[[#This Row],[Defective_Units]]/Table1[[#This Row],[Quantity]]</f>
        <v>1.0362694300518135E-2</v>
      </c>
      <c r="O645" s="26">
        <f>(Table1[[#This Row],[Unit_Cost]]-Table1[[#This Row],[Negotiated_Cost]])/Table1[[#This Row],[Unit_Cost]]</f>
        <v>1.8037033483641902E-2</v>
      </c>
    </row>
    <row r="646" spans="1:15" x14ac:dyDescent="0.25">
      <c r="A646" t="s">
        <v>681</v>
      </c>
      <c r="B646" t="s">
        <v>17</v>
      </c>
      <c r="C646" s="14" t="s">
        <v>36</v>
      </c>
      <c r="D646" s="1">
        <v>44973</v>
      </c>
      <c r="E646" s="13">
        <v>44985</v>
      </c>
      <c r="F646" s="14" t="s">
        <v>14</v>
      </c>
      <c r="G646">
        <v>355</v>
      </c>
      <c r="H646">
        <v>546.33000000000004</v>
      </c>
      <c r="I646">
        <v>545.77</v>
      </c>
      <c r="J646">
        <v>7</v>
      </c>
      <c r="K646" s="14" t="s">
        <v>15</v>
      </c>
      <c r="L646" s="14">
        <f>IF(OR(Table1[[#This Row],[Order_Status]]="Delivered",Table1[[#This Row],[Delivery_Date]]&lt;&gt;"Not Yet Delivered"),Table1[[#This Row],[Delivery_Date]]-Table1[[#This Row],[Order_Date]],"Not Applicable")</f>
        <v>12</v>
      </c>
      <c r="M646" s="14">
        <f>Table1[[#This Row],[Unit_Cost]]-Table1[[#This Row],[Negotiated_Cost]]</f>
        <v>0.56000000000005912</v>
      </c>
      <c r="N646" s="18">
        <f>Table1[[#This Row],[Defective_Units]]/Table1[[#This Row],[Quantity]]</f>
        <v>1.9718309859154931E-2</v>
      </c>
      <c r="O646" s="26">
        <f>(Table1[[#This Row],[Unit_Cost]]-Table1[[#This Row],[Negotiated_Cost]])/Table1[[#This Row],[Unit_Cost]]</f>
        <v>1.0250215071478028E-3</v>
      </c>
    </row>
    <row r="647" spans="1:15" x14ac:dyDescent="0.25">
      <c r="A647" t="s">
        <v>682</v>
      </c>
      <c r="B647" t="s">
        <v>32</v>
      </c>
      <c r="C647" s="14" t="s">
        <v>42</v>
      </c>
      <c r="D647" s="1">
        <v>45100</v>
      </c>
      <c r="E647" s="13">
        <v>45122</v>
      </c>
      <c r="F647" s="14" t="s">
        <v>14</v>
      </c>
      <c r="G647">
        <v>221</v>
      </c>
      <c r="H647">
        <v>11539.61</v>
      </c>
      <c r="I647">
        <v>11015.61</v>
      </c>
      <c r="J647">
        <v>1</v>
      </c>
      <c r="K647" s="14" t="s">
        <v>15</v>
      </c>
      <c r="L647" s="14">
        <f>IF(OR(Table1[[#This Row],[Order_Status]]="Delivered",Table1[[#This Row],[Delivery_Date]]&lt;&gt;"Not Yet Delivered"),Table1[[#This Row],[Delivery_Date]]-Table1[[#This Row],[Order_Date]],"Not Applicable")</f>
        <v>22</v>
      </c>
      <c r="M647" s="14">
        <f>Table1[[#This Row],[Unit_Cost]]-Table1[[#This Row],[Negotiated_Cost]]</f>
        <v>524</v>
      </c>
      <c r="N647" s="18">
        <f>Table1[[#This Row],[Defective_Units]]/Table1[[#This Row],[Quantity]]</f>
        <v>4.5248868778280547E-3</v>
      </c>
      <c r="O647" s="26">
        <f>(Table1[[#This Row],[Unit_Cost]]-Table1[[#This Row],[Negotiated_Cost]])/Table1[[#This Row],[Unit_Cost]]</f>
        <v>4.5408813642748756E-2</v>
      </c>
    </row>
    <row r="648" spans="1:15" x14ac:dyDescent="0.25">
      <c r="A648" t="s">
        <v>683</v>
      </c>
      <c r="B648" t="s">
        <v>35</v>
      </c>
      <c r="C648" s="14" t="s">
        <v>36</v>
      </c>
      <c r="D648" s="1">
        <v>45174</v>
      </c>
      <c r="E648" s="13">
        <v>45193</v>
      </c>
      <c r="F648" s="14" t="s">
        <v>14</v>
      </c>
      <c r="G648">
        <v>280</v>
      </c>
      <c r="H648">
        <v>550.92999999999995</v>
      </c>
      <c r="I648">
        <v>537.9</v>
      </c>
      <c r="J648">
        <v>1</v>
      </c>
      <c r="K648" s="14" t="s">
        <v>15</v>
      </c>
      <c r="L648" s="14">
        <f>IF(OR(Table1[[#This Row],[Order_Status]]="Delivered",Table1[[#This Row],[Delivery_Date]]&lt;&gt;"Not Yet Delivered"),Table1[[#This Row],[Delivery_Date]]-Table1[[#This Row],[Order_Date]],"Not Applicable")</f>
        <v>19</v>
      </c>
      <c r="M648" s="14">
        <f>Table1[[#This Row],[Unit_Cost]]-Table1[[#This Row],[Negotiated_Cost]]</f>
        <v>13.029999999999973</v>
      </c>
      <c r="N648" s="18">
        <f>Table1[[#This Row],[Defective_Units]]/Table1[[#This Row],[Quantity]]</f>
        <v>3.5714285714285713E-3</v>
      </c>
      <c r="O648" s="26">
        <f>(Table1[[#This Row],[Unit_Cost]]-Table1[[#This Row],[Negotiated_Cost]])/Table1[[#This Row],[Unit_Cost]]</f>
        <v>2.3650917539433273E-2</v>
      </c>
    </row>
    <row r="649" spans="1:15" x14ac:dyDescent="0.25">
      <c r="A649" t="s">
        <v>684</v>
      </c>
      <c r="B649" t="s">
        <v>35</v>
      </c>
      <c r="C649" s="14" t="s">
        <v>55</v>
      </c>
      <c r="D649" s="1">
        <v>45010</v>
      </c>
      <c r="E649" s="13">
        <v>45034</v>
      </c>
      <c r="F649" s="14" t="s">
        <v>14</v>
      </c>
      <c r="G649">
        <v>369</v>
      </c>
      <c r="H649">
        <v>13950.59</v>
      </c>
      <c r="I649">
        <v>13161.27</v>
      </c>
      <c r="J649">
        <v>1</v>
      </c>
      <c r="K649" s="14" t="s">
        <v>15</v>
      </c>
      <c r="L649" s="14">
        <f>IF(OR(Table1[[#This Row],[Order_Status]]="Delivered",Table1[[#This Row],[Delivery_Date]]&lt;&gt;"Not Yet Delivered"),Table1[[#This Row],[Delivery_Date]]-Table1[[#This Row],[Order_Date]],"Not Applicable")</f>
        <v>24</v>
      </c>
      <c r="M649" s="14">
        <f>Table1[[#This Row],[Unit_Cost]]-Table1[[#This Row],[Negotiated_Cost]]</f>
        <v>789.31999999999971</v>
      </c>
      <c r="N649" s="18">
        <f>Table1[[#This Row],[Defective_Units]]/Table1[[#This Row],[Quantity]]</f>
        <v>2.7100271002710027E-3</v>
      </c>
      <c r="O649" s="26">
        <f>(Table1[[#This Row],[Unit_Cost]]-Table1[[#This Row],[Negotiated_Cost]])/Table1[[#This Row],[Unit_Cost]]</f>
        <v>5.657968587708475E-2</v>
      </c>
    </row>
    <row r="650" spans="1:15" x14ac:dyDescent="0.25">
      <c r="A650" t="s">
        <v>685</v>
      </c>
      <c r="B650" t="s">
        <v>20</v>
      </c>
      <c r="C650" s="14" t="s">
        <v>36</v>
      </c>
      <c r="D650" s="1">
        <v>45431</v>
      </c>
      <c r="E650" s="13">
        <v>45445</v>
      </c>
      <c r="F650" s="14" t="s">
        <v>14</v>
      </c>
      <c r="G650">
        <v>77</v>
      </c>
      <c r="H650">
        <v>514.32000000000005</v>
      </c>
      <c r="I650">
        <v>514.16</v>
      </c>
      <c r="J650">
        <v>1</v>
      </c>
      <c r="K650" s="14" t="s">
        <v>15</v>
      </c>
      <c r="L650" s="14">
        <f>IF(OR(Table1[[#This Row],[Order_Status]]="Delivered",Table1[[#This Row],[Delivery_Date]]&lt;&gt;"Not Yet Delivered"),Table1[[#This Row],[Delivery_Date]]-Table1[[#This Row],[Order_Date]],"Not Applicable")</f>
        <v>14</v>
      </c>
      <c r="M650" s="14">
        <f>Table1[[#This Row],[Unit_Cost]]-Table1[[#This Row],[Negotiated_Cost]]</f>
        <v>0.16000000000008185</v>
      </c>
      <c r="N650" s="18">
        <f>Table1[[#This Row],[Defective_Units]]/Table1[[#This Row],[Quantity]]</f>
        <v>1.2987012987012988E-2</v>
      </c>
      <c r="O650" s="26">
        <f>(Table1[[#This Row],[Unit_Cost]]-Table1[[#This Row],[Negotiated_Cost]])/Table1[[#This Row],[Unit_Cost]]</f>
        <v>3.1109037175315336E-4</v>
      </c>
    </row>
    <row r="651" spans="1:15" x14ac:dyDescent="0.25">
      <c r="A651" t="s">
        <v>686</v>
      </c>
      <c r="B651" t="s">
        <v>46</v>
      </c>
      <c r="C651" s="14" t="s">
        <v>13</v>
      </c>
      <c r="D651" s="1">
        <v>45315</v>
      </c>
      <c r="E651" s="13">
        <v>45343</v>
      </c>
      <c r="F651" s="14" t="s">
        <v>14</v>
      </c>
      <c r="G651">
        <v>46</v>
      </c>
      <c r="H651">
        <v>4011.25</v>
      </c>
      <c r="I651">
        <v>3855.41</v>
      </c>
      <c r="J651">
        <v>1</v>
      </c>
      <c r="K651" s="14" t="s">
        <v>15</v>
      </c>
      <c r="L651" s="14">
        <f>IF(OR(Table1[[#This Row],[Order_Status]]="Delivered",Table1[[#This Row],[Delivery_Date]]&lt;&gt;"Not Yet Delivered"),Table1[[#This Row],[Delivery_Date]]-Table1[[#This Row],[Order_Date]],"Not Applicable")</f>
        <v>28</v>
      </c>
      <c r="M651" s="14">
        <f>Table1[[#This Row],[Unit_Cost]]-Table1[[#This Row],[Negotiated_Cost]]</f>
        <v>155.84000000000015</v>
      </c>
      <c r="N651" s="18">
        <f>Table1[[#This Row],[Defective_Units]]/Table1[[#This Row],[Quantity]]</f>
        <v>2.1739130434782608E-2</v>
      </c>
      <c r="O651" s="26">
        <f>(Table1[[#This Row],[Unit_Cost]]-Table1[[#This Row],[Negotiated_Cost]])/Table1[[#This Row],[Unit_Cost]]</f>
        <v>3.8850732315363075E-2</v>
      </c>
    </row>
    <row r="652" spans="1:15" x14ac:dyDescent="0.25">
      <c r="A652" t="s">
        <v>687</v>
      </c>
      <c r="B652" t="s">
        <v>27</v>
      </c>
      <c r="C652" s="14" t="s">
        <v>13</v>
      </c>
      <c r="D652" s="1">
        <v>45352</v>
      </c>
      <c r="E652" s="13">
        <v>45359</v>
      </c>
      <c r="F652" s="14" t="s">
        <v>14</v>
      </c>
      <c r="G652">
        <v>440</v>
      </c>
      <c r="H652">
        <v>4203.4399999999996</v>
      </c>
      <c r="I652">
        <v>4034.1</v>
      </c>
      <c r="J652">
        <v>7</v>
      </c>
      <c r="K652" s="14" t="s">
        <v>15</v>
      </c>
      <c r="L652" s="14">
        <f>IF(OR(Table1[[#This Row],[Order_Status]]="Delivered",Table1[[#This Row],[Delivery_Date]]&lt;&gt;"Not Yet Delivered"),Table1[[#This Row],[Delivery_Date]]-Table1[[#This Row],[Order_Date]],"Not Applicable")</f>
        <v>7</v>
      </c>
      <c r="M652" s="14">
        <f>Table1[[#This Row],[Unit_Cost]]-Table1[[#This Row],[Negotiated_Cost]]</f>
        <v>169.33999999999969</v>
      </c>
      <c r="N652" s="18">
        <f>Table1[[#This Row],[Defective_Units]]/Table1[[#This Row],[Quantity]]</f>
        <v>1.5909090909090907E-2</v>
      </c>
      <c r="O652" s="26">
        <f>(Table1[[#This Row],[Unit_Cost]]-Table1[[#This Row],[Negotiated_Cost]])/Table1[[#This Row],[Unit_Cost]]</f>
        <v>4.0286051424547442E-2</v>
      </c>
    </row>
    <row r="653" spans="1:15" x14ac:dyDescent="0.25">
      <c r="A653" t="s">
        <v>688</v>
      </c>
      <c r="B653" t="s">
        <v>27</v>
      </c>
      <c r="C653" s="14" t="s">
        <v>13</v>
      </c>
      <c r="D653" s="1">
        <v>45130</v>
      </c>
      <c r="E653" s="13">
        <v>45147</v>
      </c>
      <c r="F653" s="14" t="s">
        <v>14</v>
      </c>
      <c r="G653">
        <v>154</v>
      </c>
      <c r="H653">
        <v>4411.25</v>
      </c>
      <c r="I653">
        <v>4371.7700000000004</v>
      </c>
      <c r="J653">
        <v>0</v>
      </c>
      <c r="K653" s="14" t="s">
        <v>15</v>
      </c>
      <c r="L653" s="14">
        <f>IF(OR(Table1[[#This Row],[Order_Status]]="Delivered",Table1[[#This Row],[Delivery_Date]]&lt;&gt;"Not Yet Delivered"),Table1[[#This Row],[Delivery_Date]]-Table1[[#This Row],[Order_Date]],"Not Applicable")</f>
        <v>17</v>
      </c>
      <c r="M653" s="14">
        <f>Table1[[#This Row],[Unit_Cost]]-Table1[[#This Row],[Negotiated_Cost]]</f>
        <v>39.479999999999563</v>
      </c>
      <c r="N653" s="18">
        <f>Table1[[#This Row],[Defective_Units]]/Table1[[#This Row],[Quantity]]</f>
        <v>0</v>
      </c>
      <c r="O653" s="26">
        <f>(Table1[[#This Row],[Unit_Cost]]-Table1[[#This Row],[Negotiated_Cost]])/Table1[[#This Row],[Unit_Cost]]</f>
        <v>8.9498441484838903E-3</v>
      </c>
    </row>
    <row r="654" spans="1:15" x14ac:dyDescent="0.25">
      <c r="A654" t="s">
        <v>689</v>
      </c>
      <c r="B654" t="s">
        <v>40</v>
      </c>
      <c r="C654" s="14" t="s">
        <v>48</v>
      </c>
      <c r="D654" s="1">
        <v>44972</v>
      </c>
      <c r="E654" s="13">
        <v>44985</v>
      </c>
      <c r="F654" s="14" t="s">
        <v>14</v>
      </c>
      <c r="G654">
        <v>315</v>
      </c>
      <c r="H654">
        <v>6746.97</v>
      </c>
      <c r="I654">
        <v>6437.44</v>
      </c>
      <c r="J654">
        <v>0</v>
      </c>
      <c r="K654" s="14" t="s">
        <v>15</v>
      </c>
      <c r="L654" s="14">
        <f>IF(OR(Table1[[#This Row],[Order_Status]]="Delivered",Table1[[#This Row],[Delivery_Date]]&lt;&gt;"Not Yet Delivered"),Table1[[#This Row],[Delivery_Date]]-Table1[[#This Row],[Order_Date]],"Not Applicable")</f>
        <v>13</v>
      </c>
      <c r="M654" s="14">
        <f>Table1[[#This Row],[Unit_Cost]]-Table1[[#This Row],[Negotiated_Cost]]</f>
        <v>309.53000000000065</v>
      </c>
      <c r="N654" s="18">
        <f>Table1[[#This Row],[Defective_Units]]/Table1[[#This Row],[Quantity]]</f>
        <v>0</v>
      </c>
      <c r="O654" s="26">
        <f>(Table1[[#This Row],[Unit_Cost]]-Table1[[#This Row],[Negotiated_Cost]])/Table1[[#This Row],[Unit_Cost]]</f>
        <v>4.5876889922439351E-2</v>
      </c>
    </row>
    <row r="655" spans="1:15" x14ac:dyDescent="0.25">
      <c r="A655" t="s">
        <v>690</v>
      </c>
      <c r="B655" t="s">
        <v>12</v>
      </c>
      <c r="C655" s="14" t="s">
        <v>18</v>
      </c>
      <c r="D655" s="1">
        <v>45410</v>
      </c>
      <c r="E655" s="13">
        <v>45430</v>
      </c>
      <c r="F655" s="14" t="s">
        <v>14</v>
      </c>
      <c r="G655">
        <v>468</v>
      </c>
      <c r="H655">
        <v>5268.75</v>
      </c>
      <c r="I655">
        <v>5190.8900000000003</v>
      </c>
      <c r="J655">
        <v>2</v>
      </c>
      <c r="K655" s="14" t="s">
        <v>15</v>
      </c>
      <c r="L655" s="14">
        <f>IF(OR(Table1[[#This Row],[Order_Status]]="Delivered",Table1[[#This Row],[Delivery_Date]]&lt;&gt;"Not Yet Delivered"),Table1[[#This Row],[Delivery_Date]]-Table1[[#This Row],[Order_Date]],"Not Applicable")</f>
        <v>20</v>
      </c>
      <c r="M655" s="14">
        <f>Table1[[#This Row],[Unit_Cost]]-Table1[[#This Row],[Negotiated_Cost]]</f>
        <v>77.859999999999673</v>
      </c>
      <c r="N655" s="18">
        <f>Table1[[#This Row],[Defective_Units]]/Table1[[#This Row],[Quantity]]</f>
        <v>4.2735042735042739E-3</v>
      </c>
      <c r="O655" s="26">
        <f>(Table1[[#This Row],[Unit_Cost]]-Table1[[#This Row],[Negotiated_Cost]])/Table1[[#This Row],[Unit_Cost]]</f>
        <v>1.4777698695136355E-2</v>
      </c>
    </row>
    <row r="656" spans="1:15" x14ac:dyDescent="0.25">
      <c r="A656" t="s">
        <v>691</v>
      </c>
      <c r="B656" t="s">
        <v>17</v>
      </c>
      <c r="C656" s="14" t="s">
        <v>44</v>
      </c>
      <c r="D656" s="1">
        <v>45506</v>
      </c>
      <c r="E656" s="13">
        <v>45518</v>
      </c>
      <c r="F656" s="14" t="s">
        <v>14</v>
      </c>
      <c r="G656">
        <v>303</v>
      </c>
      <c r="H656">
        <v>8400.3799999999992</v>
      </c>
      <c r="I656">
        <v>7979.73</v>
      </c>
      <c r="J656">
        <v>1</v>
      </c>
      <c r="K656" s="14" t="s">
        <v>15</v>
      </c>
      <c r="L656" s="14">
        <f>IF(OR(Table1[[#This Row],[Order_Status]]="Delivered",Table1[[#This Row],[Delivery_Date]]&lt;&gt;"Not Yet Delivered"),Table1[[#This Row],[Delivery_Date]]-Table1[[#This Row],[Order_Date]],"Not Applicable")</f>
        <v>12</v>
      </c>
      <c r="M656" s="14">
        <f>Table1[[#This Row],[Unit_Cost]]-Table1[[#This Row],[Negotiated_Cost]]</f>
        <v>420.64999999999964</v>
      </c>
      <c r="N656" s="18">
        <f>Table1[[#This Row],[Defective_Units]]/Table1[[#This Row],[Quantity]]</f>
        <v>3.3003300330033004E-3</v>
      </c>
      <c r="O656" s="26">
        <f>(Table1[[#This Row],[Unit_Cost]]-Table1[[#This Row],[Negotiated_Cost]])/Table1[[#This Row],[Unit_Cost]]</f>
        <v>5.00751156495301E-2</v>
      </c>
    </row>
    <row r="657" spans="1:15" x14ac:dyDescent="0.25">
      <c r="A657" t="s">
        <v>692</v>
      </c>
      <c r="B657" t="s">
        <v>40</v>
      </c>
      <c r="C657" s="14" t="s">
        <v>42</v>
      </c>
      <c r="D657" s="1">
        <v>45185</v>
      </c>
      <c r="E657" s="14" t="s">
        <v>2057</v>
      </c>
      <c r="F657" s="14" t="s">
        <v>22</v>
      </c>
      <c r="G657">
        <v>208</v>
      </c>
      <c r="H657">
        <v>12595.59</v>
      </c>
      <c r="I657">
        <v>12516.85</v>
      </c>
      <c r="J657">
        <v>2</v>
      </c>
      <c r="K657" s="14" t="s">
        <v>15</v>
      </c>
      <c r="L657" s="14" t="str">
        <f>IF(OR(Table1[[#This Row],[Order_Status]]="Delivered",Table1[[#This Row],[Delivery_Date]]&lt;&gt;"Not Yet Delivered"),Table1[[#This Row],[Delivery_Date]]-Table1[[#This Row],[Order_Date]],"Not Applicable")</f>
        <v>Not Applicable</v>
      </c>
      <c r="M657" s="14">
        <f>Table1[[#This Row],[Unit_Cost]]-Table1[[#This Row],[Negotiated_Cost]]</f>
        <v>78.739999999999782</v>
      </c>
      <c r="N657" s="18">
        <f>Table1[[#This Row],[Defective_Units]]/Table1[[#This Row],[Quantity]]</f>
        <v>9.6153846153846159E-3</v>
      </c>
      <c r="O657" s="26">
        <f>(Table1[[#This Row],[Unit_Cost]]-Table1[[#This Row],[Negotiated_Cost]])/Table1[[#This Row],[Unit_Cost]]</f>
        <v>6.2513943372243599E-3</v>
      </c>
    </row>
    <row r="658" spans="1:15" x14ac:dyDescent="0.25">
      <c r="A658" t="s">
        <v>693</v>
      </c>
      <c r="B658" t="s">
        <v>35</v>
      </c>
      <c r="C658" s="14" t="s">
        <v>13</v>
      </c>
      <c r="D658" s="1">
        <v>45570</v>
      </c>
      <c r="E658" s="13">
        <v>45599</v>
      </c>
      <c r="F658" s="14" t="s">
        <v>14</v>
      </c>
      <c r="G658">
        <v>280</v>
      </c>
      <c r="H658">
        <v>4176.25</v>
      </c>
      <c r="I658">
        <v>4162.6499999999996</v>
      </c>
      <c r="J658">
        <v>1</v>
      </c>
      <c r="K658" s="14" t="s">
        <v>15</v>
      </c>
      <c r="L658" s="14">
        <f>IF(OR(Table1[[#This Row],[Order_Status]]="Delivered",Table1[[#This Row],[Delivery_Date]]&lt;&gt;"Not Yet Delivered"),Table1[[#This Row],[Delivery_Date]]-Table1[[#This Row],[Order_Date]],"Not Applicable")</f>
        <v>29</v>
      </c>
      <c r="M658" s="14">
        <f>Table1[[#This Row],[Unit_Cost]]-Table1[[#This Row],[Negotiated_Cost]]</f>
        <v>13.600000000000364</v>
      </c>
      <c r="N658" s="18">
        <f>Table1[[#This Row],[Defective_Units]]/Table1[[#This Row],[Quantity]]</f>
        <v>3.5714285714285713E-3</v>
      </c>
      <c r="O658" s="26">
        <f>(Table1[[#This Row],[Unit_Cost]]-Table1[[#This Row],[Negotiated_Cost]])/Table1[[#This Row],[Unit_Cost]]</f>
        <v>3.2565100269381295E-3</v>
      </c>
    </row>
    <row r="659" spans="1:15" x14ac:dyDescent="0.25">
      <c r="A659" t="s">
        <v>694</v>
      </c>
      <c r="B659" t="s">
        <v>20</v>
      </c>
      <c r="C659" s="14" t="s">
        <v>30</v>
      </c>
      <c r="D659" s="1">
        <v>45365</v>
      </c>
      <c r="E659" s="13">
        <v>45371</v>
      </c>
      <c r="F659" s="14" t="s">
        <v>14</v>
      </c>
      <c r="G659">
        <v>221</v>
      </c>
      <c r="H659">
        <v>865.53</v>
      </c>
      <c r="I659">
        <v>840.25</v>
      </c>
      <c r="J659">
        <v>1</v>
      </c>
      <c r="K659" s="14" t="s">
        <v>15</v>
      </c>
      <c r="L659" s="14">
        <f>IF(OR(Table1[[#This Row],[Order_Status]]="Delivered",Table1[[#This Row],[Delivery_Date]]&lt;&gt;"Not Yet Delivered"),Table1[[#This Row],[Delivery_Date]]-Table1[[#This Row],[Order_Date]],"Not Applicable")</f>
        <v>6</v>
      </c>
      <c r="M659" s="14">
        <f>Table1[[#This Row],[Unit_Cost]]-Table1[[#This Row],[Negotiated_Cost]]</f>
        <v>25.279999999999973</v>
      </c>
      <c r="N659" s="18">
        <f>Table1[[#This Row],[Defective_Units]]/Table1[[#This Row],[Quantity]]</f>
        <v>4.5248868778280547E-3</v>
      </c>
      <c r="O659" s="26">
        <f>(Table1[[#This Row],[Unit_Cost]]-Table1[[#This Row],[Negotiated_Cost]])/Table1[[#This Row],[Unit_Cost]]</f>
        <v>2.9207537578131288E-2</v>
      </c>
    </row>
    <row r="660" spans="1:15" x14ac:dyDescent="0.25">
      <c r="A660" t="s">
        <v>695</v>
      </c>
      <c r="B660" t="s">
        <v>12</v>
      </c>
      <c r="C660" s="14" t="s">
        <v>36</v>
      </c>
      <c r="D660" s="1">
        <v>45602</v>
      </c>
      <c r="E660" s="13">
        <v>45621</v>
      </c>
      <c r="F660" s="14" t="s">
        <v>14</v>
      </c>
      <c r="G660">
        <v>72</v>
      </c>
      <c r="H660">
        <v>606.86</v>
      </c>
      <c r="I660">
        <v>600.36</v>
      </c>
      <c r="J660">
        <v>0</v>
      </c>
      <c r="K660" s="14" t="s">
        <v>15</v>
      </c>
      <c r="L660" s="14">
        <f>IF(OR(Table1[[#This Row],[Order_Status]]="Delivered",Table1[[#This Row],[Delivery_Date]]&lt;&gt;"Not Yet Delivered"),Table1[[#This Row],[Delivery_Date]]-Table1[[#This Row],[Order_Date]],"Not Applicable")</f>
        <v>19</v>
      </c>
      <c r="M660" s="14">
        <f>Table1[[#This Row],[Unit_Cost]]-Table1[[#This Row],[Negotiated_Cost]]</f>
        <v>6.5</v>
      </c>
      <c r="N660" s="18">
        <f>Table1[[#This Row],[Defective_Units]]/Table1[[#This Row],[Quantity]]</f>
        <v>0</v>
      </c>
      <c r="O660" s="26">
        <f>(Table1[[#This Row],[Unit_Cost]]-Table1[[#This Row],[Negotiated_Cost]])/Table1[[#This Row],[Unit_Cost]]</f>
        <v>1.0710872359358007E-2</v>
      </c>
    </row>
    <row r="661" spans="1:15" x14ac:dyDescent="0.25">
      <c r="A661" t="s">
        <v>696</v>
      </c>
      <c r="B661" t="s">
        <v>40</v>
      </c>
      <c r="C661" s="14" t="s">
        <v>21</v>
      </c>
      <c r="D661" s="1">
        <v>45485</v>
      </c>
      <c r="E661" s="14" t="s">
        <v>2057</v>
      </c>
      <c r="F661" s="14" t="s">
        <v>33</v>
      </c>
      <c r="G661">
        <v>43</v>
      </c>
      <c r="H661">
        <v>123.42</v>
      </c>
      <c r="I661">
        <v>117.29</v>
      </c>
      <c r="J661">
        <v>2</v>
      </c>
      <c r="K661" s="14" t="s">
        <v>15</v>
      </c>
      <c r="L661" s="14" t="str">
        <f>IF(OR(Table1[[#This Row],[Order_Status]]="Delivered",Table1[[#This Row],[Delivery_Date]]&lt;&gt;"Not Yet Delivered"),Table1[[#This Row],[Delivery_Date]]-Table1[[#This Row],[Order_Date]],"Not Applicable")</f>
        <v>Not Applicable</v>
      </c>
      <c r="M661" s="14">
        <f>Table1[[#This Row],[Unit_Cost]]-Table1[[#This Row],[Negotiated_Cost]]</f>
        <v>6.1299999999999955</v>
      </c>
      <c r="N661" s="18">
        <f>Table1[[#This Row],[Defective_Units]]/Table1[[#This Row],[Quantity]]</f>
        <v>4.6511627906976744E-2</v>
      </c>
      <c r="O661" s="26">
        <f>(Table1[[#This Row],[Unit_Cost]]-Table1[[#This Row],[Negotiated_Cost]])/Table1[[#This Row],[Unit_Cost]]</f>
        <v>4.9667801004699363E-2</v>
      </c>
    </row>
    <row r="662" spans="1:15" x14ac:dyDescent="0.25">
      <c r="A662" t="s">
        <v>697</v>
      </c>
      <c r="B662" t="s">
        <v>40</v>
      </c>
      <c r="C662" s="14" t="s">
        <v>48</v>
      </c>
      <c r="D662" s="1">
        <v>45487</v>
      </c>
      <c r="E662" s="14" t="s">
        <v>2057</v>
      </c>
      <c r="F662" s="14" t="s">
        <v>22</v>
      </c>
      <c r="G662">
        <v>105</v>
      </c>
      <c r="H662">
        <v>6753.32</v>
      </c>
      <c r="I662">
        <v>6350.89</v>
      </c>
      <c r="J662">
        <v>2</v>
      </c>
      <c r="K662" s="14" t="s">
        <v>25</v>
      </c>
      <c r="L662" s="14" t="str">
        <f>IF(OR(Table1[[#This Row],[Order_Status]]="Delivered",Table1[[#This Row],[Delivery_Date]]&lt;&gt;"Not Yet Delivered"),Table1[[#This Row],[Delivery_Date]]-Table1[[#This Row],[Order_Date]],"Not Applicable")</f>
        <v>Not Applicable</v>
      </c>
      <c r="M662" s="14">
        <f>Table1[[#This Row],[Unit_Cost]]-Table1[[#This Row],[Negotiated_Cost]]</f>
        <v>402.42999999999938</v>
      </c>
      <c r="N662" s="18">
        <f>Table1[[#This Row],[Defective_Units]]/Table1[[#This Row],[Quantity]]</f>
        <v>1.9047619047619049E-2</v>
      </c>
      <c r="O662" s="26">
        <f>(Table1[[#This Row],[Unit_Cost]]-Table1[[#This Row],[Negotiated_Cost]])/Table1[[#This Row],[Unit_Cost]]</f>
        <v>5.9589949832082503E-2</v>
      </c>
    </row>
    <row r="663" spans="1:15" x14ac:dyDescent="0.25">
      <c r="A663" t="s">
        <v>698</v>
      </c>
      <c r="B663" t="s">
        <v>27</v>
      </c>
      <c r="C663" s="14" t="s">
        <v>13</v>
      </c>
      <c r="D663" s="1">
        <v>45421</v>
      </c>
      <c r="E663" s="14" t="s">
        <v>2057</v>
      </c>
      <c r="F663" s="14" t="s">
        <v>33</v>
      </c>
      <c r="G663">
        <v>439</v>
      </c>
      <c r="H663">
        <v>4437.4799999999996</v>
      </c>
      <c r="I663">
        <v>4199.7299999999996</v>
      </c>
      <c r="J663">
        <v>2</v>
      </c>
      <c r="K663" s="14" t="s">
        <v>15</v>
      </c>
      <c r="L663" s="14" t="str">
        <f>IF(OR(Table1[[#This Row],[Order_Status]]="Delivered",Table1[[#This Row],[Delivery_Date]]&lt;&gt;"Not Yet Delivered"),Table1[[#This Row],[Delivery_Date]]-Table1[[#This Row],[Order_Date]],"Not Applicable")</f>
        <v>Not Applicable</v>
      </c>
      <c r="M663" s="14">
        <f>Table1[[#This Row],[Unit_Cost]]-Table1[[#This Row],[Negotiated_Cost]]</f>
        <v>237.75</v>
      </c>
      <c r="N663" s="18">
        <f>Table1[[#This Row],[Defective_Units]]/Table1[[#This Row],[Quantity]]</f>
        <v>4.5558086560364463E-3</v>
      </c>
      <c r="O663" s="26">
        <f>(Table1[[#This Row],[Unit_Cost]]-Table1[[#This Row],[Negotiated_Cost]])/Table1[[#This Row],[Unit_Cost]]</f>
        <v>5.3577706265718388E-2</v>
      </c>
    </row>
    <row r="664" spans="1:15" x14ac:dyDescent="0.25">
      <c r="A664" t="s">
        <v>699</v>
      </c>
      <c r="B664" t="s">
        <v>12</v>
      </c>
      <c r="C664" s="14" t="s">
        <v>30</v>
      </c>
      <c r="D664" s="1">
        <v>45467</v>
      </c>
      <c r="E664" s="13">
        <v>45473</v>
      </c>
      <c r="F664" s="14" t="s">
        <v>37</v>
      </c>
      <c r="G664">
        <v>395</v>
      </c>
      <c r="H664">
        <v>912.99</v>
      </c>
      <c r="I664">
        <v>862.5</v>
      </c>
      <c r="J664">
        <v>12</v>
      </c>
      <c r="K664" s="14" t="s">
        <v>15</v>
      </c>
      <c r="L664" s="14">
        <f>IF(OR(Table1[[#This Row],[Order_Status]]="Delivered",Table1[[#This Row],[Delivery_Date]]&lt;&gt;"Not Yet Delivered"),Table1[[#This Row],[Delivery_Date]]-Table1[[#This Row],[Order_Date]],"Not Applicable")</f>
        <v>6</v>
      </c>
      <c r="M664" s="14">
        <f>Table1[[#This Row],[Unit_Cost]]-Table1[[#This Row],[Negotiated_Cost]]</f>
        <v>50.490000000000009</v>
      </c>
      <c r="N664" s="18">
        <f>Table1[[#This Row],[Defective_Units]]/Table1[[#This Row],[Quantity]]</f>
        <v>3.0379746835443037E-2</v>
      </c>
      <c r="O664" s="26">
        <f>(Table1[[#This Row],[Unit_Cost]]-Table1[[#This Row],[Negotiated_Cost]])/Table1[[#This Row],[Unit_Cost]]</f>
        <v>5.5301810534617038E-2</v>
      </c>
    </row>
    <row r="665" spans="1:15" x14ac:dyDescent="0.25">
      <c r="A665" t="s">
        <v>700</v>
      </c>
      <c r="B665" t="s">
        <v>20</v>
      </c>
      <c r="C665" s="14" t="s">
        <v>44</v>
      </c>
      <c r="D665" s="1">
        <v>45359</v>
      </c>
      <c r="E665" s="13">
        <v>45385</v>
      </c>
      <c r="F665" s="14" t="s">
        <v>14</v>
      </c>
      <c r="G665">
        <v>421</v>
      </c>
      <c r="H665">
        <v>8134.62</v>
      </c>
      <c r="I665">
        <v>8073.94</v>
      </c>
      <c r="J665">
        <v>1</v>
      </c>
      <c r="K665" s="14" t="s">
        <v>15</v>
      </c>
      <c r="L665" s="14">
        <f>IF(OR(Table1[[#This Row],[Order_Status]]="Delivered",Table1[[#This Row],[Delivery_Date]]&lt;&gt;"Not Yet Delivered"),Table1[[#This Row],[Delivery_Date]]-Table1[[#This Row],[Order_Date]],"Not Applicable")</f>
        <v>26</v>
      </c>
      <c r="M665" s="14">
        <f>Table1[[#This Row],[Unit_Cost]]-Table1[[#This Row],[Negotiated_Cost]]</f>
        <v>60.680000000000291</v>
      </c>
      <c r="N665" s="18">
        <f>Table1[[#This Row],[Defective_Units]]/Table1[[#This Row],[Quantity]]</f>
        <v>2.3752969121140144E-3</v>
      </c>
      <c r="O665" s="26">
        <f>(Table1[[#This Row],[Unit_Cost]]-Table1[[#This Row],[Negotiated_Cost]])/Table1[[#This Row],[Unit_Cost]]</f>
        <v>7.4594756731107652E-3</v>
      </c>
    </row>
    <row r="666" spans="1:15" x14ac:dyDescent="0.25">
      <c r="A666" t="s">
        <v>701</v>
      </c>
      <c r="B666" t="s">
        <v>46</v>
      </c>
      <c r="C666" s="14" t="s">
        <v>44</v>
      </c>
      <c r="D666" s="1">
        <v>45261</v>
      </c>
      <c r="E666" s="13">
        <v>45279</v>
      </c>
      <c r="F666" s="14" t="s">
        <v>37</v>
      </c>
      <c r="G666">
        <v>353</v>
      </c>
      <c r="H666">
        <v>8212.59</v>
      </c>
      <c r="I666">
        <v>7945.39</v>
      </c>
      <c r="J666">
        <v>2</v>
      </c>
      <c r="K666" s="14" t="s">
        <v>15</v>
      </c>
      <c r="L666" s="14">
        <f>IF(OR(Table1[[#This Row],[Order_Status]]="Delivered",Table1[[#This Row],[Delivery_Date]]&lt;&gt;"Not Yet Delivered"),Table1[[#This Row],[Delivery_Date]]-Table1[[#This Row],[Order_Date]],"Not Applicable")</f>
        <v>18</v>
      </c>
      <c r="M666" s="14">
        <f>Table1[[#This Row],[Unit_Cost]]-Table1[[#This Row],[Negotiated_Cost]]</f>
        <v>267.19999999999982</v>
      </c>
      <c r="N666" s="18">
        <f>Table1[[#This Row],[Defective_Units]]/Table1[[#This Row],[Quantity]]</f>
        <v>5.6657223796033997E-3</v>
      </c>
      <c r="O666" s="26">
        <f>(Table1[[#This Row],[Unit_Cost]]-Table1[[#This Row],[Negotiated_Cost]])/Table1[[#This Row],[Unit_Cost]]</f>
        <v>3.2535412092896371E-2</v>
      </c>
    </row>
    <row r="667" spans="1:15" x14ac:dyDescent="0.25">
      <c r="A667" t="s">
        <v>702</v>
      </c>
      <c r="B667" t="s">
        <v>35</v>
      </c>
      <c r="C667" s="14" t="s">
        <v>44</v>
      </c>
      <c r="D667" s="1">
        <v>45028</v>
      </c>
      <c r="E667" s="13">
        <v>45049</v>
      </c>
      <c r="F667" s="14" t="s">
        <v>37</v>
      </c>
      <c r="G667">
        <v>433</v>
      </c>
      <c r="H667">
        <v>8581.19</v>
      </c>
      <c r="I667">
        <v>8536.19</v>
      </c>
      <c r="J667">
        <v>6</v>
      </c>
      <c r="K667" s="14" t="s">
        <v>15</v>
      </c>
      <c r="L667" s="14">
        <f>IF(OR(Table1[[#This Row],[Order_Status]]="Delivered",Table1[[#This Row],[Delivery_Date]]&lt;&gt;"Not Yet Delivered"),Table1[[#This Row],[Delivery_Date]]-Table1[[#This Row],[Order_Date]],"Not Applicable")</f>
        <v>21</v>
      </c>
      <c r="M667" s="14">
        <f>Table1[[#This Row],[Unit_Cost]]-Table1[[#This Row],[Negotiated_Cost]]</f>
        <v>45</v>
      </c>
      <c r="N667" s="18">
        <f>Table1[[#This Row],[Defective_Units]]/Table1[[#This Row],[Quantity]]</f>
        <v>1.3856812933025405E-2</v>
      </c>
      <c r="O667" s="26">
        <f>(Table1[[#This Row],[Unit_Cost]]-Table1[[#This Row],[Negotiated_Cost]])/Table1[[#This Row],[Unit_Cost]]</f>
        <v>5.2440279261967157E-3</v>
      </c>
    </row>
    <row r="668" spans="1:15" x14ac:dyDescent="0.25">
      <c r="A668" t="s">
        <v>703</v>
      </c>
      <c r="B668" t="s">
        <v>12</v>
      </c>
      <c r="C668" s="14" t="s">
        <v>50</v>
      </c>
      <c r="D668" s="1">
        <v>44978</v>
      </c>
      <c r="E668" s="13">
        <v>44984</v>
      </c>
      <c r="F668" s="14" t="s">
        <v>14</v>
      </c>
      <c r="G668">
        <v>297</v>
      </c>
      <c r="H668">
        <v>51874.12</v>
      </c>
      <c r="I668">
        <v>51158.32</v>
      </c>
      <c r="J668">
        <v>10</v>
      </c>
      <c r="K668" s="14" t="s">
        <v>15</v>
      </c>
      <c r="L668" s="14">
        <f>IF(OR(Table1[[#This Row],[Order_Status]]="Delivered",Table1[[#This Row],[Delivery_Date]]&lt;&gt;"Not Yet Delivered"),Table1[[#This Row],[Delivery_Date]]-Table1[[#This Row],[Order_Date]],"Not Applicable")</f>
        <v>6</v>
      </c>
      <c r="M668" s="14">
        <f>Table1[[#This Row],[Unit_Cost]]-Table1[[#This Row],[Negotiated_Cost]]</f>
        <v>715.80000000000291</v>
      </c>
      <c r="N668" s="18">
        <f>Table1[[#This Row],[Defective_Units]]/Table1[[#This Row],[Quantity]]</f>
        <v>3.3670033670033669E-2</v>
      </c>
      <c r="O668" s="26">
        <f>(Table1[[#This Row],[Unit_Cost]]-Table1[[#This Row],[Negotiated_Cost]])/Table1[[#This Row],[Unit_Cost]]</f>
        <v>1.3798788297517199E-2</v>
      </c>
    </row>
    <row r="669" spans="1:15" x14ac:dyDescent="0.25">
      <c r="A669" t="s">
        <v>704</v>
      </c>
      <c r="B669" t="s">
        <v>32</v>
      </c>
      <c r="C669" s="14" t="s">
        <v>24</v>
      </c>
      <c r="D669" s="1">
        <v>45040</v>
      </c>
      <c r="E669" s="13">
        <v>45070</v>
      </c>
      <c r="F669" s="14" t="s">
        <v>14</v>
      </c>
      <c r="G669">
        <v>208</v>
      </c>
      <c r="H669">
        <v>11888.79</v>
      </c>
      <c r="I669">
        <v>11320.81</v>
      </c>
      <c r="J669">
        <v>5</v>
      </c>
      <c r="K669" s="14" t="s">
        <v>15</v>
      </c>
      <c r="L669" s="14">
        <f>IF(OR(Table1[[#This Row],[Order_Status]]="Delivered",Table1[[#This Row],[Delivery_Date]]&lt;&gt;"Not Yet Delivered"),Table1[[#This Row],[Delivery_Date]]-Table1[[#This Row],[Order_Date]],"Not Applicable")</f>
        <v>30</v>
      </c>
      <c r="M669" s="14">
        <f>Table1[[#This Row],[Unit_Cost]]-Table1[[#This Row],[Negotiated_Cost]]</f>
        <v>567.98000000000138</v>
      </c>
      <c r="N669" s="18">
        <f>Table1[[#This Row],[Defective_Units]]/Table1[[#This Row],[Quantity]]</f>
        <v>2.403846153846154E-2</v>
      </c>
      <c r="O669" s="26">
        <f>(Table1[[#This Row],[Unit_Cost]]-Table1[[#This Row],[Negotiated_Cost]])/Table1[[#This Row],[Unit_Cost]]</f>
        <v>4.777441606757301E-2</v>
      </c>
    </row>
    <row r="670" spans="1:15" x14ac:dyDescent="0.25">
      <c r="A670" t="s">
        <v>705</v>
      </c>
      <c r="B670" t="s">
        <v>17</v>
      </c>
      <c r="C670" s="14" t="s">
        <v>48</v>
      </c>
      <c r="D670" s="1">
        <v>45067</v>
      </c>
      <c r="E670" s="13">
        <v>45077</v>
      </c>
      <c r="F670" s="14" t="s">
        <v>14</v>
      </c>
      <c r="G670">
        <v>235</v>
      </c>
      <c r="H670">
        <v>6466.46</v>
      </c>
      <c r="I670">
        <v>6396.95</v>
      </c>
      <c r="J670">
        <v>1</v>
      </c>
      <c r="K670" s="14" t="s">
        <v>15</v>
      </c>
      <c r="L670" s="14">
        <f>IF(OR(Table1[[#This Row],[Order_Status]]="Delivered",Table1[[#This Row],[Delivery_Date]]&lt;&gt;"Not Yet Delivered"),Table1[[#This Row],[Delivery_Date]]-Table1[[#This Row],[Order_Date]],"Not Applicable")</f>
        <v>10</v>
      </c>
      <c r="M670" s="14">
        <f>Table1[[#This Row],[Unit_Cost]]-Table1[[#This Row],[Negotiated_Cost]]</f>
        <v>69.510000000000218</v>
      </c>
      <c r="N670" s="18">
        <f>Table1[[#This Row],[Defective_Units]]/Table1[[#This Row],[Quantity]]</f>
        <v>4.2553191489361703E-3</v>
      </c>
      <c r="O670" s="26">
        <f>(Table1[[#This Row],[Unit_Cost]]-Table1[[#This Row],[Negotiated_Cost]])/Table1[[#This Row],[Unit_Cost]]</f>
        <v>1.0749312606897781E-2</v>
      </c>
    </row>
    <row r="671" spans="1:15" x14ac:dyDescent="0.25">
      <c r="A671" t="s">
        <v>706</v>
      </c>
      <c r="B671" t="s">
        <v>35</v>
      </c>
      <c r="C671" s="14" t="s">
        <v>28</v>
      </c>
      <c r="D671" s="1">
        <v>45548</v>
      </c>
      <c r="E671" s="13">
        <v>45573</v>
      </c>
      <c r="F671" s="14" t="s">
        <v>14</v>
      </c>
      <c r="G671">
        <v>73</v>
      </c>
      <c r="H671">
        <v>47688.31</v>
      </c>
      <c r="I671">
        <v>46854.48</v>
      </c>
      <c r="J671">
        <v>1</v>
      </c>
      <c r="K671" s="14" t="s">
        <v>15</v>
      </c>
      <c r="L671" s="14">
        <f>IF(OR(Table1[[#This Row],[Order_Status]]="Delivered",Table1[[#This Row],[Delivery_Date]]&lt;&gt;"Not Yet Delivered"),Table1[[#This Row],[Delivery_Date]]-Table1[[#This Row],[Order_Date]],"Not Applicable")</f>
        <v>25</v>
      </c>
      <c r="M671" s="14">
        <f>Table1[[#This Row],[Unit_Cost]]-Table1[[#This Row],[Negotiated_Cost]]</f>
        <v>833.82999999999447</v>
      </c>
      <c r="N671" s="18">
        <f>Table1[[#This Row],[Defective_Units]]/Table1[[#This Row],[Quantity]]</f>
        <v>1.3698630136986301E-2</v>
      </c>
      <c r="O671" s="26">
        <f>(Table1[[#This Row],[Unit_Cost]]-Table1[[#This Row],[Negotiated_Cost]])/Table1[[#This Row],[Unit_Cost]]</f>
        <v>1.7484997895710595E-2</v>
      </c>
    </row>
    <row r="672" spans="1:15" x14ac:dyDescent="0.25">
      <c r="A672" t="s">
        <v>707</v>
      </c>
      <c r="B672" t="s">
        <v>32</v>
      </c>
      <c r="C672" s="14" t="s">
        <v>55</v>
      </c>
      <c r="D672" s="1">
        <v>45493</v>
      </c>
      <c r="E672" s="13">
        <v>45518</v>
      </c>
      <c r="F672" s="14" t="s">
        <v>14</v>
      </c>
      <c r="G672">
        <v>327</v>
      </c>
      <c r="H672">
        <v>14134.36</v>
      </c>
      <c r="I672">
        <v>13688.73</v>
      </c>
      <c r="J672">
        <v>6</v>
      </c>
      <c r="K672" s="14" t="s">
        <v>15</v>
      </c>
      <c r="L672" s="14">
        <f>IF(OR(Table1[[#This Row],[Order_Status]]="Delivered",Table1[[#This Row],[Delivery_Date]]&lt;&gt;"Not Yet Delivered"),Table1[[#This Row],[Delivery_Date]]-Table1[[#This Row],[Order_Date]],"Not Applicable")</f>
        <v>25</v>
      </c>
      <c r="M672" s="14">
        <f>Table1[[#This Row],[Unit_Cost]]-Table1[[#This Row],[Negotiated_Cost]]</f>
        <v>445.63000000000102</v>
      </c>
      <c r="N672" s="18">
        <f>Table1[[#This Row],[Defective_Units]]/Table1[[#This Row],[Quantity]]</f>
        <v>1.834862385321101E-2</v>
      </c>
      <c r="O672" s="26">
        <f>(Table1[[#This Row],[Unit_Cost]]-Table1[[#This Row],[Negotiated_Cost]])/Table1[[#This Row],[Unit_Cost]]</f>
        <v>3.152813427703844E-2</v>
      </c>
    </row>
    <row r="673" spans="1:15" x14ac:dyDescent="0.25">
      <c r="A673" t="s">
        <v>708</v>
      </c>
      <c r="B673" t="s">
        <v>12</v>
      </c>
      <c r="C673" s="14" t="s">
        <v>50</v>
      </c>
      <c r="D673" s="1">
        <v>45376</v>
      </c>
      <c r="E673" s="13">
        <v>45398</v>
      </c>
      <c r="F673" s="14" t="s">
        <v>14</v>
      </c>
      <c r="G673">
        <v>15</v>
      </c>
      <c r="H673">
        <v>55451.88</v>
      </c>
      <c r="I673">
        <v>53513.45</v>
      </c>
      <c r="J673">
        <v>0</v>
      </c>
      <c r="K673" s="14" t="s">
        <v>15</v>
      </c>
      <c r="L673" s="14">
        <f>IF(OR(Table1[[#This Row],[Order_Status]]="Delivered",Table1[[#This Row],[Delivery_Date]]&lt;&gt;"Not Yet Delivered"),Table1[[#This Row],[Delivery_Date]]-Table1[[#This Row],[Order_Date]],"Not Applicable")</f>
        <v>22</v>
      </c>
      <c r="M673" s="14">
        <f>Table1[[#This Row],[Unit_Cost]]-Table1[[#This Row],[Negotiated_Cost]]</f>
        <v>1938.4300000000003</v>
      </c>
      <c r="N673" s="18">
        <f>Table1[[#This Row],[Defective_Units]]/Table1[[#This Row],[Quantity]]</f>
        <v>0</v>
      </c>
      <c r="O673" s="26">
        <f>(Table1[[#This Row],[Unit_Cost]]-Table1[[#This Row],[Negotiated_Cost]])/Table1[[#This Row],[Unit_Cost]]</f>
        <v>3.495697530904273E-2</v>
      </c>
    </row>
    <row r="674" spans="1:15" x14ac:dyDescent="0.25">
      <c r="A674" t="s">
        <v>709</v>
      </c>
      <c r="B674" t="s">
        <v>17</v>
      </c>
      <c r="C674" s="14" t="s">
        <v>28</v>
      </c>
      <c r="D674" s="1">
        <v>45181</v>
      </c>
      <c r="E674" s="14" t="s">
        <v>2057</v>
      </c>
      <c r="F674" s="14" t="s">
        <v>22</v>
      </c>
      <c r="G674">
        <v>385</v>
      </c>
      <c r="H674">
        <v>44145.5</v>
      </c>
      <c r="I674">
        <v>42837.15</v>
      </c>
      <c r="J674">
        <v>2</v>
      </c>
      <c r="K674" s="14" t="s">
        <v>15</v>
      </c>
      <c r="L674" s="14" t="str">
        <f>IF(OR(Table1[[#This Row],[Order_Status]]="Delivered",Table1[[#This Row],[Delivery_Date]]&lt;&gt;"Not Yet Delivered"),Table1[[#This Row],[Delivery_Date]]-Table1[[#This Row],[Order_Date]],"Not Applicable")</f>
        <v>Not Applicable</v>
      </c>
      <c r="M674" s="14">
        <f>Table1[[#This Row],[Unit_Cost]]-Table1[[#This Row],[Negotiated_Cost]]</f>
        <v>1308.3499999999985</v>
      </c>
      <c r="N674" s="18">
        <f>Table1[[#This Row],[Defective_Units]]/Table1[[#This Row],[Quantity]]</f>
        <v>5.1948051948051948E-3</v>
      </c>
      <c r="O674" s="26">
        <f>(Table1[[#This Row],[Unit_Cost]]-Table1[[#This Row],[Negotiated_Cost]])/Table1[[#This Row],[Unit_Cost]]</f>
        <v>2.9637222366945635E-2</v>
      </c>
    </row>
    <row r="675" spans="1:15" x14ac:dyDescent="0.25">
      <c r="A675" t="s">
        <v>710</v>
      </c>
      <c r="B675" t="s">
        <v>20</v>
      </c>
      <c r="C675" s="14" t="s">
        <v>18</v>
      </c>
      <c r="D675" s="1">
        <v>45201</v>
      </c>
      <c r="E675" s="13">
        <v>45221</v>
      </c>
      <c r="F675" s="14" t="s">
        <v>14</v>
      </c>
      <c r="G675">
        <v>265</v>
      </c>
      <c r="H675">
        <v>4898.18</v>
      </c>
      <c r="I675">
        <v>4609.8999999999996</v>
      </c>
      <c r="J675">
        <v>0</v>
      </c>
      <c r="K675" s="14" t="s">
        <v>15</v>
      </c>
      <c r="L675" s="14">
        <f>IF(OR(Table1[[#This Row],[Order_Status]]="Delivered",Table1[[#This Row],[Delivery_Date]]&lt;&gt;"Not Yet Delivered"),Table1[[#This Row],[Delivery_Date]]-Table1[[#This Row],[Order_Date]],"Not Applicable")</f>
        <v>20</v>
      </c>
      <c r="M675" s="14">
        <f>Table1[[#This Row],[Unit_Cost]]-Table1[[#This Row],[Negotiated_Cost]]</f>
        <v>288.28000000000065</v>
      </c>
      <c r="N675" s="18">
        <f>Table1[[#This Row],[Defective_Units]]/Table1[[#This Row],[Quantity]]</f>
        <v>0</v>
      </c>
      <c r="O675" s="26">
        <f>(Table1[[#This Row],[Unit_Cost]]-Table1[[#This Row],[Negotiated_Cost]])/Table1[[#This Row],[Unit_Cost]]</f>
        <v>5.8854513309025115E-2</v>
      </c>
    </row>
    <row r="676" spans="1:15" x14ac:dyDescent="0.25">
      <c r="A676" t="s">
        <v>711</v>
      </c>
      <c r="B676" t="s">
        <v>27</v>
      </c>
      <c r="C676" s="14" t="s">
        <v>28</v>
      </c>
      <c r="D676" s="1">
        <v>45339</v>
      </c>
      <c r="E676" s="13">
        <v>45345</v>
      </c>
      <c r="F676" s="14" t="s">
        <v>37</v>
      </c>
      <c r="G676">
        <v>171</v>
      </c>
      <c r="H676">
        <v>50407.77</v>
      </c>
      <c r="I676">
        <v>47823.42</v>
      </c>
      <c r="J676">
        <v>2</v>
      </c>
      <c r="K676" s="14" t="s">
        <v>15</v>
      </c>
      <c r="L676" s="14">
        <f>IF(OR(Table1[[#This Row],[Order_Status]]="Delivered",Table1[[#This Row],[Delivery_Date]]&lt;&gt;"Not Yet Delivered"),Table1[[#This Row],[Delivery_Date]]-Table1[[#This Row],[Order_Date]],"Not Applicable")</f>
        <v>6</v>
      </c>
      <c r="M676" s="14">
        <f>Table1[[#This Row],[Unit_Cost]]-Table1[[#This Row],[Negotiated_Cost]]</f>
        <v>2584.3499999999985</v>
      </c>
      <c r="N676" s="18">
        <f>Table1[[#This Row],[Defective_Units]]/Table1[[#This Row],[Quantity]]</f>
        <v>1.1695906432748537E-2</v>
      </c>
      <c r="O676" s="26">
        <f>(Table1[[#This Row],[Unit_Cost]]-Table1[[#This Row],[Negotiated_Cost]])/Table1[[#This Row],[Unit_Cost]]</f>
        <v>5.1268881761680762E-2</v>
      </c>
    </row>
    <row r="677" spans="1:15" x14ac:dyDescent="0.25">
      <c r="A677" t="s">
        <v>712</v>
      </c>
      <c r="B677" t="s">
        <v>35</v>
      </c>
      <c r="C677" s="14" t="s">
        <v>21</v>
      </c>
      <c r="D677" s="1">
        <v>45571</v>
      </c>
      <c r="E677" s="13">
        <v>45598</v>
      </c>
      <c r="F677" s="14" t="s">
        <v>14</v>
      </c>
      <c r="G677">
        <v>110</v>
      </c>
      <c r="H677">
        <v>121.84</v>
      </c>
      <c r="I677">
        <v>120.6</v>
      </c>
      <c r="J677">
        <v>0</v>
      </c>
      <c r="K677" s="14" t="s">
        <v>15</v>
      </c>
      <c r="L677" s="14">
        <f>IF(OR(Table1[[#This Row],[Order_Status]]="Delivered",Table1[[#This Row],[Delivery_Date]]&lt;&gt;"Not Yet Delivered"),Table1[[#This Row],[Delivery_Date]]-Table1[[#This Row],[Order_Date]],"Not Applicable")</f>
        <v>27</v>
      </c>
      <c r="M677" s="14">
        <f>Table1[[#This Row],[Unit_Cost]]-Table1[[#This Row],[Negotiated_Cost]]</f>
        <v>1.2400000000000091</v>
      </c>
      <c r="N677" s="18">
        <f>Table1[[#This Row],[Defective_Units]]/Table1[[#This Row],[Quantity]]</f>
        <v>0</v>
      </c>
      <c r="O677" s="26">
        <f>(Table1[[#This Row],[Unit_Cost]]-Table1[[#This Row],[Negotiated_Cost]])/Table1[[#This Row],[Unit_Cost]]</f>
        <v>1.0177281680893048E-2</v>
      </c>
    </row>
    <row r="678" spans="1:15" x14ac:dyDescent="0.25">
      <c r="A678" t="s">
        <v>713</v>
      </c>
      <c r="B678" t="s">
        <v>17</v>
      </c>
      <c r="C678" s="14" t="s">
        <v>50</v>
      </c>
      <c r="D678" s="1">
        <v>44944</v>
      </c>
      <c r="E678" s="14" t="s">
        <v>2057</v>
      </c>
      <c r="F678" s="14" t="s">
        <v>22</v>
      </c>
      <c r="G678">
        <v>246</v>
      </c>
      <c r="H678">
        <v>46274.080000000002</v>
      </c>
      <c r="I678">
        <v>46029</v>
      </c>
      <c r="J678">
        <v>2</v>
      </c>
      <c r="K678" s="14" t="s">
        <v>15</v>
      </c>
      <c r="L678" s="14" t="str">
        <f>IF(OR(Table1[[#This Row],[Order_Status]]="Delivered",Table1[[#This Row],[Delivery_Date]]&lt;&gt;"Not Yet Delivered"),Table1[[#This Row],[Delivery_Date]]-Table1[[#This Row],[Order_Date]],"Not Applicable")</f>
        <v>Not Applicable</v>
      </c>
      <c r="M678" s="14">
        <f>Table1[[#This Row],[Unit_Cost]]-Table1[[#This Row],[Negotiated_Cost]]</f>
        <v>245.08000000000175</v>
      </c>
      <c r="N678" s="18">
        <f>Table1[[#This Row],[Defective_Units]]/Table1[[#This Row],[Quantity]]</f>
        <v>8.130081300813009E-3</v>
      </c>
      <c r="O678" s="26">
        <f>(Table1[[#This Row],[Unit_Cost]]-Table1[[#This Row],[Negotiated_Cost]])/Table1[[#This Row],[Unit_Cost]]</f>
        <v>5.2962695314526347E-3</v>
      </c>
    </row>
    <row r="679" spans="1:15" x14ac:dyDescent="0.25">
      <c r="A679" t="s">
        <v>714</v>
      </c>
      <c r="B679" t="s">
        <v>20</v>
      </c>
      <c r="C679" s="14" t="s">
        <v>50</v>
      </c>
      <c r="D679" s="1">
        <v>45348</v>
      </c>
      <c r="E679" s="13">
        <v>45355</v>
      </c>
      <c r="F679" s="14" t="s">
        <v>14</v>
      </c>
      <c r="G679">
        <v>390</v>
      </c>
      <c r="H679">
        <v>52416.54</v>
      </c>
      <c r="I679">
        <v>51790.11</v>
      </c>
      <c r="J679">
        <v>6</v>
      </c>
      <c r="K679" s="14" t="s">
        <v>15</v>
      </c>
      <c r="L679" s="14">
        <f>IF(OR(Table1[[#This Row],[Order_Status]]="Delivered",Table1[[#This Row],[Delivery_Date]]&lt;&gt;"Not Yet Delivered"),Table1[[#This Row],[Delivery_Date]]-Table1[[#This Row],[Order_Date]],"Not Applicable")</f>
        <v>7</v>
      </c>
      <c r="M679" s="14">
        <f>Table1[[#This Row],[Unit_Cost]]-Table1[[#This Row],[Negotiated_Cost]]</f>
        <v>626.43000000000029</v>
      </c>
      <c r="N679" s="18">
        <f>Table1[[#This Row],[Defective_Units]]/Table1[[#This Row],[Quantity]]</f>
        <v>1.5384615384615385E-2</v>
      </c>
      <c r="O679" s="26">
        <f>(Table1[[#This Row],[Unit_Cost]]-Table1[[#This Row],[Negotiated_Cost]])/Table1[[#This Row],[Unit_Cost]]</f>
        <v>1.1950998673319535E-2</v>
      </c>
    </row>
    <row r="680" spans="1:15" x14ac:dyDescent="0.25">
      <c r="A680" t="s">
        <v>715</v>
      </c>
      <c r="B680" t="s">
        <v>40</v>
      </c>
      <c r="C680" s="14" t="s">
        <v>50</v>
      </c>
      <c r="D680" s="1">
        <v>45372</v>
      </c>
      <c r="E680" s="14" t="s">
        <v>2057</v>
      </c>
      <c r="F680" s="14" t="s">
        <v>22</v>
      </c>
      <c r="G680">
        <v>417</v>
      </c>
      <c r="H680">
        <v>54477.49</v>
      </c>
      <c r="I680">
        <v>53927.46</v>
      </c>
      <c r="J680">
        <v>2</v>
      </c>
      <c r="K680" s="14" t="s">
        <v>15</v>
      </c>
      <c r="L680" s="14" t="str">
        <f>IF(OR(Table1[[#This Row],[Order_Status]]="Delivered",Table1[[#This Row],[Delivery_Date]]&lt;&gt;"Not Yet Delivered"),Table1[[#This Row],[Delivery_Date]]-Table1[[#This Row],[Order_Date]],"Not Applicable")</f>
        <v>Not Applicable</v>
      </c>
      <c r="M680" s="14">
        <f>Table1[[#This Row],[Unit_Cost]]-Table1[[#This Row],[Negotiated_Cost]]</f>
        <v>550.02999999999884</v>
      </c>
      <c r="N680" s="18">
        <f>Table1[[#This Row],[Defective_Units]]/Table1[[#This Row],[Quantity]]</f>
        <v>4.7961630695443642E-3</v>
      </c>
      <c r="O680" s="26">
        <f>(Table1[[#This Row],[Unit_Cost]]-Table1[[#This Row],[Negotiated_Cost]])/Table1[[#This Row],[Unit_Cost]]</f>
        <v>1.0096463695372142E-2</v>
      </c>
    </row>
    <row r="681" spans="1:15" x14ac:dyDescent="0.25">
      <c r="A681" t="s">
        <v>716</v>
      </c>
      <c r="B681" t="s">
        <v>32</v>
      </c>
      <c r="C681" s="14" t="s">
        <v>24</v>
      </c>
      <c r="D681" s="1">
        <v>45204</v>
      </c>
      <c r="E681" s="14" t="s">
        <v>2057</v>
      </c>
      <c r="F681" s="14" t="s">
        <v>33</v>
      </c>
      <c r="G681">
        <v>55</v>
      </c>
      <c r="H681">
        <v>10988.55</v>
      </c>
      <c r="I681">
        <v>10577.02</v>
      </c>
      <c r="J681">
        <v>2</v>
      </c>
      <c r="K681" s="14" t="s">
        <v>15</v>
      </c>
      <c r="L681" s="14" t="str">
        <f>IF(OR(Table1[[#This Row],[Order_Status]]="Delivered",Table1[[#This Row],[Delivery_Date]]&lt;&gt;"Not Yet Delivered"),Table1[[#This Row],[Delivery_Date]]-Table1[[#This Row],[Order_Date]],"Not Applicable")</f>
        <v>Not Applicable</v>
      </c>
      <c r="M681" s="14">
        <f>Table1[[#This Row],[Unit_Cost]]-Table1[[#This Row],[Negotiated_Cost]]</f>
        <v>411.52999999999884</v>
      </c>
      <c r="N681" s="18">
        <f>Table1[[#This Row],[Defective_Units]]/Table1[[#This Row],[Quantity]]</f>
        <v>3.6363636363636362E-2</v>
      </c>
      <c r="O681" s="26">
        <f>(Table1[[#This Row],[Unit_Cost]]-Table1[[#This Row],[Negotiated_Cost]])/Table1[[#This Row],[Unit_Cost]]</f>
        <v>3.7450801061104412E-2</v>
      </c>
    </row>
    <row r="682" spans="1:15" x14ac:dyDescent="0.25">
      <c r="A682" t="s">
        <v>717</v>
      </c>
      <c r="B682" t="s">
        <v>46</v>
      </c>
      <c r="C682" s="14" t="s">
        <v>44</v>
      </c>
      <c r="D682" s="1">
        <v>45621</v>
      </c>
      <c r="E682" s="14" t="s">
        <v>2057</v>
      </c>
      <c r="F682" s="14" t="s">
        <v>33</v>
      </c>
      <c r="G682">
        <v>255</v>
      </c>
      <c r="H682">
        <v>7961.4</v>
      </c>
      <c r="I682">
        <v>7707.42</v>
      </c>
      <c r="J682">
        <v>2</v>
      </c>
      <c r="K682" s="14" t="s">
        <v>15</v>
      </c>
      <c r="L682" s="14" t="str">
        <f>IF(OR(Table1[[#This Row],[Order_Status]]="Delivered",Table1[[#This Row],[Delivery_Date]]&lt;&gt;"Not Yet Delivered"),Table1[[#This Row],[Delivery_Date]]-Table1[[#This Row],[Order_Date]],"Not Applicable")</f>
        <v>Not Applicable</v>
      </c>
      <c r="M682" s="14">
        <f>Table1[[#This Row],[Unit_Cost]]-Table1[[#This Row],[Negotiated_Cost]]</f>
        <v>253.97999999999956</v>
      </c>
      <c r="N682" s="18">
        <f>Table1[[#This Row],[Defective_Units]]/Table1[[#This Row],[Quantity]]</f>
        <v>7.8431372549019607E-3</v>
      </c>
      <c r="O682" s="26">
        <f>(Table1[[#This Row],[Unit_Cost]]-Table1[[#This Row],[Negotiated_Cost]])/Table1[[#This Row],[Unit_Cost]]</f>
        <v>3.1901424372597728E-2</v>
      </c>
    </row>
    <row r="683" spans="1:15" x14ac:dyDescent="0.25">
      <c r="A683" t="s">
        <v>718</v>
      </c>
      <c r="B683" t="s">
        <v>17</v>
      </c>
      <c r="C683" s="14" t="s">
        <v>28</v>
      </c>
      <c r="D683" s="1">
        <v>45057</v>
      </c>
      <c r="E683" s="13">
        <v>45074</v>
      </c>
      <c r="F683" s="14" t="s">
        <v>14</v>
      </c>
      <c r="G683">
        <v>494</v>
      </c>
      <c r="H683">
        <v>47743.69</v>
      </c>
      <c r="I683">
        <v>46788.07</v>
      </c>
      <c r="J683">
        <v>7</v>
      </c>
      <c r="K683" s="14" t="s">
        <v>15</v>
      </c>
      <c r="L683" s="14">
        <f>IF(OR(Table1[[#This Row],[Order_Status]]="Delivered",Table1[[#This Row],[Delivery_Date]]&lt;&gt;"Not Yet Delivered"),Table1[[#This Row],[Delivery_Date]]-Table1[[#This Row],[Order_Date]],"Not Applicable")</f>
        <v>17</v>
      </c>
      <c r="M683" s="14">
        <f>Table1[[#This Row],[Unit_Cost]]-Table1[[#This Row],[Negotiated_Cost]]</f>
        <v>955.62000000000262</v>
      </c>
      <c r="N683" s="18">
        <f>Table1[[#This Row],[Defective_Units]]/Table1[[#This Row],[Quantity]]</f>
        <v>1.417004048582996E-2</v>
      </c>
      <c r="O683" s="26">
        <f>(Table1[[#This Row],[Unit_Cost]]-Table1[[#This Row],[Negotiated_Cost]])/Table1[[#This Row],[Unit_Cost]]</f>
        <v>2.0015629290488494E-2</v>
      </c>
    </row>
    <row r="684" spans="1:15" x14ac:dyDescent="0.25">
      <c r="A684" t="s">
        <v>719</v>
      </c>
      <c r="B684" t="s">
        <v>46</v>
      </c>
      <c r="C684" s="14" t="s">
        <v>21</v>
      </c>
      <c r="D684" s="1">
        <v>45577</v>
      </c>
      <c r="E684" s="13">
        <v>45605</v>
      </c>
      <c r="F684" s="14" t="s">
        <v>14</v>
      </c>
      <c r="G684">
        <v>125</v>
      </c>
      <c r="H684">
        <v>121.9</v>
      </c>
      <c r="I684">
        <v>120.27</v>
      </c>
      <c r="J684">
        <v>0</v>
      </c>
      <c r="K684" s="14" t="s">
        <v>15</v>
      </c>
      <c r="L684" s="14">
        <f>IF(OR(Table1[[#This Row],[Order_Status]]="Delivered",Table1[[#This Row],[Delivery_Date]]&lt;&gt;"Not Yet Delivered"),Table1[[#This Row],[Delivery_Date]]-Table1[[#This Row],[Order_Date]],"Not Applicable")</f>
        <v>28</v>
      </c>
      <c r="M684" s="14">
        <f>Table1[[#This Row],[Unit_Cost]]-Table1[[#This Row],[Negotiated_Cost]]</f>
        <v>1.6300000000000097</v>
      </c>
      <c r="N684" s="18">
        <f>Table1[[#This Row],[Defective_Units]]/Table1[[#This Row],[Quantity]]</f>
        <v>0</v>
      </c>
      <c r="O684" s="26">
        <f>(Table1[[#This Row],[Unit_Cost]]-Table1[[#This Row],[Negotiated_Cost]])/Table1[[#This Row],[Unit_Cost]]</f>
        <v>1.3371616078753154E-2</v>
      </c>
    </row>
    <row r="685" spans="1:15" x14ac:dyDescent="0.25">
      <c r="A685" t="s">
        <v>720</v>
      </c>
      <c r="B685" t="s">
        <v>46</v>
      </c>
      <c r="C685" s="14" t="s">
        <v>36</v>
      </c>
      <c r="D685" s="1">
        <v>45646</v>
      </c>
      <c r="E685" s="13">
        <v>45658</v>
      </c>
      <c r="F685" s="14" t="s">
        <v>14</v>
      </c>
      <c r="G685">
        <v>436</v>
      </c>
      <c r="H685">
        <v>526.25</v>
      </c>
      <c r="I685">
        <v>511.51</v>
      </c>
      <c r="J685">
        <v>1</v>
      </c>
      <c r="K685" s="14" t="s">
        <v>15</v>
      </c>
      <c r="L685" s="14">
        <f>IF(OR(Table1[[#This Row],[Order_Status]]="Delivered",Table1[[#This Row],[Delivery_Date]]&lt;&gt;"Not Yet Delivered"),Table1[[#This Row],[Delivery_Date]]-Table1[[#This Row],[Order_Date]],"Not Applicable")</f>
        <v>12</v>
      </c>
      <c r="M685" s="14">
        <f>Table1[[#This Row],[Unit_Cost]]-Table1[[#This Row],[Negotiated_Cost]]</f>
        <v>14.740000000000009</v>
      </c>
      <c r="N685" s="18">
        <f>Table1[[#This Row],[Defective_Units]]/Table1[[#This Row],[Quantity]]</f>
        <v>2.2935779816513763E-3</v>
      </c>
      <c r="O685" s="26">
        <f>(Table1[[#This Row],[Unit_Cost]]-Table1[[#This Row],[Negotiated_Cost]])/Table1[[#This Row],[Unit_Cost]]</f>
        <v>2.8009501187648472E-2</v>
      </c>
    </row>
    <row r="686" spans="1:15" x14ac:dyDescent="0.25">
      <c r="A686" t="s">
        <v>721</v>
      </c>
      <c r="B686" t="s">
        <v>40</v>
      </c>
      <c r="C686" s="14" t="s">
        <v>21</v>
      </c>
      <c r="D686" s="1">
        <v>45480</v>
      </c>
      <c r="E686" s="13">
        <v>45500</v>
      </c>
      <c r="F686" s="14" t="s">
        <v>14</v>
      </c>
      <c r="G686">
        <v>493</v>
      </c>
      <c r="H686">
        <v>122.13</v>
      </c>
      <c r="I686">
        <v>121.25</v>
      </c>
      <c r="J686">
        <v>1</v>
      </c>
      <c r="K686" s="14" t="s">
        <v>15</v>
      </c>
      <c r="L686" s="14">
        <f>IF(OR(Table1[[#This Row],[Order_Status]]="Delivered",Table1[[#This Row],[Delivery_Date]]&lt;&gt;"Not Yet Delivered"),Table1[[#This Row],[Delivery_Date]]-Table1[[#This Row],[Order_Date]],"Not Applicable")</f>
        <v>20</v>
      </c>
      <c r="M686" s="14">
        <f>Table1[[#This Row],[Unit_Cost]]-Table1[[#This Row],[Negotiated_Cost]]</f>
        <v>0.87999999999999545</v>
      </c>
      <c r="N686" s="18">
        <f>Table1[[#This Row],[Defective_Units]]/Table1[[#This Row],[Quantity]]</f>
        <v>2.0283975659229209E-3</v>
      </c>
      <c r="O686" s="26">
        <f>(Table1[[#This Row],[Unit_Cost]]-Table1[[#This Row],[Negotiated_Cost]])/Table1[[#This Row],[Unit_Cost]]</f>
        <v>7.2054368296077583E-3</v>
      </c>
    </row>
    <row r="687" spans="1:15" x14ac:dyDescent="0.25">
      <c r="A687" t="s">
        <v>722</v>
      </c>
      <c r="B687" t="s">
        <v>46</v>
      </c>
      <c r="C687" s="14" t="s">
        <v>44</v>
      </c>
      <c r="D687" s="1">
        <v>45121</v>
      </c>
      <c r="E687" s="13">
        <v>45143</v>
      </c>
      <c r="F687" s="14" t="s">
        <v>14</v>
      </c>
      <c r="G687">
        <v>338</v>
      </c>
      <c r="H687">
        <v>8659.39</v>
      </c>
      <c r="I687">
        <v>8156.2</v>
      </c>
      <c r="J687">
        <v>2</v>
      </c>
      <c r="K687" s="14" t="s">
        <v>15</v>
      </c>
      <c r="L687" s="14">
        <f>IF(OR(Table1[[#This Row],[Order_Status]]="Delivered",Table1[[#This Row],[Delivery_Date]]&lt;&gt;"Not Yet Delivered"),Table1[[#This Row],[Delivery_Date]]-Table1[[#This Row],[Order_Date]],"Not Applicable")</f>
        <v>22</v>
      </c>
      <c r="M687" s="14">
        <f>Table1[[#This Row],[Unit_Cost]]-Table1[[#This Row],[Negotiated_Cost]]</f>
        <v>503.1899999999996</v>
      </c>
      <c r="N687" s="18">
        <f>Table1[[#This Row],[Defective_Units]]/Table1[[#This Row],[Quantity]]</f>
        <v>5.9171597633136093E-3</v>
      </c>
      <c r="O687" s="26">
        <f>(Table1[[#This Row],[Unit_Cost]]-Table1[[#This Row],[Negotiated_Cost]])/Table1[[#This Row],[Unit_Cost]]</f>
        <v>5.8109173971838624E-2</v>
      </c>
    </row>
    <row r="688" spans="1:15" x14ac:dyDescent="0.25">
      <c r="A688" t="s">
        <v>723</v>
      </c>
      <c r="B688" t="s">
        <v>20</v>
      </c>
      <c r="C688" s="14" t="s">
        <v>48</v>
      </c>
      <c r="D688" s="1">
        <v>45331</v>
      </c>
      <c r="E688" s="13">
        <v>45344</v>
      </c>
      <c r="F688" s="14" t="s">
        <v>14</v>
      </c>
      <c r="G688">
        <v>287</v>
      </c>
      <c r="H688">
        <v>6574.83</v>
      </c>
      <c r="I688">
        <v>6340.69</v>
      </c>
      <c r="J688">
        <v>8</v>
      </c>
      <c r="K688" s="14" t="s">
        <v>15</v>
      </c>
      <c r="L688" s="14">
        <f>IF(OR(Table1[[#This Row],[Order_Status]]="Delivered",Table1[[#This Row],[Delivery_Date]]&lt;&gt;"Not Yet Delivered"),Table1[[#This Row],[Delivery_Date]]-Table1[[#This Row],[Order_Date]],"Not Applicable")</f>
        <v>13</v>
      </c>
      <c r="M688" s="14">
        <f>Table1[[#This Row],[Unit_Cost]]-Table1[[#This Row],[Negotiated_Cost]]</f>
        <v>234.14000000000033</v>
      </c>
      <c r="N688" s="18">
        <f>Table1[[#This Row],[Defective_Units]]/Table1[[#This Row],[Quantity]]</f>
        <v>2.7874564459930314E-2</v>
      </c>
      <c r="O688" s="26">
        <f>(Table1[[#This Row],[Unit_Cost]]-Table1[[#This Row],[Negotiated_Cost]])/Table1[[#This Row],[Unit_Cost]]</f>
        <v>3.5611567143180936E-2</v>
      </c>
    </row>
    <row r="689" spans="1:15" x14ac:dyDescent="0.25">
      <c r="A689" t="s">
        <v>724</v>
      </c>
      <c r="B689" t="s">
        <v>17</v>
      </c>
      <c r="C689" s="14" t="s">
        <v>30</v>
      </c>
      <c r="D689" s="1">
        <v>45002</v>
      </c>
      <c r="E689" s="14" t="s">
        <v>2057</v>
      </c>
      <c r="F689" s="14" t="s">
        <v>22</v>
      </c>
      <c r="G689">
        <v>235</v>
      </c>
      <c r="H689">
        <v>875.57</v>
      </c>
      <c r="I689">
        <v>833.59</v>
      </c>
      <c r="J689">
        <v>2</v>
      </c>
      <c r="K689" s="14" t="s">
        <v>15</v>
      </c>
      <c r="L689" s="14" t="str">
        <f>IF(OR(Table1[[#This Row],[Order_Status]]="Delivered",Table1[[#This Row],[Delivery_Date]]&lt;&gt;"Not Yet Delivered"),Table1[[#This Row],[Delivery_Date]]-Table1[[#This Row],[Order_Date]],"Not Applicable")</f>
        <v>Not Applicable</v>
      </c>
      <c r="M689" s="14">
        <f>Table1[[#This Row],[Unit_Cost]]-Table1[[#This Row],[Negotiated_Cost]]</f>
        <v>41.980000000000018</v>
      </c>
      <c r="N689" s="18">
        <f>Table1[[#This Row],[Defective_Units]]/Table1[[#This Row],[Quantity]]</f>
        <v>8.5106382978723406E-3</v>
      </c>
      <c r="O689" s="26">
        <f>(Table1[[#This Row],[Unit_Cost]]-Table1[[#This Row],[Negotiated_Cost]])/Table1[[#This Row],[Unit_Cost]]</f>
        <v>4.7945909521797246E-2</v>
      </c>
    </row>
    <row r="690" spans="1:15" x14ac:dyDescent="0.25">
      <c r="A690" t="s">
        <v>725</v>
      </c>
      <c r="B690" t="s">
        <v>17</v>
      </c>
      <c r="C690" s="14" t="s">
        <v>36</v>
      </c>
      <c r="D690" s="1">
        <v>44995</v>
      </c>
      <c r="E690" s="13">
        <v>44997</v>
      </c>
      <c r="F690" s="14" t="s">
        <v>14</v>
      </c>
      <c r="G690">
        <v>103</v>
      </c>
      <c r="H690">
        <v>521.17999999999995</v>
      </c>
      <c r="I690">
        <v>501.7</v>
      </c>
      <c r="J690">
        <v>3</v>
      </c>
      <c r="K690" s="14" t="s">
        <v>15</v>
      </c>
      <c r="L690" s="14">
        <f>IF(OR(Table1[[#This Row],[Order_Status]]="Delivered",Table1[[#This Row],[Delivery_Date]]&lt;&gt;"Not Yet Delivered"),Table1[[#This Row],[Delivery_Date]]-Table1[[#This Row],[Order_Date]],"Not Applicable")</f>
        <v>2</v>
      </c>
      <c r="M690" s="14">
        <f>Table1[[#This Row],[Unit_Cost]]-Table1[[#This Row],[Negotiated_Cost]]</f>
        <v>19.479999999999961</v>
      </c>
      <c r="N690" s="18">
        <f>Table1[[#This Row],[Defective_Units]]/Table1[[#This Row],[Quantity]]</f>
        <v>2.9126213592233011E-2</v>
      </c>
      <c r="O690" s="26">
        <f>(Table1[[#This Row],[Unit_Cost]]-Table1[[#This Row],[Negotiated_Cost]])/Table1[[#This Row],[Unit_Cost]]</f>
        <v>3.7376722053800916E-2</v>
      </c>
    </row>
    <row r="691" spans="1:15" x14ac:dyDescent="0.25">
      <c r="A691" t="s">
        <v>726</v>
      </c>
      <c r="B691" t="s">
        <v>40</v>
      </c>
      <c r="C691" s="14" t="s">
        <v>42</v>
      </c>
      <c r="D691" s="1">
        <v>45303</v>
      </c>
      <c r="E691" s="13">
        <v>45306</v>
      </c>
      <c r="F691" s="14" t="s">
        <v>14</v>
      </c>
      <c r="G691">
        <v>134</v>
      </c>
      <c r="H691">
        <v>13273.16</v>
      </c>
      <c r="I691">
        <v>12488.22</v>
      </c>
      <c r="J691">
        <v>0</v>
      </c>
      <c r="K691" s="14" t="s">
        <v>15</v>
      </c>
      <c r="L691" s="14">
        <f>IF(OR(Table1[[#This Row],[Order_Status]]="Delivered",Table1[[#This Row],[Delivery_Date]]&lt;&gt;"Not Yet Delivered"),Table1[[#This Row],[Delivery_Date]]-Table1[[#This Row],[Order_Date]],"Not Applicable")</f>
        <v>3</v>
      </c>
      <c r="M691" s="14">
        <f>Table1[[#This Row],[Unit_Cost]]-Table1[[#This Row],[Negotiated_Cost]]</f>
        <v>784.94000000000051</v>
      </c>
      <c r="N691" s="18">
        <f>Table1[[#This Row],[Defective_Units]]/Table1[[#This Row],[Quantity]]</f>
        <v>0</v>
      </c>
      <c r="O691" s="26">
        <f>(Table1[[#This Row],[Unit_Cost]]-Table1[[#This Row],[Negotiated_Cost]])/Table1[[#This Row],[Unit_Cost]]</f>
        <v>5.9137387027655849E-2</v>
      </c>
    </row>
    <row r="692" spans="1:15" x14ac:dyDescent="0.25">
      <c r="A692" t="s">
        <v>727</v>
      </c>
      <c r="B692" t="s">
        <v>40</v>
      </c>
      <c r="C692" s="14" t="s">
        <v>30</v>
      </c>
      <c r="D692" s="1">
        <v>45243</v>
      </c>
      <c r="E692" s="13">
        <v>45269</v>
      </c>
      <c r="F692" s="14" t="s">
        <v>37</v>
      </c>
      <c r="G692">
        <v>42</v>
      </c>
      <c r="H692">
        <v>991.52</v>
      </c>
      <c r="I692">
        <v>939.5</v>
      </c>
      <c r="J692">
        <v>0</v>
      </c>
      <c r="K692" s="14" t="s">
        <v>15</v>
      </c>
      <c r="L692" s="14">
        <f>IF(OR(Table1[[#This Row],[Order_Status]]="Delivered",Table1[[#This Row],[Delivery_Date]]&lt;&gt;"Not Yet Delivered"),Table1[[#This Row],[Delivery_Date]]-Table1[[#This Row],[Order_Date]],"Not Applicable")</f>
        <v>26</v>
      </c>
      <c r="M692" s="14">
        <f>Table1[[#This Row],[Unit_Cost]]-Table1[[#This Row],[Negotiated_Cost]]</f>
        <v>52.019999999999982</v>
      </c>
      <c r="N692" s="18">
        <f>Table1[[#This Row],[Defective_Units]]/Table1[[#This Row],[Quantity]]</f>
        <v>0</v>
      </c>
      <c r="O692" s="26">
        <f>(Table1[[#This Row],[Unit_Cost]]-Table1[[#This Row],[Negotiated_Cost]])/Table1[[#This Row],[Unit_Cost]]</f>
        <v>5.246490237211552E-2</v>
      </c>
    </row>
    <row r="693" spans="1:15" x14ac:dyDescent="0.25">
      <c r="A693" t="s">
        <v>728</v>
      </c>
      <c r="B693" t="s">
        <v>46</v>
      </c>
      <c r="C693" s="14" t="s">
        <v>24</v>
      </c>
      <c r="D693" s="1">
        <v>44939</v>
      </c>
      <c r="E693" s="13">
        <v>44959</v>
      </c>
      <c r="F693" s="14" t="s">
        <v>14</v>
      </c>
      <c r="G693">
        <v>407</v>
      </c>
      <c r="H693">
        <v>12542.98</v>
      </c>
      <c r="I693">
        <v>11908.71</v>
      </c>
      <c r="J693">
        <v>7</v>
      </c>
      <c r="K693" s="14" t="s">
        <v>15</v>
      </c>
      <c r="L693" s="14">
        <f>IF(OR(Table1[[#This Row],[Order_Status]]="Delivered",Table1[[#This Row],[Delivery_Date]]&lt;&gt;"Not Yet Delivered"),Table1[[#This Row],[Delivery_Date]]-Table1[[#This Row],[Order_Date]],"Not Applicable")</f>
        <v>20</v>
      </c>
      <c r="M693" s="14">
        <f>Table1[[#This Row],[Unit_Cost]]-Table1[[#This Row],[Negotiated_Cost]]</f>
        <v>634.27000000000044</v>
      </c>
      <c r="N693" s="18">
        <f>Table1[[#This Row],[Defective_Units]]/Table1[[#This Row],[Quantity]]</f>
        <v>1.7199017199017199E-2</v>
      </c>
      <c r="O693" s="26">
        <f>(Table1[[#This Row],[Unit_Cost]]-Table1[[#This Row],[Negotiated_Cost]])/Table1[[#This Row],[Unit_Cost]]</f>
        <v>5.0567727924305104E-2</v>
      </c>
    </row>
    <row r="694" spans="1:15" x14ac:dyDescent="0.25">
      <c r="A694" t="s">
        <v>729</v>
      </c>
      <c r="B694" t="s">
        <v>40</v>
      </c>
      <c r="C694" s="14" t="s">
        <v>48</v>
      </c>
      <c r="D694" s="1">
        <v>45313</v>
      </c>
      <c r="E694" s="13">
        <v>45338</v>
      </c>
      <c r="F694" s="14" t="s">
        <v>37</v>
      </c>
      <c r="G694">
        <v>384</v>
      </c>
      <c r="H694">
        <v>7423.47</v>
      </c>
      <c r="I694">
        <v>7201.6</v>
      </c>
      <c r="J694">
        <v>7</v>
      </c>
      <c r="K694" s="14" t="s">
        <v>15</v>
      </c>
      <c r="L694" s="14">
        <f>IF(OR(Table1[[#This Row],[Order_Status]]="Delivered",Table1[[#This Row],[Delivery_Date]]&lt;&gt;"Not Yet Delivered"),Table1[[#This Row],[Delivery_Date]]-Table1[[#This Row],[Order_Date]],"Not Applicable")</f>
        <v>25</v>
      </c>
      <c r="M694" s="14">
        <f>Table1[[#This Row],[Unit_Cost]]-Table1[[#This Row],[Negotiated_Cost]]</f>
        <v>221.86999999999989</v>
      </c>
      <c r="N694" s="18">
        <f>Table1[[#This Row],[Defective_Units]]/Table1[[#This Row],[Quantity]]</f>
        <v>1.8229166666666668E-2</v>
      </c>
      <c r="O694" s="26">
        <f>(Table1[[#This Row],[Unit_Cost]]-Table1[[#This Row],[Negotiated_Cost]])/Table1[[#This Row],[Unit_Cost]]</f>
        <v>2.9887640146723821E-2</v>
      </c>
    </row>
    <row r="695" spans="1:15" x14ac:dyDescent="0.25">
      <c r="A695" t="s">
        <v>730</v>
      </c>
      <c r="B695" t="s">
        <v>12</v>
      </c>
      <c r="C695" s="14" t="s">
        <v>28</v>
      </c>
      <c r="D695" s="1">
        <v>45258</v>
      </c>
      <c r="E695" s="14" t="s">
        <v>2057</v>
      </c>
      <c r="F695" s="14" t="s">
        <v>33</v>
      </c>
      <c r="G695">
        <v>209</v>
      </c>
      <c r="H695">
        <v>52536.67</v>
      </c>
      <c r="I695">
        <v>52083.24</v>
      </c>
      <c r="J695">
        <v>2</v>
      </c>
      <c r="K695" s="14" t="s">
        <v>15</v>
      </c>
      <c r="L695" s="14" t="str">
        <f>IF(OR(Table1[[#This Row],[Order_Status]]="Delivered",Table1[[#This Row],[Delivery_Date]]&lt;&gt;"Not Yet Delivered"),Table1[[#This Row],[Delivery_Date]]-Table1[[#This Row],[Order_Date]],"Not Applicable")</f>
        <v>Not Applicable</v>
      </c>
      <c r="M695" s="14">
        <f>Table1[[#This Row],[Unit_Cost]]-Table1[[#This Row],[Negotiated_Cost]]</f>
        <v>453.43000000000029</v>
      </c>
      <c r="N695" s="18">
        <f>Table1[[#This Row],[Defective_Units]]/Table1[[#This Row],[Quantity]]</f>
        <v>9.5693779904306216E-3</v>
      </c>
      <c r="O695" s="26">
        <f>(Table1[[#This Row],[Unit_Cost]]-Table1[[#This Row],[Negotiated_Cost]])/Table1[[#This Row],[Unit_Cost]]</f>
        <v>8.6307335428758673E-3</v>
      </c>
    </row>
    <row r="696" spans="1:15" x14ac:dyDescent="0.25">
      <c r="A696" t="s">
        <v>731</v>
      </c>
      <c r="B696" t="s">
        <v>20</v>
      </c>
      <c r="C696" s="14" t="s">
        <v>21</v>
      </c>
      <c r="D696" s="1">
        <v>45424</v>
      </c>
      <c r="E696" s="14" t="s">
        <v>2057</v>
      </c>
      <c r="F696" s="14" t="s">
        <v>33</v>
      </c>
      <c r="G696">
        <v>475</v>
      </c>
      <c r="H696">
        <v>109.69</v>
      </c>
      <c r="I696">
        <v>107.21</v>
      </c>
      <c r="J696">
        <v>2</v>
      </c>
      <c r="K696" s="14" t="s">
        <v>15</v>
      </c>
      <c r="L696" s="14" t="str">
        <f>IF(OR(Table1[[#This Row],[Order_Status]]="Delivered",Table1[[#This Row],[Delivery_Date]]&lt;&gt;"Not Yet Delivered"),Table1[[#This Row],[Delivery_Date]]-Table1[[#This Row],[Order_Date]],"Not Applicable")</f>
        <v>Not Applicable</v>
      </c>
      <c r="M696" s="14">
        <f>Table1[[#This Row],[Unit_Cost]]-Table1[[#This Row],[Negotiated_Cost]]</f>
        <v>2.480000000000004</v>
      </c>
      <c r="N696" s="18">
        <f>Table1[[#This Row],[Defective_Units]]/Table1[[#This Row],[Quantity]]</f>
        <v>4.2105263157894736E-3</v>
      </c>
      <c r="O696" s="26">
        <f>(Table1[[#This Row],[Unit_Cost]]-Table1[[#This Row],[Negotiated_Cost]])/Table1[[#This Row],[Unit_Cost]]</f>
        <v>2.2609171300939045E-2</v>
      </c>
    </row>
    <row r="697" spans="1:15" x14ac:dyDescent="0.25">
      <c r="A697" t="s">
        <v>732</v>
      </c>
      <c r="B697" t="s">
        <v>40</v>
      </c>
      <c r="C697" s="14" t="s">
        <v>50</v>
      </c>
      <c r="D697" s="1">
        <v>45251</v>
      </c>
      <c r="E697" s="13">
        <v>45270</v>
      </c>
      <c r="F697" s="14" t="s">
        <v>14</v>
      </c>
      <c r="G697">
        <v>218</v>
      </c>
      <c r="H697">
        <v>54947.33</v>
      </c>
      <c r="I697">
        <v>54166.47</v>
      </c>
      <c r="J697">
        <v>4</v>
      </c>
      <c r="K697" s="14" t="s">
        <v>15</v>
      </c>
      <c r="L697" s="14">
        <f>IF(OR(Table1[[#This Row],[Order_Status]]="Delivered",Table1[[#This Row],[Delivery_Date]]&lt;&gt;"Not Yet Delivered"),Table1[[#This Row],[Delivery_Date]]-Table1[[#This Row],[Order_Date]],"Not Applicable")</f>
        <v>19</v>
      </c>
      <c r="M697" s="14">
        <f>Table1[[#This Row],[Unit_Cost]]-Table1[[#This Row],[Negotiated_Cost]]</f>
        <v>780.86000000000058</v>
      </c>
      <c r="N697" s="18">
        <f>Table1[[#This Row],[Defective_Units]]/Table1[[#This Row],[Quantity]]</f>
        <v>1.834862385321101E-2</v>
      </c>
      <c r="O697" s="26">
        <f>(Table1[[#This Row],[Unit_Cost]]-Table1[[#This Row],[Negotiated_Cost]])/Table1[[#This Row],[Unit_Cost]]</f>
        <v>1.4211063576701554E-2</v>
      </c>
    </row>
    <row r="698" spans="1:15" x14ac:dyDescent="0.25">
      <c r="A698" t="s">
        <v>733</v>
      </c>
      <c r="B698" t="s">
        <v>35</v>
      </c>
      <c r="C698" s="14" t="s">
        <v>24</v>
      </c>
      <c r="D698" s="1">
        <v>45400</v>
      </c>
      <c r="E698" s="13">
        <v>45416</v>
      </c>
      <c r="F698" s="14" t="s">
        <v>14</v>
      </c>
      <c r="G698">
        <v>470</v>
      </c>
      <c r="H698">
        <v>12429.9</v>
      </c>
      <c r="I698">
        <v>12320.4</v>
      </c>
      <c r="J698">
        <v>12</v>
      </c>
      <c r="K698" s="14" t="s">
        <v>15</v>
      </c>
      <c r="L698" s="14">
        <f>IF(OR(Table1[[#This Row],[Order_Status]]="Delivered",Table1[[#This Row],[Delivery_Date]]&lt;&gt;"Not Yet Delivered"),Table1[[#This Row],[Delivery_Date]]-Table1[[#This Row],[Order_Date]],"Not Applicable")</f>
        <v>16</v>
      </c>
      <c r="M698" s="14">
        <f>Table1[[#This Row],[Unit_Cost]]-Table1[[#This Row],[Negotiated_Cost]]</f>
        <v>109.5</v>
      </c>
      <c r="N698" s="18">
        <f>Table1[[#This Row],[Defective_Units]]/Table1[[#This Row],[Quantity]]</f>
        <v>2.553191489361702E-2</v>
      </c>
      <c r="O698" s="26">
        <f>(Table1[[#This Row],[Unit_Cost]]-Table1[[#This Row],[Negotiated_Cost]])/Table1[[#This Row],[Unit_Cost]]</f>
        <v>8.8094031327685656E-3</v>
      </c>
    </row>
    <row r="699" spans="1:15" x14ac:dyDescent="0.25">
      <c r="A699" t="s">
        <v>734</v>
      </c>
      <c r="B699" t="s">
        <v>27</v>
      </c>
      <c r="C699" s="14" t="s">
        <v>50</v>
      </c>
      <c r="D699" s="1">
        <v>45324</v>
      </c>
      <c r="E699" s="13">
        <v>45332</v>
      </c>
      <c r="F699" s="14" t="s">
        <v>14</v>
      </c>
      <c r="G699">
        <v>97</v>
      </c>
      <c r="H699">
        <v>52366.54</v>
      </c>
      <c r="I699">
        <v>51889.599999999999</v>
      </c>
      <c r="J699">
        <v>1</v>
      </c>
      <c r="K699" s="14" t="s">
        <v>15</v>
      </c>
      <c r="L699" s="14">
        <f>IF(OR(Table1[[#This Row],[Order_Status]]="Delivered",Table1[[#This Row],[Delivery_Date]]&lt;&gt;"Not Yet Delivered"),Table1[[#This Row],[Delivery_Date]]-Table1[[#This Row],[Order_Date]],"Not Applicable")</f>
        <v>8</v>
      </c>
      <c r="M699" s="14">
        <f>Table1[[#This Row],[Unit_Cost]]-Table1[[#This Row],[Negotiated_Cost]]</f>
        <v>476.94000000000233</v>
      </c>
      <c r="N699" s="18">
        <f>Table1[[#This Row],[Defective_Units]]/Table1[[#This Row],[Quantity]]</f>
        <v>1.0309278350515464E-2</v>
      </c>
      <c r="O699" s="26">
        <f>(Table1[[#This Row],[Unit_Cost]]-Table1[[#This Row],[Negotiated_Cost]])/Table1[[#This Row],[Unit_Cost]]</f>
        <v>9.1077241307140466E-3</v>
      </c>
    </row>
    <row r="700" spans="1:15" x14ac:dyDescent="0.25">
      <c r="A700" t="s">
        <v>735</v>
      </c>
      <c r="B700" t="s">
        <v>27</v>
      </c>
      <c r="C700" s="14" t="s">
        <v>18</v>
      </c>
      <c r="D700" s="1">
        <v>44999</v>
      </c>
      <c r="E700" s="13">
        <v>45019</v>
      </c>
      <c r="F700" s="14" t="s">
        <v>14</v>
      </c>
      <c r="G700">
        <v>421</v>
      </c>
      <c r="H700">
        <v>5580.58</v>
      </c>
      <c r="I700">
        <v>5488.86</v>
      </c>
      <c r="J700">
        <v>7</v>
      </c>
      <c r="K700" s="14" t="s">
        <v>15</v>
      </c>
      <c r="L700" s="14">
        <f>IF(OR(Table1[[#This Row],[Order_Status]]="Delivered",Table1[[#This Row],[Delivery_Date]]&lt;&gt;"Not Yet Delivered"),Table1[[#This Row],[Delivery_Date]]-Table1[[#This Row],[Order_Date]],"Not Applicable")</f>
        <v>20</v>
      </c>
      <c r="M700" s="14">
        <f>Table1[[#This Row],[Unit_Cost]]-Table1[[#This Row],[Negotiated_Cost]]</f>
        <v>91.720000000000255</v>
      </c>
      <c r="N700" s="18">
        <f>Table1[[#This Row],[Defective_Units]]/Table1[[#This Row],[Quantity]]</f>
        <v>1.66270783847981E-2</v>
      </c>
      <c r="O700" s="26">
        <f>(Table1[[#This Row],[Unit_Cost]]-Table1[[#This Row],[Negotiated_Cost]])/Table1[[#This Row],[Unit_Cost]]</f>
        <v>1.6435567629171206E-2</v>
      </c>
    </row>
    <row r="701" spans="1:15" x14ac:dyDescent="0.25">
      <c r="A701" t="s">
        <v>736</v>
      </c>
      <c r="B701" t="s">
        <v>27</v>
      </c>
      <c r="C701" s="14" t="s">
        <v>30</v>
      </c>
      <c r="D701" s="1">
        <v>45128</v>
      </c>
      <c r="E701" s="13">
        <v>45155</v>
      </c>
      <c r="F701" s="14" t="s">
        <v>14</v>
      </c>
      <c r="G701">
        <v>348</v>
      </c>
      <c r="H701">
        <v>967.49</v>
      </c>
      <c r="I701">
        <v>927.15</v>
      </c>
      <c r="J701">
        <v>2</v>
      </c>
      <c r="K701" s="14" t="s">
        <v>15</v>
      </c>
      <c r="L701" s="14">
        <f>IF(OR(Table1[[#This Row],[Order_Status]]="Delivered",Table1[[#This Row],[Delivery_Date]]&lt;&gt;"Not Yet Delivered"),Table1[[#This Row],[Delivery_Date]]-Table1[[#This Row],[Order_Date]],"Not Applicable")</f>
        <v>27</v>
      </c>
      <c r="M701" s="14">
        <f>Table1[[#This Row],[Unit_Cost]]-Table1[[#This Row],[Negotiated_Cost]]</f>
        <v>40.340000000000032</v>
      </c>
      <c r="N701" s="18">
        <f>Table1[[#This Row],[Defective_Units]]/Table1[[#This Row],[Quantity]]</f>
        <v>5.7471264367816091E-3</v>
      </c>
      <c r="O701" s="26">
        <f>(Table1[[#This Row],[Unit_Cost]]-Table1[[#This Row],[Negotiated_Cost]])/Table1[[#This Row],[Unit_Cost]]</f>
        <v>4.1695521400738025E-2</v>
      </c>
    </row>
    <row r="702" spans="1:15" x14ac:dyDescent="0.25">
      <c r="A702" t="s">
        <v>737</v>
      </c>
      <c r="B702" t="s">
        <v>27</v>
      </c>
      <c r="C702" s="14" t="s">
        <v>24</v>
      </c>
      <c r="D702" s="1">
        <v>44942</v>
      </c>
      <c r="E702" s="14" t="s">
        <v>2057</v>
      </c>
      <c r="F702" s="14" t="s">
        <v>22</v>
      </c>
      <c r="G702">
        <v>428</v>
      </c>
      <c r="H702">
        <v>12110.48</v>
      </c>
      <c r="I702">
        <v>11600.74</v>
      </c>
      <c r="J702">
        <v>2</v>
      </c>
      <c r="K702" s="14" t="s">
        <v>15</v>
      </c>
      <c r="L702" s="14" t="str">
        <f>IF(OR(Table1[[#This Row],[Order_Status]]="Delivered",Table1[[#This Row],[Delivery_Date]]&lt;&gt;"Not Yet Delivered"),Table1[[#This Row],[Delivery_Date]]-Table1[[#This Row],[Order_Date]],"Not Applicable")</f>
        <v>Not Applicable</v>
      </c>
      <c r="M702" s="14">
        <f>Table1[[#This Row],[Unit_Cost]]-Table1[[#This Row],[Negotiated_Cost]]</f>
        <v>509.73999999999978</v>
      </c>
      <c r="N702" s="18">
        <f>Table1[[#This Row],[Defective_Units]]/Table1[[#This Row],[Quantity]]</f>
        <v>4.6728971962616819E-3</v>
      </c>
      <c r="O702" s="26">
        <f>(Table1[[#This Row],[Unit_Cost]]-Table1[[#This Row],[Negotiated_Cost]])/Table1[[#This Row],[Unit_Cost]]</f>
        <v>4.2090817209557325E-2</v>
      </c>
    </row>
    <row r="703" spans="1:15" x14ac:dyDescent="0.25">
      <c r="A703" t="s">
        <v>738</v>
      </c>
      <c r="B703" t="s">
        <v>35</v>
      </c>
      <c r="C703" s="14" t="s">
        <v>50</v>
      </c>
      <c r="D703" s="1">
        <v>45060</v>
      </c>
      <c r="E703" s="13">
        <v>45070</v>
      </c>
      <c r="F703" s="14" t="s">
        <v>14</v>
      </c>
      <c r="G703">
        <v>476</v>
      </c>
      <c r="H703">
        <v>50601.919999999998</v>
      </c>
      <c r="I703">
        <v>49785.24</v>
      </c>
      <c r="J703">
        <v>0</v>
      </c>
      <c r="K703" s="14" t="s">
        <v>15</v>
      </c>
      <c r="L703" s="14">
        <f>IF(OR(Table1[[#This Row],[Order_Status]]="Delivered",Table1[[#This Row],[Delivery_Date]]&lt;&gt;"Not Yet Delivered"),Table1[[#This Row],[Delivery_Date]]-Table1[[#This Row],[Order_Date]],"Not Applicable")</f>
        <v>10</v>
      </c>
      <c r="M703" s="14">
        <f>Table1[[#This Row],[Unit_Cost]]-Table1[[#This Row],[Negotiated_Cost]]</f>
        <v>816.68000000000029</v>
      </c>
      <c r="N703" s="18">
        <f>Table1[[#This Row],[Defective_Units]]/Table1[[#This Row],[Quantity]]</f>
        <v>0</v>
      </c>
      <c r="O703" s="26">
        <f>(Table1[[#This Row],[Unit_Cost]]-Table1[[#This Row],[Negotiated_Cost]])/Table1[[#This Row],[Unit_Cost]]</f>
        <v>1.6139308547976051E-2</v>
      </c>
    </row>
    <row r="704" spans="1:15" x14ac:dyDescent="0.25">
      <c r="A704" t="s">
        <v>739</v>
      </c>
      <c r="B704" t="s">
        <v>40</v>
      </c>
      <c r="C704" s="14" t="s">
        <v>50</v>
      </c>
      <c r="D704" s="1">
        <v>45027</v>
      </c>
      <c r="E704" s="14" t="s">
        <v>2057</v>
      </c>
      <c r="F704" s="14" t="s">
        <v>33</v>
      </c>
      <c r="G704">
        <v>202</v>
      </c>
      <c r="H704">
        <v>58970.76</v>
      </c>
      <c r="I704">
        <v>57496.82</v>
      </c>
      <c r="J704">
        <v>2</v>
      </c>
      <c r="K704" s="14" t="s">
        <v>15</v>
      </c>
      <c r="L704" s="14" t="str">
        <f>IF(OR(Table1[[#This Row],[Order_Status]]="Delivered",Table1[[#This Row],[Delivery_Date]]&lt;&gt;"Not Yet Delivered"),Table1[[#This Row],[Delivery_Date]]-Table1[[#This Row],[Order_Date]],"Not Applicable")</f>
        <v>Not Applicable</v>
      </c>
      <c r="M704" s="14">
        <f>Table1[[#This Row],[Unit_Cost]]-Table1[[#This Row],[Negotiated_Cost]]</f>
        <v>1473.9400000000023</v>
      </c>
      <c r="N704" s="18">
        <f>Table1[[#This Row],[Defective_Units]]/Table1[[#This Row],[Quantity]]</f>
        <v>9.9009900990099011E-3</v>
      </c>
      <c r="O704" s="26">
        <f>(Table1[[#This Row],[Unit_Cost]]-Table1[[#This Row],[Negotiated_Cost]])/Table1[[#This Row],[Unit_Cost]]</f>
        <v>2.4994420963881121E-2</v>
      </c>
    </row>
    <row r="705" spans="1:15" x14ac:dyDescent="0.25">
      <c r="A705" t="s">
        <v>740</v>
      </c>
      <c r="B705" t="s">
        <v>40</v>
      </c>
      <c r="C705" s="14" t="s">
        <v>55</v>
      </c>
      <c r="D705" s="1">
        <v>45560</v>
      </c>
      <c r="E705" s="13">
        <v>45571</v>
      </c>
      <c r="F705" s="14" t="s">
        <v>14</v>
      </c>
      <c r="G705">
        <v>35</v>
      </c>
      <c r="H705">
        <v>15320.29</v>
      </c>
      <c r="I705">
        <v>15233.8</v>
      </c>
      <c r="J705">
        <v>0</v>
      </c>
      <c r="K705" s="14" t="s">
        <v>15</v>
      </c>
      <c r="L705" s="14">
        <f>IF(OR(Table1[[#This Row],[Order_Status]]="Delivered",Table1[[#This Row],[Delivery_Date]]&lt;&gt;"Not Yet Delivered"),Table1[[#This Row],[Delivery_Date]]-Table1[[#This Row],[Order_Date]],"Not Applicable")</f>
        <v>11</v>
      </c>
      <c r="M705" s="14">
        <f>Table1[[#This Row],[Unit_Cost]]-Table1[[#This Row],[Negotiated_Cost]]</f>
        <v>86.490000000001601</v>
      </c>
      <c r="N705" s="18">
        <f>Table1[[#This Row],[Defective_Units]]/Table1[[#This Row],[Quantity]]</f>
        <v>0</v>
      </c>
      <c r="O705" s="26">
        <f>(Table1[[#This Row],[Unit_Cost]]-Table1[[#This Row],[Negotiated_Cost]])/Table1[[#This Row],[Unit_Cost]]</f>
        <v>5.6454544920495368E-3</v>
      </c>
    </row>
    <row r="706" spans="1:15" x14ac:dyDescent="0.25">
      <c r="A706" t="s">
        <v>741</v>
      </c>
      <c r="B706" t="s">
        <v>46</v>
      </c>
      <c r="C706" s="14" t="s">
        <v>18</v>
      </c>
      <c r="D706" s="1">
        <v>45629</v>
      </c>
      <c r="E706" s="13">
        <v>45648</v>
      </c>
      <c r="F706" s="14" t="s">
        <v>14</v>
      </c>
      <c r="G706">
        <v>351</v>
      </c>
      <c r="H706">
        <v>5071.5600000000004</v>
      </c>
      <c r="I706">
        <v>5048.22</v>
      </c>
      <c r="J706">
        <v>6</v>
      </c>
      <c r="K706" s="14" t="s">
        <v>15</v>
      </c>
      <c r="L706" s="14">
        <f>IF(OR(Table1[[#This Row],[Order_Status]]="Delivered",Table1[[#This Row],[Delivery_Date]]&lt;&gt;"Not Yet Delivered"),Table1[[#This Row],[Delivery_Date]]-Table1[[#This Row],[Order_Date]],"Not Applicable")</f>
        <v>19</v>
      </c>
      <c r="M706" s="14">
        <f>Table1[[#This Row],[Unit_Cost]]-Table1[[#This Row],[Negotiated_Cost]]</f>
        <v>23.340000000000146</v>
      </c>
      <c r="N706" s="18">
        <f>Table1[[#This Row],[Defective_Units]]/Table1[[#This Row],[Quantity]]</f>
        <v>1.7094017094017096E-2</v>
      </c>
      <c r="O706" s="26">
        <f>(Table1[[#This Row],[Unit_Cost]]-Table1[[#This Row],[Negotiated_Cost]])/Table1[[#This Row],[Unit_Cost]]</f>
        <v>4.6021342545489244E-3</v>
      </c>
    </row>
    <row r="707" spans="1:15" x14ac:dyDescent="0.25">
      <c r="A707" t="s">
        <v>742</v>
      </c>
      <c r="B707" t="s">
        <v>12</v>
      </c>
      <c r="C707" s="14" t="s">
        <v>18</v>
      </c>
      <c r="D707" s="1">
        <v>45108</v>
      </c>
      <c r="E707" s="13">
        <v>45137</v>
      </c>
      <c r="F707" s="14" t="s">
        <v>14</v>
      </c>
      <c r="G707">
        <v>366</v>
      </c>
      <c r="H707">
        <v>5478.39</v>
      </c>
      <c r="I707">
        <v>5216.1099999999997</v>
      </c>
      <c r="J707">
        <v>10</v>
      </c>
      <c r="K707" s="14" t="s">
        <v>15</v>
      </c>
      <c r="L707" s="14">
        <f>IF(OR(Table1[[#This Row],[Order_Status]]="Delivered",Table1[[#This Row],[Delivery_Date]]&lt;&gt;"Not Yet Delivered"),Table1[[#This Row],[Delivery_Date]]-Table1[[#This Row],[Order_Date]],"Not Applicable")</f>
        <v>29</v>
      </c>
      <c r="M707" s="14">
        <f>Table1[[#This Row],[Unit_Cost]]-Table1[[#This Row],[Negotiated_Cost]]</f>
        <v>262.28000000000065</v>
      </c>
      <c r="N707" s="18">
        <f>Table1[[#This Row],[Defective_Units]]/Table1[[#This Row],[Quantity]]</f>
        <v>2.7322404371584699E-2</v>
      </c>
      <c r="O707" s="26">
        <f>(Table1[[#This Row],[Unit_Cost]]-Table1[[#This Row],[Negotiated_Cost]])/Table1[[#This Row],[Unit_Cost]]</f>
        <v>4.7875379445421126E-2</v>
      </c>
    </row>
    <row r="708" spans="1:15" x14ac:dyDescent="0.25">
      <c r="A708" t="s">
        <v>743</v>
      </c>
      <c r="B708" t="s">
        <v>32</v>
      </c>
      <c r="C708" s="14" t="s">
        <v>30</v>
      </c>
      <c r="D708" s="1">
        <v>45525</v>
      </c>
      <c r="E708" s="13">
        <v>45531</v>
      </c>
      <c r="F708" s="14" t="s">
        <v>14</v>
      </c>
      <c r="G708">
        <v>407</v>
      </c>
      <c r="H708">
        <v>793.35</v>
      </c>
      <c r="I708">
        <v>759.3</v>
      </c>
      <c r="J708">
        <v>5</v>
      </c>
      <c r="K708" s="14" t="s">
        <v>15</v>
      </c>
      <c r="L708" s="14">
        <f>IF(OR(Table1[[#This Row],[Order_Status]]="Delivered",Table1[[#This Row],[Delivery_Date]]&lt;&gt;"Not Yet Delivered"),Table1[[#This Row],[Delivery_Date]]-Table1[[#This Row],[Order_Date]],"Not Applicable")</f>
        <v>6</v>
      </c>
      <c r="M708" s="14">
        <f>Table1[[#This Row],[Unit_Cost]]-Table1[[#This Row],[Negotiated_Cost]]</f>
        <v>34.050000000000068</v>
      </c>
      <c r="N708" s="18">
        <f>Table1[[#This Row],[Defective_Units]]/Table1[[#This Row],[Quantity]]</f>
        <v>1.2285012285012284E-2</v>
      </c>
      <c r="O708" s="26">
        <f>(Table1[[#This Row],[Unit_Cost]]-Table1[[#This Row],[Negotiated_Cost]])/Table1[[#This Row],[Unit_Cost]]</f>
        <v>4.291926640196643E-2</v>
      </c>
    </row>
    <row r="709" spans="1:15" x14ac:dyDescent="0.25">
      <c r="A709" t="s">
        <v>744</v>
      </c>
      <c r="B709" t="s">
        <v>40</v>
      </c>
      <c r="C709" s="14" t="s">
        <v>30</v>
      </c>
      <c r="D709" s="1">
        <v>45170</v>
      </c>
      <c r="E709" s="13">
        <v>45198</v>
      </c>
      <c r="F709" s="14" t="s">
        <v>37</v>
      </c>
      <c r="G709">
        <v>392</v>
      </c>
      <c r="H709">
        <v>995.26</v>
      </c>
      <c r="I709">
        <v>942.23</v>
      </c>
      <c r="J709">
        <v>3</v>
      </c>
      <c r="K709" s="14" t="s">
        <v>15</v>
      </c>
      <c r="L709" s="14">
        <f>IF(OR(Table1[[#This Row],[Order_Status]]="Delivered",Table1[[#This Row],[Delivery_Date]]&lt;&gt;"Not Yet Delivered"),Table1[[#This Row],[Delivery_Date]]-Table1[[#This Row],[Order_Date]],"Not Applicable")</f>
        <v>28</v>
      </c>
      <c r="M709" s="14">
        <f>Table1[[#This Row],[Unit_Cost]]-Table1[[#This Row],[Negotiated_Cost]]</f>
        <v>53.029999999999973</v>
      </c>
      <c r="N709" s="18">
        <f>Table1[[#This Row],[Defective_Units]]/Table1[[#This Row],[Quantity]]</f>
        <v>7.6530612244897957E-3</v>
      </c>
      <c r="O709" s="26">
        <f>(Table1[[#This Row],[Unit_Cost]]-Table1[[#This Row],[Negotiated_Cost]])/Table1[[#This Row],[Unit_Cost]]</f>
        <v>5.3282559331230002E-2</v>
      </c>
    </row>
    <row r="710" spans="1:15" x14ac:dyDescent="0.25">
      <c r="A710" t="s">
        <v>745</v>
      </c>
      <c r="B710" t="s">
        <v>46</v>
      </c>
      <c r="C710" s="14" t="s">
        <v>42</v>
      </c>
      <c r="D710" s="1">
        <v>45200</v>
      </c>
      <c r="E710" s="13">
        <v>45211</v>
      </c>
      <c r="F710" s="14" t="s">
        <v>14</v>
      </c>
      <c r="G710">
        <v>443</v>
      </c>
      <c r="H710">
        <v>11302.99</v>
      </c>
      <c r="I710">
        <v>10643.44</v>
      </c>
      <c r="J710">
        <v>9</v>
      </c>
      <c r="K710" s="14" t="s">
        <v>15</v>
      </c>
      <c r="L710" s="14">
        <f>IF(OR(Table1[[#This Row],[Order_Status]]="Delivered",Table1[[#This Row],[Delivery_Date]]&lt;&gt;"Not Yet Delivered"),Table1[[#This Row],[Delivery_Date]]-Table1[[#This Row],[Order_Date]],"Not Applicable")</f>
        <v>11</v>
      </c>
      <c r="M710" s="14">
        <f>Table1[[#This Row],[Unit_Cost]]-Table1[[#This Row],[Negotiated_Cost]]</f>
        <v>659.54999999999927</v>
      </c>
      <c r="N710" s="18">
        <f>Table1[[#This Row],[Defective_Units]]/Table1[[#This Row],[Quantity]]</f>
        <v>2.0316027088036117E-2</v>
      </c>
      <c r="O710" s="26">
        <f>(Table1[[#This Row],[Unit_Cost]]-Table1[[#This Row],[Negotiated_Cost]])/Table1[[#This Row],[Unit_Cost]]</f>
        <v>5.8351816643206732E-2</v>
      </c>
    </row>
    <row r="711" spans="1:15" x14ac:dyDescent="0.25">
      <c r="A711" t="s">
        <v>746</v>
      </c>
      <c r="B711" t="s">
        <v>40</v>
      </c>
      <c r="C711" s="14" t="s">
        <v>36</v>
      </c>
      <c r="D711" s="1">
        <v>45004</v>
      </c>
      <c r="E711" s="13">
        <v>45026</v>
      </c>
      <c r="F711" s="14" t="s">
        <v>37</v>
      </c>
      <c r="G711">
        <v>444</v>
      </c>
      <c r="H711">
        <v>571.71</v>
      </c>
      <c r="I711">
        <v>538.52</v>
      </c>
      <c r="J711">
        <v>10</v>
      </c>
      <c r="K711" s="14" t="s">
        <v>15</v>
      </c>
      <c r="L711" s="14">
        <f>IF(OR(Table1[[#This Row],[Order_Status]]="Delivered",Table1[[#This Row],[Delivery_Date]]&lt;&gt;"Not Yet Delivered"),Table1[[#This Row],[Delivery_Date]]-Table1[[#This Row],[Order_Date]],"Not Applicable")</f>
        <v>22</v>
      </c>
      <c r="M711" s="14">
        <f>Table1[[#This Row],[Unit_Cost]]-Table1[[#This Row],[Negotiated_Cost]]</f>
        <v>33.190000000000055</v>
      </c>
      <c r="N711" s="18">
        <f>Table1[[#This Row],[Defective_Units]]/Table1[[#This Row],[Quantity]]</f>
        <v>2.2522522522522521E-2</v>
      </c>
      <c r="O711" s="26">
        <f>(Table1[[#This Row],[Unit_Cost]]-Table1[[#This Row],[Negotiated_Cost]])/Table1[[#This Row],[Unit_Cost]]</f>
        <v>5.8053908450088426E-2</v>
      </c>
    </row>
    <row r="712" spans="1:15" x14ac:dyDescent="0.25">
      <c r="A712" t="s">
        <v>747</v>
      </c>
      <c r="B712" t="s">
        <v>12</v>
      </c>
      <c r="C712" s="14" t="s">
        <v>30</v>
      </c>
      <c r="D712" s="1">
        <v>45406</v>
      </c>
      <c r="E712" s="13">
        <v>45435</v>
      </c>
      <c r="F712" s="14" t="s">
        <v>14</v>
      </c>
      <c r="G712">
        <v>310</v>
      </c>
      <c r="H712">
        <v>971.07</v>
      </c>
      <c r="I712">
        <v>964.59</v>
      </c>
      <c r="J712">
        <v>7</v>
      </c>
      <c r="K712" s="14" t="s">
        <v>15</v>
      </c>
      <c r="L712" s="14">
        <f>IF(OR(Table1[[#This Row],[Order_Status]]="Delivered",Table1[[#This Row],[Delivery_Date]]&lt;&gt;"Not Yet Delivered"),Table1[[#This Row],[Delivery_Date]]-Table1[[#This Row],[Order_Date]],"Not Applicable")</f>
        <v>29</v>
      </c>
      <c r="M712" s="14">
        <f>Table1[[#This Row],[Unit_Cost]]-Table1[[#This Row],[Negotiated_Cost]]</f>
        <v>6.4800000000000182</v>
      </c>
      <c r="N712" s="18">
        <f>Table1[[#This Row],[Defective_Units]]/Table1[[#This Row],[Quantity]]</f>
        <v>2.2580645161290321E-2</v>
      </c>
      <c r="O712" s="26">
        <f>(Table1[[#This Row],[Unit_Cost]]-Table1[[#This Row],[Negotiated_Cost]])/Table1[[#This Row],[Unit_Cost]]</f>
        <v>6.673051376316865E-3</v>
      </c>
    </row>
    <row r="713" spans="1:15" x14ac:dyDescent="0.25">
      <c r="A713" t="s">
        <v>748</v>
      </c>
      <c r="B713" t="s">
        <v>27</v>
      </c>
      <c r="C713" s="14" t="s">
        <v>44</v>
      </c>
      <c r="D713" s="1">
        <v>45169</v>
      </c>
      <c r="E713" s="14" t="s">
        <v>2057</v>
      </c>
      <c r="F713" s="14" t="s">
        <v>33</v>
      </c>
      <c r="G713">
        <v>245</v>
      </c>
      <c r="H713">
        <v>8206.51</v>
      </c>
      <c r="I713">
        <v>8125.97</v>
      </c>
      <c r="J713">
        <v>2</v>
      </c>
      <c r="K713" s="14" t="s">
        <v>15</v>
      </c>
      <c r="L713" s="14" t="str">
        <f>IF(OR(Table1[[#This Row],[Order_Status]]="Delivered",Table1[[#This Row],[Delivery_Date]]&lt;&gt;"Not Yet Delivered"),Table1[[#This Row],[Delivery_Date]]-Table1[[#This Row],[Order_Date]],"Not Applicable")</f>
        <v>Not Applicable</v>
      </c>
      <c r="M713" s="14">
        <f>Table1[[#This Row],[Unit_Cost]]-Table1[[#This Row],[Negotiated_Cost]]</f>
        <v>80.539999999999964</v>
      </c>
      <c r="N713" s="18">
        <f>Table1[[#This Row],[Defective_Units]]/Table1[[#This Row],[Quantity]]</f>
        <v>8.1632653061224497E-3</v>
      </c>
      <c r="O713" s="26">
        <f>(Table1[[#This Row],[Unit_Cost]]-Table1[[#This Row],[Negotiated_Cost]])/Table1[[#This Row],[Unit_Cost]]</f>
        <v>9.8141597341622634E-3</v>
      </c>
    </row>
    <row r="714" spans="1:15" x14ac:dyDescent="0.25">
      <c r="A714" t="s">
        <v>749</v>
      </c>
      <c r="B714" t="s">
        <v>12</v>
      </c>
      <c r="C714" s="14" t="s">
        <v>21</v>
      </c>
      <c r="D714" s="1">
        <v>44938</v>
      </c>
      <c r="E714" s="13">
        <v>44968</v>
      </c>
      <c r="F714" s="14" t="s">
        <v>14</v>
      </c>
      <c r="G714">
        <v>241</v>
      </c>
      <c r="H714">
        <v>123.45</v>
      </c>
      <c r="I714">
        <v>121.4</v>
      </c>
      <c r="J714">
        <v>3</v>
      </c>
      <c r="K714" s="14" t="s">
        <v>15</v>
      </c>
      <c r="L714" s="14">
        <f>IF(OR(Table1[[#This Row],[Order_Status]]="Delivered",Table1[[#This Row],[Delivery_Date]]&lt;&gt;"Not Yet Delivered"),Table1[[#This Row],[Delivery_Date]]-Table1[[#This Row],[Order_Date]],"Not Applicable")</f>
        <v>30</v>
      </c>
      <c r="M714" s="14">
        <f>Table1[[#This Row],[Unit_Cost]]-Table1[[#This Row],[Negotiated_Cost]]</f>
        <v>2.0499999999999972</v>
      </c>
      <c r="N714" s="18">
        <f>Table1[[#This Row],[Defective_Units]]/Table1[[#This Row],[Quantity]]</f>
        <v>1.2448132780082987E-2</v>
      </c>
      <c r="O714" s="26">
        <f>(Table1[[#This Row],[Unit_Cost]]-Table1[[#This Row],[Negotiated_Cost]])/Table1[[#This Row],[Unit_Cost]]</f>
        <v>1.6605913325232865E-2</v>
      </c>
    </row>
    <row r="715" spans="1:15" x14ac:dyDescent="0.25">
      <c r="A715" t="s">
        <v>750</v>
      </c>
      <c r="B715" t="s">
        <v>35</v>
      </c>
      <c r="C715" s="14" t="s">
        <v>50</v>
      </c>
      <c r="D715" s="1">
        <v>45252</v>
      </c>
      <c r="E715" s="13">
        <v>45277</v>
      </c>
      <c r="F715" s="14" t="s">
        <v>14</v>
      </c>
      <c r="G715">
        <v>375</v>
      </c>
      <c r="H715">
        <v>49440.49</v>
      </c>
      <c r="I715">
        <v>47235.93</v>
      </c>
      <c r="J715">
        <v>7</v>
      </c>
      <c r="K715" s="14" t="s">
        <v>25</v>
      </c>
      <c r="L715" s="14">
        <f>IF(OR(Table1[[#This Row],[Order_Status]]="Delivered",Table1[[#This Row],[Delivery_Date]]&lt;&gt;"Not Yet Delivered"),Table1[[#This Row],[Delivery_Date]]-Table1[[#This Row],[Order_Date]],"Not Applicable")</f>
        <v>25</v>
      </c>
      <c r="M715" s="14">
        <f>Table1[[#This Row],[Unit_Cost]]-Table1[[#This Row],[Negotiated_Cost]]</f>
        <v>2204.5599999999977</v>
      </c>
      <c r="N715" s="18">
        <f>Table1[[#This Row],[Defective_Units]]/Table1[[#This Row],[Quantity]]</f>
        <v>1.8666666666666668E-2</v>
      </c>
      <c r="O715" s="26">
        <f>(Table1[[#This Row],[Unit_Cost]]-Table1[[#This Row],[Negotiated_Cost]])/Table1[[#This Row],[Unit_Cost]]</f>
        <v>4.4590172953382898E-2</v>
      </c>
    </row>
    <row r="716" spans="1:15" x14ac:dyDescent="0.25">
      <c r="A716" t="s">
        <v>751</v>
      </c>
      <c r="B716" t="s">
        <v>32</v>
      </c>
      <c r="C716" s="14" t="s">
        <v>42</v>
      </c>
      <c r="D716" s="1">
        <v>44950</v>
      </c>
      <c r="E716" s="13">
        <v>44962</v>
      </c>
      <c r="F716" s="14" t="s">
        <v>14</v>
      </c>
      <c r="G716">
        <v>325</v>
      </c>
      <c r="H716">
        <v>11597.25</v>
      </c>
      <c r="I716">
        <v>10966.57</v>
      </c>
      <c r="J716">
        <v>4</v>
      </c>
      <c r="K716" s="14" t="s">
        <v>15</v>
      </c>
      <c r="L716" s="14">
        <f>IF(OR(Table1[[#This Row],[Order_Status]]="Delivered",Table1[[#This Row],[Delivery_Date]]&lt;&gt;"Not Yet Delivered"),Table1[[#This Row],[Delivery_Date]]-Table1[[#This Row],[Order_Date]],"Not Applicable")</f>
        <v>12</v>
      </c>
      <c r="M716" s="14">
        <f>Table1[[#This Row],[Unit_Cost]]-Table1[[#This Row],[Negotiated_Cost]]</f>
        <v>630.68000000000029</v>
      </c>
      <c r="N716" s="18">
        <f>Table1[[#This Row],[Defective_Units]]/Table1[[#This Row],[Quantity]]</f>
        <v>1.2307692307692308E-2</v>
      </c>
      <c r="O716" s="26">
        <f>(Table1[[#This Row],[Unit_Cost]]-Table1[[#This Row],[Negotiated_Cost]])/Table1[[#This Row],[Unit_Cost]]</f>
        <v>5.4381857768005373E-2</v>
      </c>
    </row>
    <row r="717" spans="1:15" x14ac:dyDescent="0.25">
      <c r="A717" t="s">
        <v>752</v>
      </c>
      <c r="B717" t="s">
        <v>27</v>
      </c>
      <c r="C717" s="14" t="s">
        <v>55</v>
      </c>
      <c r="D717" s="1">
        <v>45601</v>
      </c>
      <c r="E717" s="13">
        <v>45620</v>
      </c>
      <c r="F717" s="14" t="s">
        <v>14</v>
      </c>
      <c r="G717">
        <v>120</v>
      </c>
      <c r="H717">
        <v>15584.86</v>
      </c>
      <c r="I717">
        <v>14891.54</v>
      </c>
      <c r="J717">
        <v>2</v>
      </c>
      <c r="K717" s="14" t="s">
        <v>15</v>
      </c>
      <c r="L717" s="14">
        <f>IF(OR(Table1[[#This Row],[Order_Status]]="Delivered",Table1[[#This Row],[Delivery_Date]]&lt;&gt;"Not Yet Delivered"),Table1[[#This Row],[Delivery_Date]]-Table1[[#This Row],[Order_Date]],"Not Applicable")</f>
        <v>19</v>
      </c>
      <c r="M717" s="14">
        <f>Table1[[#This Row],[Unit_Cost]]-Table1[[#This Row],[Negotiated_Cost]]</f>
        <v>693.31999999999971</v>
      </c>
      <c r="N717" s="18">
        <f>Table1[[#This Row],[Defective_Units]]/Table1[[#This Row],[Quantity]]</f>
        <v>1.6666666666666666E-2</v>
      </c>
      <c r="O717" s="26">
        <f>(Table1[[#This Row],[Unit_Cost]]-Table1[[#This Row],[Negotiated_Cost]])/Table1[[#This Row],[Unit_Cost]]</f>
        <v>4.4486764719092742E-2</v>
      </c>
    </row>
    <row r="718" spans="1:15" x14ac:dyDescent="0.25">
      <c r="A718" t="s">
        <v>753</v>
      </c>
      <c r="B718" t="s">
        <v>35</v>
      </c>
      <c r="C718" s="14" t="s">
        <v>36</v>
      </c>
      <c r="D718" s="1">
        <v>45401</v>
      </c>
      <c r="E718" s="13">
        <v>45410</v>
      </c>
      <c r="F718" s="14" t="s">
        <v>14</v>
      </c>
      <c r="G718">
        <v>104</v>
      </c>
      <c r="H718">
        <v>568.01</v>
      </c>
      <c r="I718">
        <v>561.29999999999995</v>
      </c>
      <c r="J718">
        <v>0</v>
      </c>
      <c r="K718" s="14" t="s">
        <v>15</v>
      </c>
      <c r="L718" s="14">
        <f>IF(OR(Table1[[#This Row],[Order_Status]]="Delivered",Table1[[#This Row],[Delivery_Date]]&lt;&gt;"Not Yet Delivered"),Table1[[#This Row],[Delivery_Date]]-Table1[[#This Row],[Order_Date]],"Not Applicable")</f>
        <v>9</v>
      </c>
      <c r="M718" s="14">
        <f>Table1[[#This Row],[Unit_Cost]]-Table1[[#This Row],[Negotiated_Cost]]</f>
        <v>6.7100000000000364</v>
      </c>
      <c r="N718" s="18">
        <f>Table1[[#This Row],[Defective_Units]]/Table1[[#This Row],[Quantity]]</f>
        <v>0</v>
      </c>
      <c r="O718" s="26">
        <f>(Table1[[#This Row],[Unit_Cost]]-Table1[[#This Row],[Negotiated_Cost]])/Table1[[#This Row],[Unit_Cost]]</f>
        <v>1.1813172303304583E-2</v>
      </c>
    </row>
    <row r="719" spans="1:15" x14ac:dyDescent="0.25">
      <c r="A719" t="s">
        <v>754</v>
      </c>
      <c r="B719" t="s">
        <v>12</v>
      </c>
      <c r="C719" s="14" t="s">
        <v>18</v>
      </c>
      <c r="D719" s="1">
        <v>45116</v>
      </c>
      <c r="E719" s="14" t="s">
        <v>2057</v>
      </c>
      <c r="F719" s="14" t="s">
        <v>22</v>
      </c>
      <c r="G719">
        <v>363</v>
      </c>
      <c r="H719">
        <v>5201.72</v>
      </c>
      <c r="I719">
        <v>5085.68</v>
      </c>
      <c r="J719">
        <v>2</v>
      </c>
      <c r="K719" s="14" t="s">
        <v>15</v>
      </c>
      <c r="L719" s="14" t="str">
        <f>IF(OR(Table1[[#This Row],[Order_Status]]="Delivered",Table1[[#This Row],[Delivery_Date]]&lt;&gt;"Not Yet Delivered"),Table1[[#This Row],[Delivery_Date]]-Table1[[#This Row],[Order_Date]],"Not Applicable")</f>
        <v>Not Applicable</v>
      </c>
      <c r="M719" s="14">
        <f>Table1[[#This Row],[Unit_Cost]]-Table1[[#This Row],[Negotiated_Cost]]</f>
        <v>116.03999999999996</v>
      </c>
      <c r="N719" s="18">
        <f>Table1[[#This Row],[Defective_Units]]/Table1[[#This Row],[Quantity]]</f>
        <v>5.5096418732782371E-3</v>
      </c>
      <c r="O719" s="26">
        <f>(Table1[[#This Row],[Unit_Cost]]-Table1[[#This Row],[Negotiated_Cost]])/Table1[[#This Row],[Unit_Cost]]</f>
        <v>2.2308005813461693E-2</v>
      </c>
    </row>
    <row r="720" spans="1:15" x14ac:dyDescent="0.25">
      <c r="A720" t="s">
        <v>755</v>
      </c>
      <c r="B720" t="s">
        <v>35</v>
      </c>
      <c r="C720" s="14" t="s">
        <v>21</v>
      </c>
      <c r="D720" s="1">
        <v>45335</v>
      </c>
      <c r="E720" s="13">
        <v>45348</v>
      </c>
      <c r="F720" s="14" t="s">
        <v>14</v>
      </c>
      <c r="G720">
        <v>11</v>
      </c>
      <c r="H720">
        <v>119.9</v>
      </c>
      <c r="I720">
        <v>112.73</v>
      </c>
      <c r="J720">
        <v>0</v>
      </c>
      <c r="K720" s="14" t="s">
        <v>15</v>
      </c>
      <c r="L720" s="14">
        <f>IF(OR(Table1[[#This Row],[Order_Status]]="Delivered",Table1[[#This Row],[Delivery_Date]]&lt;&gt;"Not Yet Delivered"),Table1[[#This Row],[Delivery_Date]]-Table1[[#This Row],[Order_Date]],"Not Applicable")</f>
        <v>13</v>
      </c>
      <c r="M720" s="14">
        <f>Table1[[#This Row],[Unit_Cost]]-Table1[[#This Row],[Negotiated_Cost]]</f>
        <v>7.1700000000000017</v>
      </c>
      <c r="N720" s="18">
        <f>Table1[[#This Row],[Defective_Units]]/Table1[[#This Row],[Quantity]]</f>
        <v>0</v>
      </c>
      <c r="O720" s="26">
        <f>(Table1[[#This Row],[Unit_Cost]]-Table1[[#This Row],[Negotiated_Cost]])/Table1[[#This Row],[Unit_Cost]]</f>
        <v>5.9799833194328619E-2</v>
      </c>
    </row>
    <row r="721" spans="1:15" x14ac:dyDescent="0.25">
      <c r="A721" t="s">
        <v>756</v>
      </c>
      <c r="B721" t="s">
        <v>35</v>
      </c>
      <c r="C721" s="14" t="s">
        <v>42</v>
      </c>
      <c r="D721" s="1">
        <v>45397</v>
      </c>
      <c r="E721" s="13">
        <v>45400</v>
      </c>
      <c r="F721" s="14" t="s">
        <v>14</v>
      </c>
      <c r="G721">
        <v>267</v>
      </c>
      <c r="H721">
        <v>12238.8</v>
      </c>
      <c r="I721">
        <v>11662.73</v>
      </c>
      <c r="J721">
        <v>5</v>
      </c>
      <c r="K721" s="14" t="s">
        <v>15</v>
      </c>
      <c r="L721" s="14">
        <f>IF(OR(Table1[[#This Row],[Order_Status]]="Delivered",Table1[[#This Row],[Delivery_Date]]&lt;&gt;"Not Yet Delivered"),Table1[[#This Row],[Delivery_Date]]-Table1[[#This Row],[Order_Date]],"Not Applicable")</f>
        <v>3</v>
      </c>
      <c r="M721" s="14">
        <f>Table1[[#This Row],[Unit_Cost]]-Table1[[#This Row],[Negotiated_Cost]]</f>
        <v>576.06999999999971</v>
      </c>
      <c r="N721" s="18">
        <f>Table1[[#This Row],[Defective_Units]]/Table1[[#This Row],[Quantity]]</f>
        <v>1.8726591760299626E-2</v>
      </c>
      <c r="O721" s="26">
        <f>(Table1[[#This Row],[Unit_Cost]]-Table1[[#This Row],[Negotiated_Cost]])/Table1[[#This Row],[Unit_Cost]]</f>
        <v>4.7069157106905887E-2</v>
      </c>
    </row>
    <row r="722" spans="1:15" x14ac:dyDescent="0.25">
      <c r="A722" t="s">
        <v>757</v>
      </c>
      <c r="B722" t="s">
        <v>20</v>
      </c>
      <c r="C722" s="14" t="s">
        <v>44</v>
      </c>
      <c r="D722" s="1">
        <v>45516</v>
      </c>
      <c r="E722" s="13">
        <v>45532</v>
      </c>
      <c r="F722" s="14" t="s">
        <v>14</v>
      </c>
      <c r="G722">
        <v>112</v>
      </c>
      <c r="H722">
        <v>8215.66</v>
      </c>
      <c r="I722">
        <v>8162.36</v>
      </c>
      <c r="J722">
        <v>0</v>
      </c>
      <c r="K722" s="14" t="s">
        <v>15</v>
      </c>
      <c r="L722" s="14">
        <f>IF(OR(Table1[[#This Row],[Order_Status]]="Delivered",Table1[[#This Row],[Delivery_Date]]&lt;&gt;"Not Yet Delivered"),Table1[[#This Row],[Delivery_Date]]-Table1[[#This Row],[Order_Date]],"Not Applicable")</f>
        <v>16</v>
      </c>
      <c r="M722" s="14">
        <f>Table1[[#This Row],[Unit_Cost]]-Table1[[#This Row],[Negotiated_Cost]]</f>
        <v>53.300000000000182</v>
      </c>
      <c r="N722" s="18">
        <f>Table1[[#This Row],[Defective_Units]]/Table1[[#This Row],[Quantity]]</f>
        <v>0</v>
      </c>
      <c r="O722" s="26">
        <f>(Table1[[#This Row],[Unit_Cost]]-Table1[[#This Row],[Negotiated_Cost]])/Table1[[#This Row],[Unit_Cost]]</f>
        <v>6.4876102467726487E-3</v>
      </c>
    </row>
    <row r="723" spans="1:15" x14ac:dyDescent="0.25">
      <c r="A723" t="s">
        <v>758</v>
      </c>
      <c r="B723" t="s">
        <v>46</v>
      </c>
      <c r="C723" s="14" t="s">
        <v>21</v>
      </c>
      <c r="D723" s="1">
        <v>45561</v>
      </c>
      <c r="E723" s="14" t="s">
        <v>2057</v>
      </c>
      <c r="F723" s="14" t="s">
        <v>33</v>
      </c>
      <c r="G723">
        <v>499</v>
      </c>
      <c r="H723">
        <v>125.8</v>
      </c>
      <c r="I723">
        <v>124.92</v>
      </c>
      <c r="J723">
        <v>2</v>
      </c>
      <c r="K723" s="14" t="s">
        <v>15</v>
      </c>
      <c r="L723" s="14" t="str">
        <f>IF(OR(Table1[[#This Row],[Order_Status]]="Delivered",Table1[[#This Row],[Delivery_Date]]&lt;&gt;"Not Yet Delivered"),Table1[[#This Row],[Delivery_Date]]-Table1[[#This Row],[Order_Date]],"Not Applicable")</f>
        <v>Not Applicable</v>
      </c>
      <c r="M723" s="14">
        <f>Table1[[#This Row],[Unit_Cost]]-Table1[[#This Row],[Negotiated_Cost]]</f>
        <v>0.87999999999999545</v>
      </c>
      <c r="N723" s="18">
        <f>Table1[[#This Row],[Defective_Units]]/Table1[[#This Row],[Quantity]]</f>
        <v>4.0080160320641279E-3</v>
      </c>
      <c r="O723" s="26">
        <f>(Table1[[#This Row],[Unit_Cost]]-Table1[[#This Row],[Negotiated_Cost]])/Table1[[#This Row],[Unit_Cost]]</f>
        <v>6.9952305246422531E-3</v>
      </c>
    </row>
    <row r="724" spans="1:15" x14ac:dyDescent="0.25">
      <c r="A724" t="s">
        <v>759</v>
      </c>
      <c r="B724" t="s">
        <v>27</v>
      </c>
      <c r="C724" s="14" t="s">
        <v>48</v>
      </c>
      <c r="D724" s="1">
        <v>45385</v>
      </c>
      <c r="E724" s="13">
        <v>45397</v>
      </c>
      <c r="F724" s="14" t="s">
        <v>14</v>
      </c>
      <c r="G724">
        <v>436</v>
      </c>
      <c r="H724">
        <v>6630.7</v>
      </c>
      <c r="I724">
        <v>6623.31</v>
      </c>
      <c r="J724">
        <v>12</v>
      </c>
      <c r="K724" s="14" t="s">
        <v>15</v>
      </c>
      <c r="L724" s="14">
        <f>IF(OR(Table1[[#This Row],[Order_Status]]="Delivered",Table1[[#This Row],[Delivery_Date]]&lt;&gt;"Not Yet Delivered"),Table1[[#This Row],[Delivery_Date]]-Table1[[#This Row],[Order_Date]],"Not Applicable")</f>
        <v>12</v>
      </c>
      <c r="M724" s="14">
        <f>Table1[[#This Row],[Unit_Cost]]-Table1[[#This Row],[Negotiated_Cost]]</f>
        <v>7.3899999999994179</v>
      </c>
      <c r="N724" s="18">
        <f>Table1[[#This Row],[Defective_Units]]/Table1[[#This Row],[Quantity]]</f>
        <v>2.7522935779816515E-2</v>
      </c>
      <c r="O724" s="26">
        <f>(Table1[[#This Row],[Unit_Cost]]-Table1[[#This Row],[Negotiated_Cost]])/Table1[[#This Row],[Unit_Cost]]</f>
        <v>1.1145127965372312E-3</v>
      </c>
    </row>
    <row r="725" spans="1:15" x14ac:dyDescent="0.25">
      <c r="A725" t="s">
        <v>760</v>
      </c>
      <c r="B725" t="s">
        <v>46</v>
      </c>
      <c r="C725" s="14" t="s">
        <v>28</v>
      </c>
      <c r="D725" s="1">
        <v>45151</v>
      </c>
      <c r="E725" s="13">
        <v>45157</v>
      </c>
      <c r="F725" s="14" t="s">
        <v>14</v>
      </c>
      <c r="G725">
        <v>206</v>
      </c>
      <c r="H725">
        <v>48038.16</v>
      </c>
      <c r="I725">
        <v>47037.22</v>
      </c>
      <c r="J725">
        <v>4</v>
      </c>
      <c r="K725" s="14" t="s">
        <v>15</v>
      </c>
      <c r="L725" s="14">
        <f>IF(OR(Table1[[#This Row],[Order_Status]]="Delivered",Table1[[#This Row],[Delivery_Date]]&lt;&gt;"Not Yet Delivered"),Table1[[#This Row],[Delivery_Date]]-Table1[[#This Row],[Order_Date]],"Not Applicable")</f>
        <v>6</v>
      </c>
      <c r="M725" s="14">
        <f>Table1[[#This Row],[Unit_Cost]]-Table1[[#This Row],[Negotiated_Cost]]</f>
        <v>1000.9400000000023</v>
      </c>
      <c r="N725" s="18">
        <f>Table1[[#This Row],[Defective_Units]]/Table1[[#This Row],[Quantity]]</f>
        <v>1.9417475728155338E-2</v>
      </c>
      <c r="O725" s="26">
        <f>(Table1[[#This Row],[Unit_Cost]]-Table1[[#This Row],[Negotiated_Cost]])/Table1[[#This Row],[Unit_Cost]]</f>
        <v>2.083635176701194E-2</v>
      </c>
    </row>
    <row r="726" spans="1:15" x14ac:dyDescent="0.25">
      <c r="A726" t="s">
        <v>761</v>
      </c>
      <c r="B726" t="s">
        <v>35</v>
      </c>
      <c r="C726" s="14" t="s">
        <v>24</v>
      </c>
      <c r="D726" s="1">
        <v>45081</v>
      </c>
      <c r="E726" s="13">
        <v>45090</v>
      </c>
      <c r="F726" s="14" t="s">
        <v>14</v>
      </c>
      <c r="G726">
        <v>261</v>
      </c>
      <c r="H726">
        <v>12820.41</v>
      </c>
      <c r="I726">
        <v>12210.81</v>
      </c>
      <c r="J726">
        <v>1</v>
      </c>
      <c r="K726" s="14" t="s">
        <v>15</v>
      </c>
      <c r="L726" s="14">
        <f>IF(OR(Table1[[#This Row],[Order_Status]]="Delivered",Table1[[#This Row],[Delivery_Date]]&lt;&gt;"Not Yet Delivered"),Table1[[#This Row],[Delivery_Date]]-Table1[[#This Row],[Order_Date]],"Not Applicable")</f>
        <v>9</v>
      </c>
      <c r="M726" s="14">
        <f>Table1[[#This Row],[Unit_Cost]]-Table1[[#This Row],[Negotiated_Cost]]</f>
        <v>609.60000000000036</v>
      </c>
      <c r="N726" s="18">
        <f>Table1[[#This Row],[Defective_Units]]/Table1[[#This Row],[Quantity]]</f>
        <v>3.8314176245210726E-3</v>
      </c>
      <c r="O726" s="26">
        <f>(Table1[[#This Row],[Unit_Cost]]-Table1[[#This Row],[Negotiated_Cost]])/Table1[[#This Row],[Unit_Cost]]</f>
        <v>4.7549181344434414E-2</v>
      </c>
    </row>
    <row r="727" spans="1:15" x14ac:dyDescent="0.25">
      <c r="A727" t="s">
        <v>762</v>
      </c>
      <c r="B727" t="s">
        <v>35</v>
      </c>
      <c r="C727" s="14" t="s">
        <v>48</v>
      </c>
      <c r="D727" s="1">
        <v>45013</v>
      </c>
      <c r="E727" s="14" t="s">
        <v>2057</v>
      </c>
      <c r="F727" s="14" t="s">
        <v>33</v>
      </c>
      <c r="G727">
        <v>423</v>
      </c>
      <c r="H727">
        <v>6862.26</v>
      </c>
      <c r="I727">
        <v>6746.1</v>
      </c>
      <c r="J727">
        <v>2</v>
      </c>
      <c r="K727" s="14" t="s">
        <v>15</v>
      </c>
      <c r="L727" s="14" t="str">
        <f>IF(OR(Table1[[#This Row],[Order_Status]]="Delivered",Table1[[#This Row],[Delivery_Date]]&lt;&gt;"Not Yet Delivered"),Table1[[#This Row],[Delivery_Date]]-Table1[[#This Row],[Order_Date]],"Not Applicable")</f>
        <v>Not Applicable</v>
      </c>
      <c r="M727" s="14">
        <f>Table1[[#This Row],[Unit_Cost]]-Table1[[#This Row],[Negotiated_Cost]]</f>
        <v>116.15999999999985</v>
      </c>
      <c r="N727" s="18">
        <f>Table1[[#This Row],[Defective_Units]]/Table1[[#This Row],[Quantity]]</f>
        <v>4.7281323877068557E-3</v>
      </c>
      <c r="O727" s="26">
        <f>(Table1[[#This Row],[Unit_Cost]]-Table1[[#This Row],[Negotiated_Cost]])/Table1[[#This Row],[Unit_Cost]]</f>
        <v>1.6927367951666047E-2</v>
      </c>
    </row>
    <row r="728" spans="1:15" x14ac:dyDescent="0.25">
      <c r="A728" t="s">
        <v>763</v>
      </c>
      <c r="B728" t="s">
        <v>32</v>
      </c>
      <c r="C728" s="14" t="s">
        <v>21</v>
      </c>
      <c r="D728" s="1">
        <v>45078</v>
      </c>
      <c r="E728" s="13">
        <v>45087</v>
      </c>
      <c r="F728" s="14" t="s">
        <v>14</v>
      </c>
      <c r="G728">
        <v>486</v>
      </c>
      <c r="H728">
        <v>107.9</v>
      </c>
      <c r="I728">
        <v>106.49</v>
      </c>
      <c r="J728">
        <v>4</v>
      </c>
      <c r="K728" s="14" t="s">
        <v>15</v>
      </c>
      <c r="L728" s="14">
        <f>IF(OR(Table1[[#This Row],[Order_Status]]="Delivered",Table1[[#This Row],[Delivery_Date]]&lt;&gt;"Not Yet Delivered"),Table1[[#This Row],[Delivery_Date]]-Table1[[#This Row],[Order_Date]],"Not Applicable")</f>
        <v>9</v>
      </c>
      <c r="M728" s="14">
        <f>Table1[[#This Row],[Unit_Cost]]-Table1[[#This Row],[Negotiated_Cost]]</f>
        <v>1.4100000000000108</v>
      </c>
      <c r="N728" s="18">
        <f>Table1[[#This Row],[Defective_Units]]/Table1[[#This Row],[Quantity]]</f>
        <v>8.23045267489712E-3</v>
      </c>
      <c r="O728" s="26">
        <f>(Table1[[#This Row],[Unit_Cost]]-Table1[[#This Row],[Negotiated_Cost]])/Table1[[#This Row],[Unit_Cost]]</f>
        <v>1.3067655236330035E-2</v>
      </c>
    </row>
    <row r="729" spans="1:15" x14ac:dyDescent="0.25">
      <c r="A729" t="s">
        <v>764</v>
      </c>
      <c r="B729" t="s">
        <v>17</v>
      </c>
      <c r="C729" s="14" t="s">
        <v>36</v>
      </c>
      <c r="D729" s="1">
        <v>45274</v>
      </c>
      <c r="E729" s="14" t="s">
        <v>2057</v>
      </c>
      <c r="F729" s="14" t="s">
        <v>33</v>
      </c>
      <c r="G729">
        <v>300</v>
      </c>
      <c r="H729">
        <v>508.49</v>
      </c>
      <c r="I729">
        <v>496.32</v>
      </c>
      <c r="J729">
        <v>2</v>
      </c>
      <c r="K729" s="14" t="s">
        <v>15</v>
      </c>
      <c r="L729" s="14" t="str">
        <f>IF(OR(Table1[[#This Row],[Order_Status]]="Delivered",Table1[[#This Row],[Delivery_Date]]&lt;&gt;"Not Yet Delivered"),Table1[[#This Row],[Delivery_Date]]-Table1[[#This Row],[Order_Date]],"Not Applicable")</f>
        <v>Not Applicable</v>
      </c>
      <c r="M729" s="14">
        <f>Table1[[#This Row],[Unit_Cost]]-Table1[[#This Row],[Negotiated_Cost]]</f>
        <v>12.170000000000016</v>
      </c>
      <c r="N729" s="18">
        <f>Table1[[#This Row],[Defective_Units]]/Table1[[#This Row],[Quantity]]</f>
        <v>6.6666666666666671E-3</v>
      </c>
      <c r="O729" s="26">
        <f>(Table1[[#This Row],[Unit_Cost]]-Table1[[#This Row],[Negotiated_Cost]])/Table1[[#This Row],[Unit_Cost]]</f>
        <v>2.393360734724383E-2</v>
      </c>
    </row>
    <row r="730" spans="1:15" x14ac:dyDescent="0.25">
      <c r="A730" t="s">
        <v>765</v>
      </c>
      <c r="B730" t="s">
        <v>35</v>
      </c>
      <c r="C730" s="14" t="s">
        <v>55</v>
      </c>
      <c r="D730" s="1">
        <v>44935</v>
      </c>
      <c r="E730" s="13">
        <v>44957</v>
      </c>
      <c r="F730" s="14" t="s">
        <v>14</v>
      </c>
      <c r="G730">
        <v>293</v>
      </c>
      <c r="H730">
        <v>15254.14</v>
      </c>
      <c r="I730">
        <v>15001.11</v>
      </c>
      <c r="J730">
        <v>1</v>
      </c>
      <c r="K730" s="14" t="s">
        <v>15</v>
      </c>
      <c r="L730" s="14">
        <f>IF(OR(Table1[[#This Row],[Order_Status]]="Delivered",Table1[[#This Row],[Delivery_Date]]&lt;&gt;"Not Yet Delivered"),Table1[[#This Row],[Delivery_Date]]-Table1[[#This Row],[Order_Date]],"Not Applicable")</f>
        <v>22</v>
      </c>
      <c r="M730" s="14">
        <f>Table1[[#This Row],[Unit_Cost]]-Table1[[#This Row],[Negotiated_Cost]]</f>
        <v>253.02999999999884</v>
      </c>
      <c r="N730" s="18">
        <f>Table1[[#This Row],[Defective_Units]]/Table1[[#This Row],[Quantity]]</f>
        <v>3.4129692832764505E-3</v>
      </c>
      <c r="O730" s="26">
        <f>(Table1[[#This Row],[Unit_Cost]]-Table1[[#This Row],[Negotiated_Cost]])/Table1[[#This Row],[Unit_Cost]]</f>
        <v>1.6587628014427484E-2</v>
      </c>
    </row>
    <row r="731" spans="1:15" x14ac:dyDescent="0.25">
      <c r="A731" t="s">
        <v>766</v>
      </c>
      <c r="B731" t="s">
        <v>12</v>
      </c>
      <c r="C731" s="14" t="s">
        <v>50</v>
      </c>
      <c r="D731" s="1">
        <v>45165</v>
      </c>
      <c r="E731" s="13">
        <v>45175</v>
      </c>
      <c r="F731" s="14" t="s">
        <v>14</v>
      </c>
      <c r="G731">
        <v>306</v>
      </c>
      <c r="H731">
        <v>54222.18</v>
      </c>
      <c r="I731">
        <v>53144.26</v>
      </c>
      <c r="J731">
        <v>1</v>
      </c>
      <c r="K731" s="14" t="s">
        <v>15</v>
      </c>
      <c r="L731" s="14">
        <f>IF(OR(Table1[[#This Row],[Order_Status]]="Delivered",Table1[[#This Row],[Delivery_Date]]&lt;&gt;"Not Yet Delivered"),Table1[[#This Row],[Delivery_Date]]-Table1[[#This Row],[Order_Date]],"Not Applicable")</f>
        <v>10</v>
      </c>
      <c r="M731" s="14">
        <f>Table1[[#This Row],[Unit_Cost]]-Table1[[#This Row],[Negotiated_Cost]]</f>
        <v>1077.9199999999983</v>
      </c>
      <c r="N731" s="18">
        <f>Table1[[#This Row],[Defective_Units]]/Table1[[#This Row],[Quantity]]</f>
        <v>3.2679738562091504E-3</v>
      </c>
      <c r="O731" s="26">
        <f>(Table1[[#This Row],[Unit_Cost]]-Table1[[#This Row],[Negotiated_Cost]])/Table1[[#This Row],[Unit_Cost]]</f>
        <v>1.9879687611232124E-2</v>
      </c>
    </row>
    <row r="732" spans="1:15" x14ac:dyDescent="0.25">
      <c r="A732" t="s">
        <v>767</v>
      </c>
      <c r="B732" t="s">
        <v>32</v>
      </c>
      <c r="C732" s="14" t="s">
        <v>42</v>
      </c>
      <c r="D732" s="1">
        <v>45556</v>
      </c>
      <c r="E732" s="13">
        <v>45564</v>
      </c>
      <c r="F732" s="14" t="s">
        <v>14</v>
      </c>
      <c r="G732">
        <v>168</v>
      </c>
      <c r="H732">
        <v>11051.53</v>
      </c>
      <c r="I732">
        <v>10549.65</v>
      </c>
      <c r="J732">
        <v>2</v>
      </c>
      <c r="K732" s="14" t="s">
        <v>15</v>
      </c>
      <c r="L732" s="14">
        <f>IF(OR(Table1[[#This Row],[Order_Status]]="Delivered",Table1[[#This Row],[Delivery_Date]]&lt;&gt;"Not Yet Delivered"),Table1[[#This Row],[Delivery_Date]]-Table1[[#This Row],[Order_Date]],"Not Applicable")</f>
        <v>8</v>
      </c>
      <c r="M732" s="14">
        <f>Table1[[#This Row],[Unit_Cost]]-Table1[[#This Row],[Negotiated_Cost]]</f>
        <v>501.88000000000102</v>
      </c>
      <c r="N732" s="18">
        <f>Table1[[#This Row],[Defective_Units]]/Table1[[#This Row],[Quantity]]</f>
        <v>1.1904761904761904E-2</v>
      </c>
      <c r="O732" s="26">
        <f>(Table1[[#This Row],[Unit_Cost]]-Table1[[#This Row],[Negotiated_Cost]])/Table1[[#This Row],[Unit_Cost]]</f>
        <v>4.5412716610279388E-2</v>
      </c>
    </row>
    <row r="733" spans="1:15" x14ac:dyDescent="0.25">
      <c r="A733" t="s">
        <v>768</v>
      </c>
      <c r="B733" t="s">
        <v>35</v>
      </c>
      <c r="C733" s="14" t="s">
        <v>21</v>
      </c>
      <c r="D733" s="1">
        <v>45106</v>
      </c>
      <c r="E733" s="13">
        <v>45127</v>
      </c>
      <c r="F733" s="14" t="s">
        <v>14</v>
      </c>
      <c r="G733">
        <v>419</v>
      </c>
      <c r="H733">
        <v>121.95</v>
      </c>
      <c r="I733">
        <v>120.53</v>
      </c>
      <c r="J733">
        <v>6</v>
      </c>
      <c r="K733" s="14" t="s">
        <v>15</v>
      </c>
      <c r="L733" s="14">
        <f>IF(OR(Table1[[#This Row],[Order_Status]]="Delivered",Table1[[#This Row],[Delivery_Date]]&lt;&gt;"Not Yet Delivered"),Table1[[#This Row],[Delivery_Date]]-Table1[[#This Row],[Order_Date]],"Not Applicable")</f>
        <v>21</v>
      </c>
      <c r="M733" s="14">
        <f>Table1[[#This Row],[Unit_Cost]]-Table1[[#This Row],[Negotiated_Cost]]</f>
        <v>1.4200000000000017</v>
      </c>
      <c r="N733" s="18">
        <f>Table1[[#This Row],[Defective_Units]]/Table1[[#This Row],[Quantity]]</f>
        <v>1.4319809069212411E-2</v>
      </c>
      <c r="O733" s="26">
        <f>(Table1[[#This Row],[Unit_Cost]]-Table1[[#This Row],[Negotiated_Cost]])/Table1[[#This Row],[Unit_Cost]]</f>
        <v>1.1644116441164426E-2</v>
      </c>
    </row>
    <row r="734" spans="1:15" x14ac:dyDescent="0.25">
      <c r="A734" t="s">
        <v>769</v>
      </c>
      <c r="B734" t="s">
        <v>40</v>
      </c>
      <c r="C734" s="14" t="s">
        <v>42</v>
      </c>
      <c r="D734" s="1">
        <v>45322</v>
      </c>
      <c r="E734" s="13">
        <v>45333</v>
      </c>
      <c r="F734" s="14" t="s">
        <v>14</v>
      </c>
      <c r="G734">
        <v>11</v>
      </c>
      <c r="H734">
        <v>12240.76</v>
      </c>
      <c r="I734">
        <v>11924.38</v>
      </c>
      <c r="J734">
        <v>1</v>
      </c>
      <c r="K734" s="14" t="s">
        <v>15</v>
      </c>
      <c r="L734" s="14">
        <f>IF(OR(Table1[[#This Row],[Order_Status]]="Delivered",Table1[[#This Row],[Delivery_Date]]&lt;&gt;"Not Yet Delivered"),Table1[[#This Row],[Delivery_Date]]-Table1[[#This Row],[Order_Date]],"Not Applicable")</f>
        <v>11</v>
      </c>
      <c r="M734" s="14">
        <f>Table1[[#This Row],[Unit_Cost]]-Table1[[#This Row],[Negotiated_Cost]]</f>
        <v>316.38000000000102</v>
      </c>
      <c r="N734" s="18">
        <f>Table1[[#This Row],[Defective_Units]]/Table1[[#This Row],[Quantity]]</f>
        <v>9.0909090909090912E-2</v>
      </c>
      <c r="O734" s="26">
        <f>(Table1[[#This Row],[Unit_Cost]]-Table1[[#This Row],[Negotiated_Cost]])/Table1[[#This Row],[Unit_Cost]]</f>
        <v>2.5846434371722099E-2</v>
      </c>
    </row>
    <row r="735" spans="1:15" x14ac:dyDescent="0.25">
      <c r="A735" t="s">
        <v>770</v>
      </c>
      <c r="B735" t="s">
        <v>40</v>
      </c>
      <c r="C735" s="14" t="s">
        <v>13</v>
      </c>
      <c r="D735" s="1">
        <v>45218</v>
      </c>
      <c r="E735" s="13">
        <v>45232</v>
      </c>
      <c r="F735" s="14" t="s">
        <v>14</v>
      </c>
      <c r="G735">
        <v>349</v>
      </c>
      <c r="H735">
        <v>4517.34</v>
      </c>
      <c r="I735">
        <v>4311.42</v>
      </c>
      <c r="J735">
        <v>3</v>
      </c>
      <c r="K735" s="14" t="s">
        <v>15</v>
      </c>
      <c r="L735" s="14">
        <f>IF(OR(Table1[[#This Row],[Order_Status]]="Delivered",Table1[[#This Row],[Delivery_Date]]&lt;&gt;"Not Yet Delivered"),Table1[[#This Row],[Delivery_Date]]-Table1[[#This Row],[Order_Date]],"Not Applicable")</f>
        <v>14</v>
      </c>
      <c r="M735" s="14">
        <f>Table1[[#This Row],[Unit_Cost]]-Table1[[#This Row],[Negotiated_Cost]]</f>
        <v>205.92000000000007</v>
      </c>
      <c r="N735" s="18">
        <f>Table1[[#This Row],[Defective_Units]]/Table1[[#This Row],[Quantity]]</f>
        <v>8.5959885386819486E-3</v>
      </c>
      <c r="O735" s="26">
        <f>(Table1[[#This Row],[Unit_Cost]]-Table1[[#This Row],[Negotiated_Cost]])/Table1[[#This Row],[Unit_Cost]]</f>
        <v>4.5584348311174291E-2</v>
      </c>
    </row>
    <row r="736" spans="1:15" x14ac:dyDescent="0.25">
      <c r="A736" t="s">
        <v>771</v>
      </c>
      <c r="B736" t="s">
        <v>40</v>
      </c>
      <c r="C736" s="14" t="s">
        <v>18</v>
      </c>
      <c r="D736" s="1">
        <v>45471</v>
      </c>
      <c r="E736" s="14" t="s">
        <v>2057</v>
      </c>
      <c r="F736" s="14" t="s">
        <v>33</v>
      </c>
      <c r="G736">
        <v>280</v>
      </c>
      <c r="H736">
        <v>5896.31</v>
      </c>
      <c r="I736">
        <v>5760.26</v>
      </c>
      <c r="J736">
        <v>2</v>
      </c>
      <c r="K736" s="14" t="s">
        <v>15</v>
      </c>
      <c r="L736" s="14" t="str">
        <f>IF(OR(Table1[[#This Row],[Order_Status]]="Delivered",Table1[[#This Row],[Delivery_Date]]&lt;&gt;"Not Yet Delivered"),Table1[[#This Row],[Delivery_Date]]-Table1[[#This Row],[Order_Date]],"Not Applicable")</f>
        <v>Not Applicable</v>
      </c>
      <c r="M736" s="14">
        <f>Table1[[#This Row],[Unit_Cost]]-Table1[[#This Row],[Negotiated_Cost]]</f>
        <v>136.05000000000018</v>
      </c>
      <c r="N736" s="18">
        <f>Table1[[#This Row],[Defective_Units]]/Table1[[#This Row],[Quantity]]</f>
        <v>7.1428571428571426E-3</v>
      </c>
      <c r="O736" s="26">
        <f>(Table1[[#This Row],[Unit_Cost]]-Table1[[#This Row],[Negotiated_Cost]])/Table1[[#This Row],[Unit_Cost]]</f>
        <v>2.3073752906478825E-2</v>
      </c>
    </row>
    <row r="737" spans="1:15" x14ac:dyDescent="0.25">
      <c r="A737" t="s">
        <v>772</v>
      </c>
      <c r="B737" t="s">
        <v>20</v>
      </c>
      <c r="C737" s="14" t="s">
        <v>42</v>
      </c>
      <c r="D737" s="1">
        <v>45259</v>
      </c>
      <c r="E737" s="14" t="s">
        <v>2057</v>
      </c>
      <c r="F737" s="14" t="s">
        <v>33</v>
      </c>
      <c r="G737">
        <v>89</v>
      </c>
      <c r="H737">
        <v>11632.6</v>
      </c>
      <c r="I737">
        <v>11596.15</v>
      </c>
      <c r="J737">
        <v>2</v>
      </c>
      <c r="K737" s="14" t="s">
        <v>15</v>
      </c>
      <c r="L737" s="14" t="str">
        <f>IF(OR(Table1[[#This Row],[Order_Status]]="Delivered",Table1[[#This Row],[Delivery_Date]]&lt;&gt;"Not Yet Delivered"),Table1[[#This Row],[Delivery_Date]]-Table1[[#This Row],[Order_Date]],"Not Applicable")</f>
        <v>Not Applicable</v>
      </c>
      <c r="M737" s="14">
        <f>Table1[[#This Row],[Unit_Cost]]-Table1[[#This Row],[Negotiated_Cost]]</f>
        <v>36.450000000000728</v>
      </c>
      <c r="N737" s="18">
        <f>Table1[[#This Row],[Defective_Units]]/Table1[[#This Row],[Quantity]]</f>
        <v>2.247191011235955E-2</v>
      </c>
      <c r="O737" s="26">
        <f>(Table1[[#This Row],[Unit_Cost]]-Table1[[#This Row],[Negotiated_Cost]])/Table1[[#This Row],[Unit_Cost]]</f>
        <v>3.1334353454946207E-3</v>
      </c>
    </row>
    <row r="738" spans="1:15" x14ac:dyDescent="0.25">
      <c r="A738" t="s">
        <v>773</v>
      </c>
      <c r="B738" t="s">
        <v>17</v>
      </c>
      <c r="C738" s="14" t="s">
        <v>21</v>
      </c>
      <c r="D738" s="1">
        <v>45297</v>
      </c>
      <c r="E738" s="14" t="s">
        <v>2057</v>
      </c>
      <c r="F738" s="14" t="s">
        <v>22</v>
      </c>
      <c r="G738">
        <v>103</v>
      </c>
      <c r="H738">
        <v>118.11</v>
      </c>
      <c r="I738">
        <v>116.22</v>
      </c>
      <c r="J738">
        <v>2</v>
      </c>
      <c r="K738" s="14" t="s">
        <v>15</v>
      </c>
      <c r="L738" s="14" t="str">
        <f>IF(OR(Table1[[#This Row],[Order_Status]]="Delivered",Table1[[#This Row],[Delivery_Date]]&lt;&gt;"Not Yet Delivered"),Table1[[#This Row],[Delivery_Date]]-Table1[[#This Row],[Order_Date]],"Not Applicable")</f>
        <v>Not Applicable</v>
      </c>
      <c r="M738" s="14">
        <f>Table1[[#This Row],[Unit_Cost]]-Table1[[#This Row],[Negotiated_Cost]]</f>
        <v>1.8900000000000006</v>
      </c>
      <c r="N738" s="18">
        <f>Table1[[#This Row],[Defective_Units]]/Table1[[#This Row],[Quantity]]</f>
        <v>1.9417475728155338E-2</v>
      </c>
      <c r="O738" s="26">
        <f>(Table1[[#This Row],[Unit_Cost]]-Table1[[#This Row],[Negotiated_Cost]])/Table1[[#This Row],[Unit_Cost]]</f>
        <v>1.6002032004064012E-2</v>
      </c>
    </row>
    <row r="739" spans="1:15" x14ac:dyDescent="0.25">
      <c r="A739" t="s">
        <v>774</v>
      </c>
      <c r="B739" t="s">
        <v>27</v>
      </c>
      <c r="C739" s="14" t="s">
        <v>13</v>
      </c>
      <c r="D739" s="1">
        <v>45524</v>
      </c>
      <c r="E739" s="13">
        <v>45526</v>
      </c>
      <c r="F739" s="14" t="s">
        <v>14</v>
      </c>
      <c r="G739">
        <v>386</v>
      </c>
      <c r="H739">
        <v>4360.46</v>
      </c>
      <c r="I739">
        <v>4289.1099999999997</v>
      </c>
      <c r="J739">
        <v>6</v>
      </c>
      <c r="K739" s="14" t="s">
        <v>15</v>
      </c>
      <c r="L739" s="14">
        <f>IF(OR(Table1[[#This Row],[Order_Status]]="Delivered",Table1[[#This Row],[Delivery_Date]]&lt;&gt;"Not Yet Delivered"),Table1[[#This Row],[Delivery_Date]]-Table1[[#This Row],[Order_Date]],"Not Applicable")</f>
        <v>2</v>
      </c>
      <c r="M739" s="14">
        <f>Table1[[#This Row],[Unit_Cost]]-Table1[[#This Row],[Negotiated_Cost]]</f>
        <v>71.350000000000364</v>
      </c>
      <c r="N739" s="18">
        <f>Table1[[#This Row],[Defective_Units]]/Table1[[#This Row],[Quantity]]</f>
        <v>1.5544041450777202E-2</v>
      </c>
      <c r="O739" s="26">
        <f>(Table1[[#This Row],[Unit_Cost]]-Table1[[#This Row],[Negotiated_Cost]])/Table1[[#This Row],[Unit_Cost]]</f>
        <v>1.6362952532531054E-2</v>
      </c>
    </row>
    <row r="740" spans="1:15" x14ac:dyDescent="0.25">
      <c r="A740" t="s">
        <v>775</v>
      </c>
      <c r="B740" t="s">
        <v>40</v>
      </c>
      <c r="C740" s="14" t="s">
        <v>18</v>
      </c>
      <c r="D740" s="1">
        <v>45434</v>
      </c>
      <c r="E740" s="13">
        <v>45464</v>
      </c>
      <c r="F740" s="14" t="s">
        <v>14</v>
      </c>
      <c r="G740">
        <v>366</v>
      </c>
      <c r="H740">
        <v>5575.82</v>
      </c>
      <c r="I740">
        <v>5424.86</v>
      </c>
      <c r="J740">
        <v>8</v>
      </c>
      <c r="K740" s="14" t="s">
        <v>15</v>
      </c>
      <c r="L740" s="14">
        <f>IF(OR(Table1[[#This Row],[Order_Status]]="Delivered",Table1[[#This Row],[Delivery_Date]]&lt;&gt;"Not Yet Delivered"),Table1[[#This Row],[Delivery_Date]]-Table1[[#This Row],[Order_Date]],"Not Applicable")</f>
        <v>30</v>
      </c>
      <c r="M740" s="14">
        <f>Table1[[#This Row],[Unit_Cost]]-Table1[[#This Row],[Negotiated_Cost]]</f>
        <v>150.96000000000004</v>
      </c>
      <c r="N740" s="18">
        <f>Table1[[#This Row],[Defective_Units]]/Table1[[#This Row],[Quantity]]</f>
        <v>2.185792349726776E-2</v>
      </c>
      <c r="O740" s="26">
        <f>(Table1[[#This Row],[Unit_Cost]]-Table1[[#This Row],[Negotiated_Cost]])/Table1[[#This Row],[Unit_Cost]]</f>
        <v>2.7074044714499399E-2</v>
      </c>
    </row>
    <row r="741" spans="1:15" x14ac:dyDescent="0.25">
      <c r="A741" t="s">
        <v>776</v>
      </c>
      <c r="B741" t="s">
        <v>32</v>
      </c>
      <c r="C741" s="14" t="s">
        <v>18</v>
      </c>
      <c r="D741" s="1">
        <v>45476</v>
      </c>
      <c r="E741" s="13">
        <v>45489</v>
      </c>
      <c r="F741" s="14" t="s">
        <v>14</v>
      </c>
      <c r="G741">
        <v>185</v>
      </c>
      <c r="H741">
        <v>4668.75</v>
      </c>
      <c r="I741">
        <v>4598.1899999999996</v>
      </c>
      <c r="J741">
        <v>0</v>
      </c>
      <c r="K741" s="14" t="s">
        <v>15</v>
      </c>
      <c r="L741" s="14">
        <f>IF(OR(Table1[[#This Row],[Order_Status]]="Delivered",Table1[[#This Row],[Delivery_Date]]&lt;&gt;"Not Yet Delivered"),Table1[[#This Row],[Delivery_Date]]-Table1[[#This Row],[Order_Date]],"Not Applicable")</f>
        <v>13</v>
      </c>
      <c r="M741" s="14">
        <f>Table1[[#This Row],[Unit_Cost]]-Table1[[#This Row],[Negotiated_Cost]]</f>
        <v>70.5600000000004</v>
      </c>
      <c r="N741" s="18">
        <f>Table1[[#This Row],[Defective_Units]]/Table1[[#This Row],[Quantity]]</f>
        <v>0</v>
      </c>
      <c r="O741" s="26">
        <f>(Table1[[#This Row],[Unit_Cost]]-Table1[[#This Row],[Negotiated_Cost]])/Table1[[#This Row],[Unit_Cost]]</f>
        <v>1.5113253012048279E-2</v>
      </c>
    </row>
    <row r="742" spans="1:15" x14ac:dyDescent="0.25">
      <c r="A742" t="s">
        <v>777</v>
      </c>
      <c r="B742" t="s">
        <v>35</v>
      </c>
      <c r="C742" s="14" t="s">
        <v>21</v>
      </c>
      <c r="D742" s="1">
        <v>45029</v>
      </c>
      <c r="E742" s="13">
        <v>45042</v>
      </c>
      <c r="F742" s="14" t="s">
        <v>14</v>
      </c>
      <c r="G742">
        <v>406</v>
      </c>
      <c r="H742">
        <v>124.28</v>
      </c>
      <c r="I742">
        <v>118.83</v>
      </c>
      <c r="J742">
        <v>0</v>
      </c>
      <c r="K742" s="14" t="s">
        <v>15</v>
      </c>
      <c r="L742" s="14">
        <f>IF(OR(Table1[[#This Row],[Order_Status]]="Delivered",Table1[[#This Row],[Delivery_Date]]&lt;&gt;"Not Yet Delivered"),Table1[[#This Row],[Delivery_Date]]-Table1[[#This Row],[Order_Date]],"Not Applicable")</f>
        <v>13</v>
      </c>
      <c r="M742" s="14">
        <f>Table1[[#This Row],[Unit_Cost]]-Table1[[#This Row],[Negotiated_Cost]]</f>
        <v>5.4500000000000028</v>
      </c>
      <c r="N742" s="18">
        <f>Table1[[#This Row],[Defective_Units]]/Table1[[#This Row],[Quantity]]</f>
        <v>0</v>
      </c>
      <c r="O742" s="26">
        <f>(Table1[[#This Row],[Unit_Cost]]-Table1[[#This Row],[Negotiated_Cost]])/Table1[[#This Row],[Unit_Cost]]</f>
        <v>4.3852590923720652E-2</v>
      </c>
    </row>
    <row r="743" spans="1:15" x14ac:dyDescent="0.25">
      <c r="A743" t="s">
        <v>778</v>
      </c>
      <c r="B743" t="s">
        <v>27</v>
      </c>
      <c r="C743" s="14" t="s">
        <v>36</v>
      </c>
      <c r="D743" s="1">
        <v>45582</v>
      </c>
      <c r="E743" s="13">
        <v>45603</v>
      </c>
      <c r="F743" s="14" t="s">
        <v>37</v>
      </c>
      <c r="G743">
        <v>396</v>
      </c>
      <c r="H743">
        <v>580.15</v>
      </c>
      <c r="I743">
        <v>562.5</v>
      </c>
      <c r="J743">
        <v>11</v>
      </c>
      <c r="K743" s="14" t="s">
        <v>15</v>
      </c>
      <c r="L743" s="14">
        <f>IF(OR(Table1[[#This Row],[Order_Status]]="Delivered",Table1[[#This Row],[Delivery_Date]]&lt;&gt;"Not Yet Delivered"),Table1[[#This Row],[Delivery_Date]]-Table1[[#This Row],[Order_Date]],"Not Applicable")</f>
        <v>21</v>
      </c>
      <c r="M743" s="14">
        <f>Table1[[#This Row],[Unit_Cost]]-Table1[[#This Row],[Negotiated_Cost]]</f>
        <v>17.649999999999977</v>
      </c>
      <c r="N743" s="18">
        <f>Table1[[#This Row],[Defective_Units]]/Table1[[#This Row],[Quantity]]</f>
        <v>2.7777777777777776E-2</v>
      </c>
      <c r="O743" s="26">
        <f>(Table1[[#This Row],[Unit_Cost]]-Table1[[#This Row],[Negotiated_Cost]])/Table1[[#This Row],[Unit_Cost]]</f>
        <v>3.0423166422476909E-2</v>
      </c>
    </row>
    <row r="744" spans="1:15" x14ac:dyDescent="0.25">
      <c r="A744" t="s">
        <v>779</v>
      </c>
      <c r="B744" t="s">
        <v>32</v>
      </c>
      <c r="C744" s="14" t="s">
        <v>21</v>
      </c>
      <c r="D744" s="1">
        <v>45059</v>
      </c>
      <c r="E744" s="13">
        <v>45076</v>
      </c>
      <c r="F744" s="14" t="s">
        <v>14</v>
      </c>
      <c r="G744">
        <v>283</v>
      </c>
      <c r="H744">
        <v>105.3</v>
      </c>
      <c r="I744">
        <v>99.78</v>
      </c>
      <c r="J744">
        <v>3</v>
      </c>
      <c r="K744" s="14" t="s">
        <v>15</v>
      </c>
      <c r="L744" s="14">
        <f>IF(OR(Table1[[#This Row],[Order_Status]]="Delivered",Table1[[#This Row],[Delivery_Date]]&lt;&gt;"Not Yet Delivered"),Table1[[#This Row],[Delivery_Date]]-Table1[[#This Row],[Order_Date]],"Not Applicable")</f>
        <v>17</v>
      </c>
      <c r="M744" s="14">
        <f>Table1[[#This Row],[Unit_Cost]]-Table1[[#This Row],[Negotiated_Cost]]</f>
        <v>5.519999999999996</v>
      </c>
      <c r="N744" s="18">
        <f>Table1[[#This Row],[Defective_Units]]/Table1[[#This Row],[Quantity]]</f>
        <v>1.0600706713780919E-2</v>
      </c>
      <c r="O744" s="26">
        <f>(Table1[[#This Row],[Unit_Cost]]-Table1[[#This Row],[Negotiated_Cost]])/Table1[[#This Row],[Unit_Cost]]</f>
        <v>5.2421652421652386E-2</v>
      </c>
    </row>
    <row r="745" spans="1:15" x14ac:dyDescent="0.25">
      <c r="A745" t="s">
        <v>780</v>
      </c>
      <c r="B745" t="s">
        <v>46</v>
      </c>
      <c r="C745" s="14" t="s">
        <v>13</v>
      </c>
      <c r="D745" s="1">
        <v>45616</v>
      </c>
      <c r="E745" s="13">
        <v>45644</v>
      </c>
      <c r="F745" s="14" t="s">
        <v>14</v>
      </c>
      <c r="G745">
        <v>166</v>
      </c>
      <c r="H745">
        <v>4391.92</v>
      </c>
      <c r="I745">
        <v>4256</v>
      </c>
      <c r="J745">
        <v>8</v>
      </c>
      <c r="K745" s="14" t="s">
        <v>15</v>
      </c>
      <c r="L745" s="14">
        <f>IF(OR(Table1[[#This Row],[Order_Status]]="Delivered",Table1[[#This Row],[Delivery_Date]]&lt;&gt;"Not Yet Delivered"),Table1[[#This Row],[Delivery_Date]]-Table1[[#This Row],[Order_Date]],"Not Applicable")</f>
        <v>28</v>
      </c>
      <c r="M745" s="14">
        <f>Table1[[#This Row],[Unit_Cost]]-Table1[[#This Row],[Negotiated_Cost]]</f>
        <v>135.92000000000007</v>
      </c>
      <c r="N745" s="18">
        <f>Table1[[#This Row],[Defective_Units]]/Table1[[#This Row],[Quantity]]</f>
        <v>4.8192771084337352E-2</v>
      </c>
      <c r="O745" s="26">
        <f>(Table1[[#This Row],[Unit_Cost]]-Table1[[#This Row],[Negotiated_Cost]])/Table1[[#This Row],[Unit_Cost]]</f>
        <v>3.0947740395999943E-2</v>
      </c>
    </row>
    <row r="746" spans="1:15" x14ac:dyDescent="0.25">
      <c r="A746" t="s">
        <v>781</v>
      </c>
      <c r="B746" t="s">
        <v>32</v>
      </c>
      <c r="C746" s="14" t="s">
        <v>13</v>
      </c>
      <c r="D746" s="1">
        <v>45573</v>
      </c>
      <c r="E746" s="13">
        <v>45580</v>
      </c>
      <c r="F746" s="14" t="s">
        <v>14</v>
      </c>
      <c r="G746">
        <v>122</v>
      </c>
      <c r="H746">
        <v>3917.52</v>
      </c>
      <c r="I746">
        <v>3777.83</v>
      </c>
      <c r="J746">
        <v>3</v>
      </c>
      <c r="K746" s="14" t="s">
        <v>15</v>
      </c>
      <c r="L746" s="14">
        <f>IF(OR(Table1[[#This Row],[Order_Status]]="Delivered",Table1[[#This Row],[Delivery_Date]]&lt;&gt;"Not Yet Delivered"),Table1[[#This Row],[Delivery_Date]]-Table1[[#This Row],[Order_Date]],"Not Applicable")</f>
        <v>7</v>
      </c>
      <c r="M746" s="14">
        <f>Table1[[#This Row],[Unit_Cost]]-Table1[[#This Row],[Negotiated_Cost]]</f>
        <v>139.69000000000005</v>
      </c>
      <c r="N746" s="18">
        <f>Table1[[#This Row],[Defective_Units]]/Table1[[#This Row],[Quantity]]</f>
        <v>2.4590163934426229E-2</v>
      </c>
      <c r="O746" s="26">
        <f>(Table1[[#This Row],[Unit_Cost]]-Table1[[#This Row],[Negotiated_Cost]])/Table1[[#This Row],[Unit_Cost]]</f>
        <v>3.5657763074598232E-2</v>
      </c>
    </row>
    <row r="747" spans="1:15" x14ac:dyDescent="0.25">
      <c r="A747" t="s">
        <v>782</v>
      </c>
      <c r="B747" t="s">
        <v>27</v>
      </c>
      <c r="C747" s="14" t="s">
        <v>42</v>
      </c>
      <c r="D747" s="1">
        <v>45438</v>
      </c>
      <c r="E747" s="14" t="s">
        <v>2057</v>
      </c>
      <c r="F747" s="14" t="s">
        <v>22</v>
      </c>
      <c r="G747">
        <v>406</v>
      </c>
      <c r="H747">
        <v>12756.97</v>
      </c>
      <c r="I747">
        <v>12264.51</v>
      </c>
      <c r="J747">
        <v>2</v>
      </c>
      <c r="K747" s="14" t="s">
        <v>15</v>
      </c>
      <c r="L747" s="14" t="str">
        <f>IF(OR(Table1[[#This Row],[Order_Status]]="Delivered",Table1[[#This Row],[Delivery_Date]]&lt;&gt;"Not Yet Delivered"),Table1[[#This Row],[Delivery_Date]]-Table1[[#This Row],[Order_Date]],"Not Applicable")</f>
        <v>Not Applicable</v>
      </c>
      <c r="M747" s="14">
        <f>Table1[[#This Row],[Unit_Cost]]-Table1[[#This Row],[Negotiated_Cost]]</f>
        <v>492.45999999999913</v>
      </c>
      <c r="N747" s="18">
        <f>Table1[[#This Row],[Defective_Units]]/Table1[[#This Row],[Quantity]]</f>
        <v>4.9261083743842365E-3</v>
      </c>
      <c r="O747" s="26">
        <f>(Table1[[#This Row],[Unit_Cost]]-Table1[[#This Row],[Negotiated_Cost]])/Table1[[#This Row],[Unit_Cost]]</f>
        <v>3.8603210637008563E-2</v>
      </c>
    </row>
    <row r="748" spans="1:15" x14ac:dyDescent="0.25">
      <c r="A748" t="s">
        <v>783</v>
      </c>
      <c r="B748" t="s">
        <v>17</v>
      </c>
      <c r="C748" s="14" t="s">
        <v>44</v>
      </c>
      <c r="D748" s="1">
        <v>45305</v>
      </c>
      <c r="E748" s="13">
        <v>45311</v>
      </c>
      <c r="F748" s="14" t="s">
        <v>14</v>
      </c>
      <c r="G748">
        <v>493</v>
      </c>
      <c r="H748">
        <v>8195.14</v>
      </c>
      <c r="I748">
        <v>8158.09</v>
      </c>
      <c r="J748">
        <v>7</v>
      </c>
      <c r="K748" s="14" t="s">
        <v>15</v>
      </c>
      <c r="L748" s="14">
        <f>IF(OR(Table1[[#This Row],[Order_Status]]="Delivered",Table1[[#This Row],[Delivery_Date]]&lt;&gt;"Not Yet Delivered"),Table1[[#This Row],[Delivery_Date]]-Table1[[#This Row],[Order_Date]],"Not Applicable")</f>
        <v>6</v>
      </c>
      <c r="M748" s="14">
        <f>Table1[[#This Row],[Unit_Cost]]-Table1[[#This Row],[Negotiated_Cost]]</f>
        <v>37.049999999999272</v>
      </c>
      <c r="N748" s="18">
        <f>Table1[[#This Row],[Defective_Units]]/Table1[[#This Row],[Quantity]]</f>
        <v>1.4198782961460446E-2</v>
      </c>
      <c r="O748" s="26">
        <f>(Table1[[#This Row],[Unit_Cost]]-Table1[[#This Row],[Negotiated_Cost]])/Table1[[#This Row],[Unit_Cost]]</f>
        <v>4.5209721859540255E-3</v>
      </c>
    </row>
    <row r="749" spans="1:15" x14ac:dyDescent="0.25">
      <c r="A749" t="s">
        <v>784</v>
      </c>
      <c r="B749" t="s">
        <v>27</v>
      </c>
      <c r="C749" s="14" t="s">
        <v>24</v>
      </c>
      <c r="D749" s="1">
        <v>45107</v>
      </c>
      <c r="E749" s="13">
        <v>45116</v>
      </c>
      <c r="F749" s="14" t="s">
        <v>14</v>
      </c>
      <c r="G749">
        <v>324</v>
      </c>
      <c r="H749">
        <v>12000.37</v>
      </c>
      <c r="I749">
        <v>11420.64</v>
      </c>
      <c r="J749">
        <v>5</v>
      </c>
      <c r="K749" s="14" t="s">
        <v>15</v>
      </c>
      <c r="L749" s="14">
        <f>IF(OR(Table1[[#This Row],[Order_Status]]="Delivered",Table1[[#This Row],[Delivery_Date]]&lt;&gt;"Not Yet Delivered"),Table1[[#This Row],[Delivery_Date]]-Table1[[#This Row],[Order_Date]],"Not Applicable")</f>
        <v>9</v>
      </c>
      <c r="M749" s="14">
        <f>Table1[[#This Row],[Unit_Cost]]-Table1[[#This Row],[Negotiated_Cost]]</f>
        <v>579.73000000000138</v>
      </c>
      <c r="N749" s="18">
        <f>Table1[[#This Row],[Defective_Units]]/Table1[[#This Row],[Quantity]]</f>
        <v>1.5432098765432098E-2</v>
      </c>
      <c r="O749" s="26">
        <f>(Table1[[#This Row],[Unit_Cost]]-Table1[[#This Row],[Negotiated_Cost]])/Table1[[#This Row],[Unit_Cost]]</f>
        <v>4.8309343795233092E-2</v>
      </c>
    </row>
    <row r="750" spans="1:15" x14ac:dyDescent="0.25">
      <c r="A750" t="s">
        <v>785</v>
      </c>
      <c r="B750" t="s">
        <v>12</v>
      </c>
      <c r="C750" s="14" t="s">
        <v>50</v>
      </c>
      <c r="D750" s="1">
        <v>45064</v>
      </c>
      <c r="E750" s="13">
        <v>45069</v>
      </c>
      <c r="F750" s="14" t="s">
        <v>14</v>
      </c>
      <c r="G750">
        <v>331</v>
      </c>
      <c r="H750">
        <v>54015.67</v>
      </c>
      <c r="I750">
        <v>51480.28</v>
      </c>
      <c r="J750">
        <v>5</v>
      </c>
      <c r="K750" s="14" t="s">
        <v>15</v>
      </c>
      <c r="L750" s="14">
        <f>IF(OR(Table1[[#This Row],[Order_Status]]="Delivered",Table1[[#This Row],[Delivery_Date]]&lt;&gt;"Not Yet Delivered"),Table1[[#This Row],[Delivery_Date]]-Table1[[#This Row],[Order_Date]],"Not Applicable")</f>
        <v>5</v>
      </c>
      <c r="M750" s="14">
        <f>Table1[[#This Row],[Unit_Cost]]-Table1[[#This Row],[Negotiated_Cost]]</f>
        <v>2535.3899999999994</v>
      </c>
      <c r="N750" s="18">
        <f>Table1[[#This Row],[Defective_Units]]/Table1[[#This Row],[Quantity]]</f>
        <v>1.5105740181268883E-2</v>
      </c>
      <c r="O750" s="26">
        <f>(Table1[[#This Row],[Unit_Cost]]-Table1[[#This Row],[Negotiated_Cost]])/Table1[[#This Row],[Unit_Cost]]</f>
        <v>4.6938045941113005E-2</v>
      </c>
    </row>
    <row r="751" spans="1:15" x14ac:dyDescent="0.25">
      <c r="A751" t="s">
        <v>786</v>
      </c>
      <c r="B751" t="s">
        <v>20</v>
      </c>
      <c r="C751" s="14" t="s">
        <v>44</v>
      </c>
      <c r="D751" s="1">
        <v>45531</v>
      </c>
      <c r="E751" s="13">
        <v>45556</v>
      </c>
      <c r="F751" s="14" t="s">
        <v>14</v>
      </c>
      <c r="G751">
        <v>98</v>
      </c>
      <c r="H751">
        <v>8265.4500000000007</v>
      </c>
      <c r="I751">
        <v>8257.2099999999991</v>
      </c>
      <c r="J751">
        <v>1</v>
      </c>
      <c r="K751" s="14" t="s">
        <v>15</v>
      </c>
      <c r="L751" s="14">
        <f>IF(OR(Table1[[#This Row],[Order_Status]]="Delivered",Table1[[#This Row],[Delivery_Date]]&lt;&gt;"Not Yet Delivered"),Table1[[#This Row],[Delivery_Date]]-Table1[[#This Row],[Order_Date]],"Not Applicable")</f>
        <v>25</v>
      </c>
      <c r="M751" s="14">
        <f>Table1[[#This Row],[Unit_Cost]]-Table1[[#This Row],[Negotiated_Cost]]</f>
        <v>8.2400000000016007</v>
      </c>
      <c r="N751" s="18">
        <f>Table1[[#This Row],[Defective_Units]]/Table1[[#This Row],[Quantity]]</f>
        <v>1.020408163265306E-2</v>
      </c>
      <c r="O751" s="26">
        <f>(Table1[[#This Row],[Unit_Cost]]-Table1[[#This Row],[Negotiated_Cost]])/Table1[[#This Row],[Unit_Cost]]</f>
        <v>9.9692091779656281E-4</v>
      </c>
    </row>
    <row r="752" spans="1:15" x14ac:dyDescent="0.25">
      <c r="A752" t="s">
        <v>787</v>
      </c>
      <c r="B752" t="s">
        <v>46</v>
      </c>
      <c r="C752" s="14" t="s">
        <v>48</v>
      </c>
      <c r="D752" s="1">
        <v>45461</v>
      </c>
      <c r="E752" s="14" t="s">
        <v>2057</v>
      </c>
      <c r="F752" s="14" t="s">
        <v>33</v>
      </c>
      <c r="G752">
        <v>87</v>
      </c>
      <c r="H752">
        <v>6576.45</v>
      </c>
      <c r="I752">
        <v>6202.51</v>
      </c>
      <c r="J752">
        <v>2</v>
      </c>
      <c r="K752" s="14" t="s">
        <v>15</v>
      </c>
      <c r="L752" s="14" t="str">
        <f>IF(OR(Table1[[#This Row],[Order_Status]]="Delivered",Table1[[#This Row],[Delivery_Date]]&lt;&gt;"Not Yet Delivered"),Table1[[#This Row],[Delivery_Date]]-Table1[[#This Row],[Order_Date]],"Not Applicable")</f>
        <v>Not Applicable</v>
      </c>
      <c r="M752" s="14">
        <f>Table1[[#This Row],[Unit_Cost]]-Table1[[#This Row],[Negotiated_Cost]]</f>
        <v>373.9399999999996</v>
      </c>
      <c r="N752" s="18">
        <f>Table1[[#This Row],[Defective_Units]]/Table1[[#This Row],[Quantity]]</f>
        <v>2.2988505747126436E-2</v>
      </c>
      <c r="O752" s="26">
        <f>(Table1[[#This Row],[Unit_Cost]]-Table1[[#This Row],[Negotiated_Cost]])/Table1[[#This Row],[Unit_Cost]]</f>
        <v>5.6860464232222491E-2</v>
      </c>
    </row>
    <row r="753" spans="1:15" x14ac:dyDescent="0.25">
      <c r="A753" t="s">
        <v>788</v>
      </c>
      <c r="B753" t="s">
        <v>40</v>
      </c>
      <c r="C753" s="14" t="s">
        <v>42</v>
      </c>
      <c r="D753" s="1">
        <v>45054</v>
      </c>
      <c r="E753" s="13">
        <v>45070</v>
      </c>
      <c r="F753" s="14" t="s">
        <v>14</v>
      </c>
      <c r="G753">
        <v>194</v>
      </c>
      <c r="H753">
        <v>13497.06</v>
      </c>
      <c r="I753">
        <v>13276.11</v>
      </c>
      <c r="J753">
        <v>3</v>
      </c>
      <c r="K753" s="14" t="s">
        <v>15</v>
      </c>
      <c r="L753" s="14">
        <f>IF(OR(Table1[[#This Row],[Order_Status]]="Delivered",Table1[[#This Row],[Delivery_Date]]&lt;&gt;"Not Yet Delivered"),Table1[[#This Row],[Delivery_Date]]-Table1[[#This Row],[Order_Date]],"Not Applicable")</f>
        <v>16</v>
      </c>
      <c r="M753" s="14">
        <f>Table1[[#This Row],[Unit_Cost]]-Table1[[#This Row],[Negotiated_Cost]]</f>
        <v>220.94999999999891</v>
      </c>
      <c r="N753" s="18">
        <f>Table1[[#This Row],[Defective_Units]]/Table1[[#This Row],[Quantity]]</f>
        <v>1.5463917525773196E-2</v>
      </c>
      <c r="O753" s="26">
        <f>(Table1[[#This Row],[Unit_Cost]]-Table1[[#This Row],[Negotiated_Cost]])/Table1[[#This Row],[Unit_Cost]]</f>
        <v>1.6370231739356492E-2</v>
      </c>
    </row>
    <row r="754" spans="1:15" x14ac:dyDescent="0.25">
      <c r="A754" t="s">
        <v>789</v>
      </c>
      <c r="B754" t="s">
        <v>46</v>
      </c>
      <c r="C754" s="14" t="s">
        <v>13</v>
      </c>
      <c r="D754" s="1">
        <v>45519</v>
      </c>
      <c r="E754" s="13">
        <v>45526</v>
      </c>
      <c r="F754" s="14" t="s">
        <v>14</v>
      </c>
      <c r="G754">
        <v>409</v>
      </c>
      <c r="H754">
        <v>3920.9</v>
      </c>
      <c r="I754">
        <v>3882.14</v>
      </c>
      <c r="J754">
        <v>5</v>
      </c>
      <c r="K754" s="14" t="s">
        <v>15</v>
      </c>
      <c r="L754" s="14">
        <f>IF(OR(Table1[[#This Row],[Order_Status]]="Delivered",Table1[[#This Row],[Delivery_Date]]&lt;&gt;"Not Yet Delivered"),Table1[[#This Row],[Delivery_Date]]-Table1[[#This Row],[Order_Date]],"Not Applicable")</f>
        <v>7</v>
      </c>
      <c r="M754" s="14">
        <f>Table1[[#This Row],[Unit_Cost]]-Table1[[#This Row],[Negotiated_Cost]]</f>
        <v>38.760000000000218</v>
      </c>
      <c r="N754" s="18">
        <f>Table1[[#This Row],[Defective_Units]]/Table1[[#This Row],[Quantity]]</f>
        <v>1.2224938875305624E-2</v>
      </c>
      <c r="O754" s="26">
        <f>(Table1[[#This Row],[Unit_Cost]]-Table1[[#This Row],[Negotiated_Cost]])/Table1[[#This Row],[Unit_Cost]]</f>
        <v>9.885485475273589E-3</v>
      </c>
    </row>
    <row r="755" spans="1:15" x14ac:dyDescent="0.25">
      <c r="A755" t="s">
        <v>790</v>
      </c>
      <c r="B755" t="s">
        <v>46</v>
      </c>
      <c r="C755" s="14" t="s">
        <v>55</v>
      </c>
      <c r="D755" s="1">
        <v>45464</v>
      </c>
      <c r="E755" s="14" t="s">
        <v>2057</v>
      </c>
      <c r="F755" s="14" t="s">
        <v>33</v>
      </c>
      <c r="G755">
        <v>75</v>
      </c>
      <c r="H755">
        <v>15087.6</v>
      </c>
      <c r="I755">
        <v>14968.08</v>
      </c>
      <c r="J755">
        <v>2</v>
      </c>
      <c r="K755" s="14" t="s">
        <v>15</v>
      </c>
      <c r="L755" s="14" t="str">
        <f>IF(OR(Table1[[#This Row],[Order_Status]]="Delivered",Table1[[#This Row],[Delivery_Date]]&lt;&gt;"Not Yet Delivered"),Table1[[#This Row],[Delivery_Date]]-Table1[[#This Row],[Order_Date]],"Not Applicable")</f>
        <v>Not Applicable</v>
      </c>
      <c r="M755" s="14">
        <f>Table1[[#This Row],[Unit_Cost]]-Table1[[#This Row],[Negotiated_Cost]]</f>
        <v>119.52000000000044</v>
      </c>
      <c r="N755" s="18">
        <f>Table1[[#This Row],[Defective_Units]]/Table1[[#This Row],[Quantity]]</f>
        <v>2.6666666666666668E-2</v>
      </c>
      <c r="O755" s="26">
        <f>(Table1[[#This Row],[Unit_Cost]]-Table1[[#This Row],[Negotiated_Cost]])/Table1[[#This Row],[Unit_Cost]]</f>
        <v>7.9217370555953528E-3</v>
      </c>
    </row>
    <row r="756" spans="1:15" x14ac:dyDescent="0.25">
      <c r="A756" t="s">
        <v>791</v>
      </c>
      <c r="B756" t="s">
        <v>12</v>
      </c>
      <c r="C756" s="14" t="s">
        <v>24</v>
      </c>
      <c r="D756" s="1">
        <v>45624</v>
      </c>
      <c r="E756" s="13">
        <v>45653</v>
      </c>
      <c r="F756" s="14" t="s">
        <v>14</v>
      </c>
      <c r="G756">
        <v>330</v>
      </c>
      <c r="H756">
        <v>13605.32</v>
      </c>
      <c r="I756">
        <v>13578.65</v>
      </c>
      <c r="J756">
        <v>8</v>
      </c>
      <c r="K756" s="14" t="s">
        <v>15</v>
      </c>
      <c r="L756" s="14">
        <f>IF(OR(Table1[[#This Row],[Order_Status]]="Delivered",Table1[[#This Row],[Delivery_Date]]&lt;&gt;"Not Yet Delivered"),Table1[[#This Row],[Delivery_Date]]-Table1[[#This Row],[Order_Date]],"Not Applicable")</f>
        <v>29</v>
      </c>
      <c r="M756" s="14">
        <f>Table1[[#This Row],[Unit_Cost]]-Table1[[#This Row],[Negotiated_Cost]]</f>
        <v>26.670000000000073</v>
      </c>
      <c r="N756" s="18">
        <f>Table1[[#This Row],[Defective_Units]]/Table1[[#This Row],[Quantity]]</f>
        <v>2.4242424242424242E-2</v>
      </c>
      <c r="O756" s="26">
        <f>(Table1[[#This Row],[Unit_Cost]]-Table1[[#This Row],[Negotiated_Cost]])/Table1[[#This Row],[Unit_Cost]]</f>
        <v>1.9602626031581818E-3</v>
      </c>
    </row>
    <row r="757" spans="1:15" x14ac:dyDescent="0.25">
      <c r="A757" t="s">
        <v>792</v>
      </c>
      <c r="B757" t="s">
        <v>27</v>
      </c>
      <c r="C757" s="14" t="s">
        <v>55</v>
      </c>
      <c r="D757" s="1">
        <v>44936</v>
      </c>
      <c r="E757" s="13">
        <v>44942</v>
      </c>
      <c r="F757" s="14" t="s">
        <v>14</v>
      </c>
      <c r="G757">
        <v>96</v>
      </c>
      <c r="H757">
        <v>15234.18</v>
      </c>
      <c r="I757">
        <v>14610.15</v>
      </c>
      <c r="J757">
        <v>0</v>
      </c>
      <c r="K757" s="14" t="s">
        <v>15</v>
      </c>
      <c r="L757" s="14">
        <f>IF(OR(Table1[[#This Row],[Order_Status]]="Delivered",Table1[[#This Row],[Delivery_Date]]&lt;&gt;"Not Yet Delivered"),Table1[[#This Row],[Delivery_Date]]-Table1[[#This Row],[Order_Date]],"Not Applicable")</f>
        <v>6</v>
      </c>
      <c r="M757" s="14">
        <f>Table1[[#This Row],[Unit_Cost]]-Table1[[#This Row],[Negotiated_Cost]]</f>
        <v>624.03000000000065</v>
      </c>
      <c r="N757" s="18">
        <f>Table1[[#This Row],[Defective_Units]]/Table1[[#This Row],[Quantity]]</f>
        <v>0</v>
      </c>
      <c r="O757" s="26">
        <f>(Table1[[#This Row],[Unit_Cost]]-Table1[[#This Row],[Negotiated_Cost]])/Table1[[#This Row],[Unit_Cost]]</f>
        <v>4.0962493550686721E-2</v>
      </c>
    </row>
    <row r="758" spans="1:15" x14ac:dyDescent="0.25">
      <c r="A758" t="s">
        <v>793</v>
      </c>
      <c r="B758" t="s">
        <v>20</v>
      </c>
      <c r="C758" s="14" t="s">
        <v>42</v>
      </c>
      <c r="D758" s="1">
        <v>45365</v>
      </c>
      <c r="E758" s="13">
        <v>45387</v>
      </c>
      <c r="F758" s="14" t="s">
        <v>14</v>
      </c>
      <c r="G758">
        <v>370</v>
      </c>
      <c r="H758">
        <v>11872.42</v>
      </c>
      <c r="I758">
        <v>11840.49</v>
      </c>
      <c r="J758">
        <v>4</v>
      </c>
      <c r="K758" s="14" t="s">
        <v>15</v>
      </c>
      <c r="L758" s="14">
        <f>IF(OR(Table1[[#This Row],[Order_Status]]="Delivered",Table1[[#This Row],[Delivery_Date]]&lt;&gt;"Not Yet Delivered"),Table1[[#This Row],[Delivery_Date]]-Table1[[#This Row],[Order_Date]],"Not Applicable")</f>
        <v>22</v>
      </c>
      <c r="M758" s="14">
        <f>Table1[[#This Row],[Unit_Cost]]-Table1[[#This Row],[Negotiated_Cost]]</f>
        <v>31.930000000000291</v>
      </c>
      <c r="N758" s="18">
        <f>Table1[[#This Row],[Defective_Units]]/Table1[[#This Row],[Quantity]]</f>
        <v>1.0810810810810811E-2</v>
      </c>
      <c r="O758" s="26">
        <f>(Table1[[#This Row],[Unit_Cost]]-Table1[[#This Row],[Negotiated_Cost]])/Table1[[#This Row],[Unit_Cost]]</f>
        <v>2.6894264185398E-3</v>
      </c>
    </row>
    <row r="759" spans="1:15" x14ac:dyDescent="0.25">
      <c r="A759" t="s">
        <v>794</v>
      </c>
      <c r="B759" t="s">
        <v>12</v>
      </c>
      <c r="C759" s="14" t="s">
        <v>30</v>
      </c>
      <c r="D759" s="1">
        <v>44932</v>
      </c>
      <c r="E759" s="13">
        <v>44958</v>
      </c>
      <c r="F759" s="14" t="s">
        <v>37</v>
      </c>
      <c r="G759">
        <v>153</v>
      </c>
      <c r="H759">
        <v>951.82</v>
      </c>
      <c r="I759">
        <v>916.78</v>
      </c>
      <c r="J759">
        <v>1</v>
      </c>
      <c r="K759" s="14" t="s">
        <v>15</v>
      </c>
      <c r="L759" s="14">
        <f>IF(OR(Table1[[#This Row],[Order_Status]]="Delivered",Table1[[#This Row],[Delivery_Date]]&lt;&gt;"Not Yet Delivered"),Table1[[#This Row],[Delivery_Date]]-Table1[[#This Row],[Order_Date]],"Not Applicable")</f>
        <v>26</v>
      </c>
      <c r="M759" s="14">
        <f>Table1[[#This Row],[Unit_Cost]]-Table1[[#This Row],[Negotiated_Cost]]</f>
        <v>35.040000000000077</v>
      </c>
      <c r="N759" s="18">
        <f>Table1[[#This Row],[Defective_Units]]/Table1[[#This Row],[Quantity]]</f>
        <v>6.5359477124183009E-3</v>
      </c>
      <c r="O759" s="26">
        <f>(Table1[[#This Row],[Unit_Cost]]-Table1[[#This Row],[Negotiated_Cost]])/Table1[[#This Row],[Unit_Cost]]</f>
        <v>3.6813683259439886E-2</v>
      </c>
    </row>
    <row r="760" spans="1:15" x14ac:dyDescent="0.25">
      <c r="A760" t="s">
        <v>795</v>
      </c>
      <c r="B760" t="s">
        <v>46</v>
      </c>
      <c r="C760" s="14" t="s">
        <v>50</v>
      </c>
      <c r="D760" s="1">
        <v>44972</v>
      </c>
      <c r="E760" s="13">
        <v>45002</v>
      </c>
      <c r="F760" s="14" t="s">
        <v>14</v>
      </c>
      <c r="G760">
        <v>148</v>
      </c>
      <c r="H760">
        <v>53491.45</v>
      </c>
      <c r="I760">
        <v>50474.559999999998</v>
      </c>
      <c r="J760">
        <v>3</v>
      </c>
      <c r="K760" s="14" t="s">
        <v>25</v>
      </c>
      <c r="L760" s="14">
        <f>IF(OR(Table1[[#This Row],[Order_Status]]="Delivered",Table1[[#This Row],[Delivery_Date]]&lt;&gt;"Not Yet Delivered"),Table1[[#This Row],[Delivery_Date]]-Table1[[#This Row],[Order_Date]],"Not Applicable")</f>
        <v>30</v>
      </c>
      <c r="M760" s="14">
        <f>Table1[[#This Row],[Unit_Cost]]-Table1[[#This Row],[Negotiated_Cost]]</f>
        <v>3016.8899999999994</v>
      </c>
      <c r="N760" s="18">
        <f>Table1[[#This Row],[Defective_Units]]/Table1[[#This Row],[Quantity]]</f>
        <v>2.0270270270270271E-2</v>
      </c>
      <c r="O760" s="26">
        <f>(Table1[[#This Row],[Unit_Cost]]-Table1[[#This Row],[Negotiated_Cost]])/Table1[[#This Row],[Unit_Cost]]</f>
        <v>5.6399480664666962E-2</v>
      </c>
    </row>
    <row r="761" spans="1:15" x14ac:dyDescent="0.25">
      <c r="A761" t="s">
        <v>796</v>
      </c>
      <c r="B761" t="s">
        <v>12</v>
      </c>
      <c r="C761" s="14" t="s">
        <v>55</v>
      </c>
      <c r="D761" s="1">
        <v>45128</v>
      </c>
      <c r="E761" s="13">
        <v>45142</v>
      </c>
      <c r="F761" s="14" t="s">
        <v>14</v>
      </c>
      <c r="G761">
        <v>470</v>
      </c>
      <c r="H761">
        <v>15111.08</v>
      </c>
      <c r="I761">
        <v>14512.4</v>
      </c>
      <c r="J761">
        <v>3</v>
      </c>
      <c r="K761" s="14" t="s">
        <v>15</v>
      </c>
      <c r="L761" s="14">
        <f>IF(OR(Table1[[#This Row],[Order_Status]]="Delivered",Table1[[#This Row],[Delivery_Date]]&lt;&gt;"Not Yet Delivered"),Table1[[#This Row],[Delivery_Date]]-Table1[[#This Row],[Order_Date]],"Not Applicable")</f>
        <v>14</v>
      </c>
      <c r="M761" s="14">
        <f>Table1[[#This Row],[Unit_Cost]]-Table1[[#This Row],[Negotiated_Cost]]</f>
        <v>598.68000000000029</v>
      </c>
      <c r="N761" s="18">
        <f>Table1[[#This Row],[Defective_Units]]/Table1[[#This Row],[Quantity]]</f>
        <v>6.382978723404255E-3</v>
      </c>
      <c r="O761" s="26">
        <f>(Table1[[#This Row],[Unit_Cost]]-Table1[[#This Row],[Negotiated_Cost]])/Table1[[#This Row],[Unit_Cost]]</f>
        <v>3.9618610979493214E-2</v>
      </c>
    </row>
    <row r="762" spans="1:15" x14ac:dyDescent="0.25">
      <c r="A762" t="s">
        <v>797</v>
      </c>
      <c r="B762" t="s">
        <v>17</v>
      </c>
      <c r="C762" s="14" t="s">
        <v>18</v>
      </c>
      <c r="D762" s="1">
        <v>45553</v>
      </c>
      <c r="E762" s="13">
        <v>45568</v>
      </c>
      <c r="F762" s="14" t="s">
        <v>14</v>
      </c>
      <c r="G762">
        <v>323</v>
      </c>
      <c r="H762">
        <v>4877.96</v>
      </c>
      <c r="I762">
        <v>4699.5200000000004</v>
      </c>
      <c r="J762">
        <v>8</v>
      </c>
      <c r="K762" s="14" t="s">
        <v>15</v>
      </c>
      <c r="L762" s="14">
        <f>IF(OR(Table1[[#This Row],[Order_Status]]="Delivered",Table1[[#This Row],[Delivery_Date]]&lt;&gt;"Not Yet Delivered"),Table1[[#This Row],[Delivery_Date]]-Table1[[#This Row],[Order_Date]],"Not Applicable")</f>
        <v>15</v>
      </c>
      <c r="M762" s="14">
        <f>Table1[[#This Row],[Unit_Cost]]-Table1[[#This Row],[Negotiated_Cost]]</f>
        <v>178.4399999999996</v>
      </c>
      <c r="N762" s="18">
        <f>Table1[[#This Row],[Defective_Units]]/Table1[[#This Row],[Quantity]]</f>
        <v>2.4767801857585141E-2</v>
      </c>
      <c r="O762" s="26">
        <f>(Table1[[#This Row],[Unit_Cost]]-Table1[[#This Row],[Negotiated_Cost]])/Table1[[#This Row],[Unit_Cost]]</f>
        <v>3.6580865771756961E-2</v>
      </c>
    </row>
    <row r="763" spans="1:15" x14ac:dyDescent="0.25">
      <c r="A763" t="s">
        <v>798</v>
      </c>
      <c r="B763" t="s">
        <v>20</v>
      </c>
      <c r="C763" s="14" t="s">
        <v>36</v>
      </c>
      <c r="D763" s="1">
        <v>45374</v>
      </c>
      <c r="E763" s="13">
        <v>45385</v>
      </c>
      <c r="F763" s="14" t="s">
        <v>14</v>
      </c>
      <c r="G763">
        <v>207</v>
      </c>
      <c r="H763">
        <v>529.28</v>
      </c>
      <c r="I763">
        <v>512.6</v>
      </c>
      <c r="J763">
        <v>5</v>
      </c>
      <c r="K763" s="14" t="s">
        <v>15</v>
      </c>
      <c r="L763" s="14">
        <f>IF(OR(Table1[[#This Row],[Order_Status]]="Delivered",Table1[[#This Row],[Delivery_Date]]&lt;&gt;"Not Yet Delivered"),Table1[[#This Row],[Delivery_Date]]-Table1[[#This Row],[Order_Date]],"Not Applicable")</f>
        <v>11</v>
      </c>
      <c r="M763" s="14">
        <f>Table1[[#This Row],[Unit_Cost]]-Table1[[#This Row],[Negotiated_Cost]]</f>
        <v>16.67999999999995</v>
      </c>
      <c r="N763" s="18">
        <f>Table1[[#This Row],[Defective_Units]]/Table1[[#This Row],[Quantity]]</f>
        <v>2.4154589371980676E-2</v>
      </c>
      <c r="O763" s="26">
        <f>(Table1[[#This Row],[Unit_Cost]]-Table1[[#This Row],[Negotiated_Cost]])/Table1[[#This Row],[Unit_Cost]]</f>
        <v>3.1514510278113569E-2</v>
      </c>
    </row>
    <row r="764" spans="1:15" x14ac:dyDescent="0.25">
      <c r="A764" t="s">
        <v>799</v>
      </c>
      <c r="B764" t="s">
        <v>17</v>
      </c>
      <c r="C764" s="14" t="s">
        <v>13</v>
      </c>
      <c r="D764" s="1">
        <v>45112</v>
      </c>
      <c r="E764" s="13">
        <v>45119</v>
      </c>
      <c r="F764" s="14" t="s">
        <v>14</v>
      </c>
      <c r="G764">
        <v>253</v>
      </c>
      <c r="H764">
        <v>3828.52</v>
      </c>
      <c r="I764">
        <v>3607.16</v>
      </c>
      <c r="J764">
        <v>4</v>
      </c>
      <c r="K764" s="14" t="s">
        <v>15</v>
      </c>
      <c r="L764" s="14">
        <f>IF(OR(Table1[[#This Row],[Order_Status]]="Delivered",Table1[[#This Row],[Delivery_Date]]&lt;&gt;"Not Yet Delivered"),Table1[[#This Row],[Delivery_Date]]-Table1[[#This Row],[Order_Date]],"Not Applicable")</f>
        <v>7</v>
      </c>
      <c r="M764" s="14">
        <f>Table1[[#This Row],[Unit_Cost]]-Table1[[#This Row],[Negotiated_Cost]]</f>
        <v>221.36000000000013</v>
      </c>
      <c r="N764" s="18">
        <f>Table1[[#This Row],[Defective_Units]]/Table1[[#This Row],[Quantity]]</f>
        <v>1.5810276679841896E-2</v>
      </c>
      <c r="O764" s="26">
        <f>(Table1[[#This Row],[Unit_Cost]]-Table1[[#This Row],[Negotiated_Cost]])/Table1[[#This Row],[Unit_Cost]]</f>
        <v>5.7818687116692649E-2</v>
      </c>
    </row>
    <row r="765" spans="1:15" x14ac:dyDescent="0.25">
      <c r="A765" t="s">
        <v>800</v>
      </c>
      <c r="B765" t="s">
        <v>17</v>
      </c>
      <c r="C765" s="14" t="s">
        <v>18</v>
      </c>
      <c r="D765" s="1">
        <v>45654</v>
      </c>
      <c r="E765" s="13">
        <v>45658</v>
      </c>
      <c r="F765" s="14" t="s">
        <v>14</v>
      </c>
      <c r="G765">
        <v>180</v>
      </c>
      <c r="H765">
        <v>4902.37</v>
      </c>
      <c r="I765">
        <v>4799.97</v>
      </c>
      <c r="J765">
        <v>1</v>
      </c>
      <c r="K765" s="14" t="s">
        <v>15</v>
      </c>
      <c r="L765" s="14">
        <f>IF(OR(Table1[[#This Row],[Order_Status]]="Delivered",Table1[[#This Row],[Delivery_Date]]&lt;&gt;"Not Yet Delivered"),Table1[[#This Row],[Delivery_Date]]-Table1[[#This Row],[Order_Date]],"Not Applicable")</f>
        <v>4</v>
      </c>
      <c r="M765" s="14">
        <f>Table1[[#This Row],[Unit_Cost]]-Table1[[#This Row],[Negotiated_Cost]]</f>
        <v>102.39999999999964</v>
      </c>
      <c r="N765" s="18">
        <f>Table1[[#This Row],[Defective_Units]]/Table1[[#This Row],[Quantity]]</f>
        <v>5.5555555555555558E-3</v>
      </c>
      <c r="O765" s="26">
        <f>(Table1[[#This Row],[Unit_Cost]]-Table1[[#This Row],[Negotiated_Cost]])/Table1[[#This Row],[Unit_Cost]]</f>
        <v>2.0887856281757527E-2</v>
      </c>
    </row>
    <row r="766" spans="1:15" x14ac:dyDescent="0.25">
      <c r="A766" t="s">
        <v>801</v>
      </c>
      <c r="B766" t="s">
        <v>12</v>
      </c>
      <c r="C766" s="14" t="s">
        <v>42</v>
      </c>
      <c r="D766" s="1">
        <v>45096</v>
      </c>
      <c r="E766" s="14" t="s">
        <v>2057</v>
      </c>
      <c r="F766" s="14" t="s">
        <v>33</v>
      </c>
      <c r="G766">
        <v>43</v>
      </c>
      <c r="H766">
        <v>12506.42</v>
      </c>
      <c r="I766">
        <v>12369.69</v>
      </c>
      <c r="J766">
        <v>2</v>
      </c>
      <c r="K766" s="14" t="s">
        <v>25</v>
      </c>
      <c r="L766" s="14" t="str">
        <f>IF(OR(Table1[[#This Row],[Order_Status]]="Delivered",Table1[[#This Row],[Delivery_Date]]&lt;&gt;"Not Yet Delivered"),Table1[[#This Row],[Delivery_Date]]-Table1[[#This Row],[Order_Date]],"Not Applicable")</f>
        <v>Not Applicable</v>
      </c>
      <c r="M766" s="14">
        <f>Table1[[#This Row],[Unit_Cost]]-Table1[[#This Row],[Negotiated_Cost]]</f>
        <v>136.72999999999956</v>
      </c>
      <c r="N766" s="18">
        <f>Table1[[#This Row],[Defective_Units]]/Table1[[#This Row],[Quantity]]</f>
        <v>4.6511627906976744E-2</v>
      </c>
      <c r="O766" s="26">
        <f>(Table1[[#This Row],[Unit_Cost]]-Table1[[#This Row],[Negotiated_Cost]])/Table1[[#This Row],[Unit_Cost]]</f>
        <v>1.0932784921664199E-2</v>
      </c>
    </row>
    <row r="767" spans="1:15" x14ac:dyDescent="0.25">
      <c r="A767" t="s">
        <v>802</v>
      </c>
      <c r="B767" t="s">
        <v>35</v>
      </c>
      <c r="C767" s="14" t="s">
        <v>18</v>
      </c>
      <c r="D767" s="1">
        <v>45639</v>
      </c>
      <c r="E767" s="13">
        <v>45650</v>
      </c>
      <c r="F767" s="14" t="s">
        <v>14</v>
      </c>
      <c r="G767">
        <v>132</v>
      </c>
      <c r="H767">
        <v>5268.45</v>
      </c>
      <c r="I767">
        <v>5033.2299999999996</v>
      </c>
      <c r="J767">
        <v>3</v>
      </c>
      <c r="K767" s="14" t="s">
        <v>15</v>
      </c>
      <c r="L767" s="14">
        <f>IF(OR(Table1[[#This Row],[Order_Status]]="Delivered",Table1[[#This Row],[Delivery_Date]]&lt;&gt;"Not Yet Delivered"),Table1[[#This Row],[Delivery_Date]]-Table1[[#This Row],[Order_Date]],"Not Applicable")</f>
        <v>11</v>
      </c>
      <c r="M767" s="14">
        <f>Table1[[#This Row],[Unit_Cost]]-Table1[[#This Row],[Negotiated_Cost]]</f>
        <v>235.22000000000025</v>
      </c>
      <c r="N767" s="18">
        <f>Table1[[#This Row],[Defective_Units]]/Table1[[#This Row],[Quantity]]</f>
        <v>2.2727272727272728E-2</v>
      </c>
      <c r="O767" s="26">
        <f>(Table1[[#This Row],[Unit_Cost]]-Table1[[#This Row],[Negotiated_Cost]])/Table1[[#This Row],[Unit_Cost]]</f>
        <v>4.4646907534474138E-2</v>
      </c>
    </row>
    <row r="768" spans="1:15" x14ac:dyDescent="0.25">
      <c r="A768" t="s">
        <v>803</v>
      </c>
      <c r="B768" t="s">
        <v>35</v>
      </c>
      <c r="C768" s="14" t="s">
        <v>24</v>
      </c>
      <c r="D768" s="1">
        <v>45129</v>
      </c>
      <c r="E768" s="13">
        <v>45136</v>
      </c>
      <c r="F768" s="14" t="s">
        <v>14</v>
      </c>
      <c r="G768">
        <v>275</v>
      </c>
      <c r="H768">
        <v>12144.62</v>
      </c>
      <c r="I768">
        <v>11943.79</v>
      </c>
      <c r="J768">
        <v>2</v>
      </c>
      <c r="K768" s="14" t="s">
        <v>15</v>
      </c>
      <c r="L768" s="14">
        <f>IF(OR(Table1[[#This Row],[Order_Status]]="Delivered",Table1[[#This Row],[Delivery_Date]]&lt;&gt;"Not Yet Delivered"),Table1[[#This Row],[Delivery_Date]]-Table1[[#This Row],[Order_Date]],"Not Applicable")</f>
        <v>7</v>
      </c>
      <c r="M768" s="14">
        <f>Table1[[#This Row],[Unit_Cost]]-Table1[[#This Row],[Negotiated_Cost]]</f>
        <v>200.82999999999993</v>
      </c>
      <c r="N768" s="18">
        <f>Table1[[#This Row],[Defective_Units]]/Table1[[#This Row],[Quantity]]</f>
        <v>7.2727272727272727E-3</v>
      </c>
      <c r="O768" s="26">
        <f>(Table1[[#This Row],[Unit_Cost]]-Table1[[#This Row],[Negotiated_Cost]])/Table1[[#This Row],[Unit_Cost]]</f>
        <v>1.6536540459890874E-2</v>
      </c>
    </row>
    <row r="769" spans="1:15" x14ac:dyDescent="0.25">
      <c r="A769" t="s">
        <v>804</v>
      </c>
      <c r="B769" t="s">
        <v>20</v>
      </c>
      <c r="C769" s="14" t="s">
        <v>30</v>
      </c>
      <c r="D769" s="1">
        <v>45526</v>
      </c>
      <c r="E769" s="13">
        <v>45553</v>
      </c>
      <c r="F769" s="14" t="s">
        <v>14</v>
      </c>
      <c r="G769">
        <v>6</v>
      </c>
      <c r="H769">
        <v>836.98</v>
      </c>
      <c r="I769">
        <v>807.75</v>
      </c>
      <c r="J769">
        <v>0</v>
      </c>
      <c r="K769" s="14" t="s">
        <v>15</v>
      </c>
      <c r="L769" s="14">
        <f>IF(OR(Table1[[#This Row],[Order_Status]]="Delivered",Table1[[#This Row],[Delivery_Date]]&lt;&gt;"Not Yet Delivered"),Table1[[#This Row],[Delivery_Date]]-Table1[[#This Row],[Order_Date]],"Not Applicable")</f>
        <v>27</v>
      </c>
      <c r="M769" s="14">
        <f>Table1[[#This Row],[Unit_Cost]]-Table1[[#This Row],[Negotiated_Cost]]</f>
        <v>29.230000000000018</v>
      </c>
      <c r="N769" s="18">
        <f>Table1[[#This Row],[Defective_Units]]/Table1[[#This Row],[Quantity]]</f>
        <v>0</v>
      </c>
      <c r="O769" s="26">
        <f>(Table1[[#This Row],[Unit_Cost]]-Table1[[#This Row],[Negotiated_Cost]])/Table1[[#This Row],[Unit_Cost]]</f>
        <v>3.4923176181031829E-2</v>
      </c>
    </row>
    <row r="770" spans="1:15" x14ac:dyDescent="0.25">
      <c r="A770" t="s">
        <v>805</v>
      </c>
      <c r="B770" t="s">
        <v>20</v>
      </c>
      <c r="C770" s="14" t="s">
        <v>18</v>
      </c>
      <c r="D770" s="1">
        <v>45393</v>
      </c>
      <c r="E770" s="13">
        <v>45415</v>
      </c>
      <c r="F770" s="14" t="s">
        <v>37</v>
      </c>
      <c r="G770">
        <v>390</v>
      </c>
      <c r="H770">
        <v>4924.9399999999996</v>
      </c>
      <c r="I770">
        <v>4864.6499999999996</v>
      </c>
      <c r="J770">
        <v>4</v>
      </c>
      <c r="K770" s="14" t="s">
        <v>15</v>
      </c>
      <c r="L770" s="14">
        <f>IF(OR(Table1[[#This Row],[Order_Status]]="Delivered",Table1[[#This Row],[Delivery_Date]]&lt;&gt;"Not Yet Delivered"),Table1[[#This Row],[Delivery_Date]]-Table1[[#This Row],[Order_Date]],"Not Applicable")</f>
        <v>22</v>
      </c>
      <c r="M770" s="14">
        <f>Table1[[#This Row],[Unit_Cost]]-Table1[[#This Row],[Negotiated_Cost]]</f>
        <v>60.289999999999964</v>
      </c>
      <c r="N770" s="18">
        <f>Table1[[#This Row],[Defective_Units]]/Table1[[#This Row],[Quantity]]</f>
        <v>1.0256410256410256E-2</v>
      </c>
      <c r="O770" s="26">
        <f>(Table1[[#This Row],[Unit_Cost]]-Table1[[#This Row],[Negotiated_Cost]])/Table1[[#This Row],[Unit_Cost]]</f>
        <v>1.2241773503839634E-2</v>
      </c>
    </row>
    <row r="771" spans="1:15" x14ac:dyDescent="0.25">
      <c r="A771" t="s">
        <v>806</v>
      </c>
      <c r="B771" t="s">
        <v>35</v>
      </c>
      <c r="C771" s="14" t="s">
        <v>50</v>
      </c>
      <c r="D771" s="1">
        <v>45196</v>
      </c>
      <c r="E771" s="14" t="s">
        <v>2057</v>
      </c>
      <c r="F771" s="14" t="s">
        <v>33</v>
      </c>
      <c r="G771">
        <v>296</v>
      </c>
      <c r="H771">
        <v>50417.21</v>
      </c>
      <c r="I771">
        <v>47583.519999999997</v>
      </c>
      <c r="J771">
        <v>2</v>
      </c>
      <c r="K771" s="14" t="s">
        <v>15</v>
      </c>
      <c r="L771" s="14" t="str">
        <f>IF(OR(Table1[[#This Row],[Order_Status]]="Delivered",Table1[[#This Row],[Delivery_Date]]&lt;&gt;"Not Yet Delivered"),Table1[[#This Row],[Delivery_Date]]-Table1[[#This Row],[Order_Date]],"Not Applicable")</f>
        <v>Not Applicable</v>
      </c>
      <c r="M771" s="14">
        <f>Table1[[#This Row],[Unit_Cost]]-Table1[[#This Row],[Negotiated_Cost]]</f>
        <v>2833.6900000000023</v>
      </c>
      <c r="N771" s="18">
        <f>Table1[[#This Row],[Defective_Units]]/Table1[[#This Row],[Quantity]]</f>
        <v>6.7567567567567571E-3</v>
      </c>
      <c r="O771" s="26">
        <f>(Table1[[#This Row],[Unit_Cost]]-Table1[[#This Row],[Negotiated_Cost]])/Table1[[#This Row],[Unit_Cost]]</f>
        <v>5.6204815776200276E-2</v>
      </c>
    </row>
    <row r="772" spans="1:15" x14ac:dyDescent="0.25">
      <c r="A772" t="s">
        <v>807</v>
      </c>
      <c r="B772" t="s">
        <v>32</v>
      </c>
      <c r="C772" s="14" t="s">
        <v>18</v>
      </c>
      <c r="D772" s="1">
        <v>45464</v>
      </c>
      <c r="E772" s="13">
        <v>45482</v>
      </c>
      <c r="F772" s="14" t="s">
        <v>37</v>
      </c>
      <c r="G772">
        <v>198</v>
      </c>
      <c r="H772">
        <v>4799.83</v>
      </c>
      <c r="I772">
        <v>4700.6000000000004</v>
      </c>
      <c r="J772">
        <v>0</v>
      </c>
      <c r="K772" s="14" t="s">
        <v>15</v>
      </c>
      <c r="L772" s="14">
        <f>IF(OR(Table1[[#This Row],[Order_Status]]="Delivered",Table1[[#This Row],[Delivery_Date]]&lt;&gt;"Not Yet Delivered"),Table1[[#This Row],[Delivery_Date]]-Table1[[#This Row],[Order_Date]],"Not Applicable")</f>
        <v>18</v>
      </c>
      <c r="M772" s="14">
        <f>Table1[[#This Row],[Unit_Cost]]-Table1[[#This Row],[Negotiated_Cost]]</f>
        <v>99.229999999999563</v>
      </c>
      <c r="N772" s="18">
        <f>Table1[[#This Row],[Defective_Units]]/Table1[[#This Row],[Quantity]]</f>
        <v>0</v>
      </c>
      <c r="O772" s="26">
        <f>(Table1[[#This Row],[Unit_Cost]]-Table1[[#This Row],[Negotiated_Cost]])/Table1[[#This Row],[Unit_Cost]]</f>
        <v>2.0673648858396978E-2</v>
      </c>
    </row>
    <row r="773" spans="1:15" x14ac:dyDescent="0.25">
      <c r="A773" t="s">
        <v>808</v>
      </c>
      <c r="B773" t="s">
        <v>40</v>
      </c>
      <c r="C773" s="14" t="s">
        <v>55</v>
      </c>
      <c r="D773" s="1">
        <v>44968</v>
      </c>
      <c r="E773" s="13">
        <v>44979</v>
      </c>
      <c r="F773" s="14" t="s">
        <v>37</v>
      </c>
      <c r="G773">
        <v>416</v>
      </c>
      <c r="H773">
        <v>16001.5</v>
      </c>
      <c r="I773">
        <v>15240.91</v>
      </c>
      <c r="J773">
        <v>3</v>
      </c>
      <c r="K773" s="14" t="s">
        <v>15</v>
      </c>
      <c r="L773" s="14">
        <f>IF(OR(Table1[[#This Row],[Order_Status]]="Delivered",Table1[[#This Row],[Delivery_Date]]&lt;&gt;"Not Yet Delivered"),Table1[[#This Row],[Delivery_Date]]-Table1[[#This Row],[Order_Date]],"Not Applicable")</f>
        <v>11</v>
      </c>
      <c r="M773" s="14">
        <f>Table1[[#This Row],[Unit_Cost]]-Table1[[#This Row],[Negotiated_Cost]]</f>
        <v>760.59000000000015</v>
      </c>
      <c r="N773" s="18">
        <f>Table1[[#This Row],[Defective_Units]]/Table1[[#This Row],[Quantity]]</f>
        <v>7.2115384615384619E-3</v>
      </c>
      <c r="O773" s="26">
        <f>(Table1[[#This Row],[Unit_Cost]]-Table1[[#This Row],[Negotiated_Cost]])/Table1[[#This Row],[Unit_Cost]]</f>
        <v>4.7532418835734162E-2</v>
      </c>
    </row>
    <row r="774" spans="1:15" x14ac:dyDescent="0.25">
      <c r="A774" t="s">
        <v>809</v>
      </c>
      <c r="B774" t="s">
        <v>35</v>
      </c>
      <c r="C774" s="14" t="s">
        <v>44</v>
      </c>
      <c r="D774" s="1">
        <v>44952</v>
      </c>
      <c r="E774" s="13">
        <v>44963</v>
      </c>
      <c r="F774" s="14" t="s">
        <v>14</v>
      </c>
      <c r="G774">
        <v>375</v>
      </c>
      <c r="H774">
        <v>8356.0499999999993</v>
      </c>
      <c r="I774">
        <v>8160.54</v>
      </c>
      <c r="J774">
        <v>6</v>
      </c>
      <c r="K774" s="14" t="s">
        <v>15</v>
      </c>
      <c r="L774" s="14">
        <f>IF(OR(Table1[[#This Row],[Order_Status]]="Delivered",Table1[[#This Row],[Delivery_Date]]&lt;&gt;"Not Yet Delivered"),Table1[[#This Row],[Delivery_Date]]-Table1[[#This Row],[Order_Date]],"Not Applicable")</f>
        <v>11</v>
      </c>
      <c r="M774" s="14">
        <f>Table1[[#This Row],[Unit_Cost]]-Table1[[#This Row],[Negotiated_Cost]]</f>
        <v>195.50999999999931</v>
      </c>
      <c r="N774" s="18">
        <f>Table1[[#This Row],[Defective_Units]]/Table1[[#This Row],[Quantity]]</f>
        <v>1.6E-2</v>
      </c>
      <c r="O774" s="26">
        <f>(Table1[[#This Row],[Unit_Cost]]-Table1[[#This Row],[Negotiated_Cost]])/Table1[[#This Row],[Unit_Cost]]</f>
        <v>2.3397418636796011E-2</v>
      </c>
    </row>
    <row r="775" spans="1:15" x14ac:dyDescent="0.25">
      <c r="A775" t="s">
        <v>810</v>
      </c>
      <c r="B775" t="s">
        <v>32</v>
      </c>
      <c r="C775" s="14" t="s">
        <v>48</v>
      </c>
      <c r="D775" s="1">
        <v>45036</v>
      </c>
      <c r="E775" s="13">
        <v>45056</v>
      </c>
      <c r="F775" s="14" t="s">
        <v>14</v>
      </c>
      <c r="G775">
        <v>53</v>
      </c>
      <c r="H775">
        <v>6194.19</v>
      </c>
      <c r="I775">
        <v>5921.83</v>
      </c>
      <c r="J775">
        <v>0</v>
      </c>
      <c r="K775" s="14" t="s">
        <v>15</v>
      </c>
      <c r="L775" s="14">
        <f>IF(OR(Table1[[#This Row],[Order_Status]]="Delivered",Table1[[#This Row],[Delivery_Date]]&lt;&gt;"Not Yet Delivered"),Table1[[#This Row],[Delivery_Date]]-Table1[[#This Row],[Order_Date]],"Not Applicable")</f>
        <v>20</v>
      </c>
      <c r="M775" s="14">
        <f>Table1[[#This Row],[Unit_Cost]]-Table1[[#This Row],[Negotiated_Cost]]</f>
        <v>272.35999999999967</v>
      </c>
      <c r="N775" s="18">
        <f>Table1[[#This Row],[Defective_Units]]/Table1[[#This Row],[Quantity]]</f>
        <v>0</v>
      </c>
      <c r="O775" s="26">
        <f>(Table1[[#This Row],[Unit_Cost]]-Table1[[#This Row],[Negotiated_Cost]])/Table1[[#This Row],[Unit_Cost]]</f>
        <v>4.3970236624966248E-2</v>
      </c>
    </row>
    <row r="776" spans="1:15" x14ac:dyDescent="0.25">
      <c r="A776" t="s">
        <v>811</v>
      </c>
      <c r="B776" t="s">
        <v>27</v>
      </c>
      <c r="C776" s="14" t="s">
        <v>55</v>
      </c>
      <c r="D776" s="1">
        <v>45642</v>
      </c>
      <c r="E776" s="13">
        <v>45662</v>
      </c>
      <c r="F776" s="14" t="s">
        <v>14</v>
      </c>
      <c r="G776">
        <v>366</v>
      </c>
      <c r="H776">
        <v>15423.66</v>
      </c>
      <c r="I776">
        <v>14882.39</v>
      </c>
      <c r="J776">
        <v>2</v>
      </c>
      <c r="K776" s="14" t="s">
        <v>15</v>
      </c>
      <c r="L776" s="14">
        <f>IF(OR(Table1[[#This Row],[Order_Status]]="Delivered",Table1[[#This Row],[Delivery_Date]]&lt;&gt;"Not Yet Delivered"),Table1[[#This Row],[Delivery_Date]]-Table1[[#This Row],[Order_Date]],"Not Applicable")</f>
        <v>20</v>
      </c>
      <c r="M776" s="14">
        <f>Table1[[#This Row],[Unit_Cost]]-Table1[[#This Row],[Negotiated_Cost]]</f>
        <v>541.27000000000044</v>
      </c>
      <c r="N776" s="18">
        <f>Table1[[#This Row],[Defective_Units]]/Table1[[#This Row],[Quantity]]</f>
        <v>5.4644808743169399E-3</v>
      </c>
      <c r="O776" s="26">
        <f>(Table1[[#This Row],[Unit_Cost]]-Table1[[#This Row],[Negotiated_Cost]])/Table1[[#This Row],[Unit_Cost]]</f>
        <v>3.5093486241268311E-2</v>
      </c>
    </row>
    <row r="777" spans="1:15" x14ac:dyDescent="0.25">
      <c r="A777" t="s">
        <v>812</v>
      </c>
      <c r="B777" t="s">
        <v>46</v>
      </c>
      <c r="C777" s="14" t="s">
        <v>24</v>
      </c>
      <c r="D777" s="1">
        <v>45413</v>
      </c>
      <c r="E777" s="13">
        <v>45440</v>
      </c>
      <c r="F777" s="14" t="s">
        <v>37</v>
      </c>
      <c r="G777">
        <v>215</v>
      </c>
      <c r="H777">
        <v>12739.91</v>
      </c>
      <c r="I777">
        <v>12002.39</v>
      </c>
      <c r="J777">
        <v>0</v>
      </c>
      <c r="K777" s="14" t="s">
        <v>15</v>
      </c>
      <c r="L777" s="14">
        <f>IF(OR(Table1[[#This Row],[Order_Status]]="Delivered",Table1[[#This Row],[Delivery_Date]]&lt;&gt;"Not Yet Delivered"),Table1[[#This Row],[Delivery_Date]]-Table1[[#This Row],[Order_Date]],"Not Applicable")</f>
        <v>27</v>
      </c>
      <c r="M777" s="14">
        <f>Table1[[#This Row],[Unit_Cost]]-Table1[[#This Row],[Negotiated_Cost]]</f>
        <v>737.52000000000044</v>
      </c>
      <c r="N777" s="18">
        <f>Table1[[#This Row],[Defective_Units]]/Table1[[#This Row],[Quantity]]</f>
        <v>0</v>
      </c>
      <c r="O777" s="26">
        <f>(Table1[[#This Row],[Unit_Cost]]-Table1[[#This Row],[Negotiated_Cost]])/Table1[[#This Row],[Unit_Cost]]</f>
        <v>5.7890518849819224E-2</v>
      </c>
    </row>
    <row r="778" spans="1:15" x14ac:dyDescent="0.25">
      <c r="A778" t="s">
        <v>813</v>
      </c>
      <c r="B778" t="s">
        <v>12</v>
      </c>
      <c r="C778" s="14" t="s">
        <v>30</v>
      </c>
      <c r="D778" s="1">
        <v>45008</v>
      </c>
      <c r="E778" s="13">
        <v>45013</v>
      </c>
      <c r="F778" s="14" t="s">
        <v>14</v>
      </c>
      <c r="G778">
        <v>367</v>
      </c>
      <c r="H778">
        <v>994.15</v>
      </c>
      <c r="I778">
        <v>955.06</v>
      </c>
      <c r="J778">
        <v>3</v>
      </c>
      <c r="K778" s="14" t="s">
        <v>15</v>
      </c>
      <c r="L778" s="14">
        <f>IF(OR(Table1[[#This Row],[Order_Status]]="Delivered",Table1[[#This Row],[Delivery_Date]]&lt;&gt;"Not Yet Delivered"),Table1[[#This Row],[Delivery_Date]]-Table1[[#This Row],[Order_Date]],"Not Applicable")</f>
        <v>5</v>
      </c>
      <c r="M778" s="14">
        <f>Table1[[#This Row],[Unit_Cost]]-Table1[[#This Row],[Negotiated_Cost]]</f>
        <v>39.090000000000032</v>
      </c>
      <c r="N778" s="18">
        <f>Table1[[#This Row],[Defective_Units]]/Table1[[#This Row],[Quantity]]</f>
        <v>8.1743869209809257E-3</v>
      </c>
      <c r="O778" s="26">
        <f>(Table1[[#This Row],[Unit_Cost]]-Table1[[#This Row],[Negotiated_Cost]])/Table1[[#This Row],[Unit_Cost]]</f>
        <v>3.9320022129457358E-2</v>
      </c>
    </row>
    <row r="779" spans="1:15" x14ac:dyDescent="0.25">
      <c r="A779" t="s">
        <v>814</v>
      </c>
      <c r="B779" t="s">
        <v>27</v>
      </c>
      <c r="C779" s="14" t="s">
        <v>18</v>
      </c>
      <c r="D779" s="1">
        <v>45102</v>
      </c>
      <c r="E779" s="14" t="s">
        <v>2057</v>
      </c>
      <c r="F779" s="14" t="s">
        <v>33</v>
      </c>
      <c r="G779">
        <v>37</v>
      </c>
      <c r="H779">
        <v>5472.19</v>
      </c>
      <c r="I779">
        <v>5403.23</v>
      </c>
      <c r="J779">
        <v>2</v>
      </c>
      <c r="K779" s="14" t="s">
        <v>15</v>
      </c>
      <c r="L779" s="14" t="str">
        <f>IF(OR(Table1[[#This Row],[Order_Status]]="Delivered",Table1[[#This Row],[Delivery_Date]]&lt;&gt;"Not Yet Delivered"),Table1[[#This Row],[Delivery_Date]]-Table1[[#This Row],[Order_Date]],"Not Applicable")</f>
        <v>Not Applicable</v>
      </c>
      <c r="M779" s="14">
        <f>Table1[[#This Row],[Unit_Cost]]-Table1[[#This Row],[Negotiated_Cost]]</f>
        <v>68.960000000000036</v>
      </c>
      <c r="N779" s="18">
        <f>Table1[[#This Row],[Defective_Units]]/Table1[[#This Row],[Quantity]]</f>
        <v>5.4054054054054057E-2</v>
      </c>
      <c r="O779" s="26">
        <f>(Table1[[#This Row],[Unit_Cost]]-Table1[[#This Row],[Negotiated_Cost]])/Table1[[#This Row],[Unit_Cost]]</f>
        <v>1.2601901615258249E-2</v>
      </c>
    </row>
    <row r="780" spans="1:15" x14ac:dyDescent="0.25">
      <c r="A780" t="s">
        <v>815</v>
      </c>
      <c r="B780" t="s">
        <v>27</v>
      </c>
      <c r="C780" s="14" t="s">
        <v>50</v>
      </c>
      <c r="D780" s="1">
        <v>45523</v>
      </c>
      <c r="E780" s="13">
        <v>45549</v>
      </c>
      <c r="F780" s="14" t="s">
        <v>37</v>
      </c>
      <c r="G780">
        <v>397</v>
      </c>
      <c r="H780">
        <v>50329.07</v>
      </c>
      <c r="I780">
        <v>50307.42</v>
      </c>
      <c r="J780">
        <v>1</v>
      </c>
      <c r="K780" s="14" t="s">
        <v>15</v>
      </c>
      <c r="L780" s="14">
        <f>IF(OR(Table1[[#This Row],[Order_Status]]="Delivered",Table1[[#This Row],[Delivery_Date]]&lt;&gt;"Not Yet Delivered"),Table1[[#This Row],[Delivery_Date]]-Table1[[#This Row],[Order_Date]],"Not Applicable")</f>
        <v>26</v>
      </c>
      <c r="M780" s="14">
        <f>Table1[[#This Row],[Unit_Cost]]-Table1[[#This Row],[Negotiated_Cost]]</f>
        <v>21.650000000001455</v>
      </c>
      <c r="N780" s="18">
        <f>Table1[[#This Row],[Defective_Units]]/Table1[[#This Row],[Quantity]]</f>
        <v>2.5188916876574307E-3</v>
      </c>
      <c r="O780" s="26">
        <f>(Table1[[#This Row],[Unit_Cost]]-Table1[[#This Row],[Negotiated_Cost]])/Table1[[#This Row],[Unit_Cost]]</f>
        <v>4.3016888649048066E-4</v>
      </c>
    </row>
    <row r="781" spans="1:15" x14ac:dyDescent="0.25">
      <c r="A781" t="s">
        <v>816</v>
      </c>
      <c r="B781" t="s">
        <v>40</v>
      </c>
      <c r="C781" s="14" t="s">
        <v>18</v>
      </c>
      <c r="D781" s="1">
        <v>45162</v>
      </c>
      <c r="E781" s="14" t="s">
        <v>2057</v>
      </c>
      <c r="F781" s="14" t="s">
        <v>22</v>
      </c>
      <c r="G781">
        <v>285</v>
      </c>
      <c r="H781">
        <v>5397.37</v>
      </c>
      <c r="I781">
        <v>5131.03</v>
      </c>
      <c r="J781">
        <v>2</v>
      </c>
      <c r="K781" s="14" t="s">
        <v>15</v>
      </c>
      <c r="L781" s="14" t="str">
        <f>IF(OR(Table1[[#This Row],[Order_Status]]="Delivered",Table1[[#This Row],[Delivery_Date]]&lt;&gt;"Not Yet Delivered"),Table1[[#This Row],[Delivery_Date]]-Table1[[#This Row],[Order_Date]],"Not Applicable")</f>
        <v>Not Applicable</v>
      </c>
      <c r="M781" s="14">
        <f>Table1[[#This Row],[Unit_Cost]]-Table1[[#This Row],[Negotiated_Cost]]</f>
        <v>266.34000000000015</v>
      </c>
      <c r="N781" s="18">
        <f>Table1[[#This Row],[Defective_Units]]/Table1[[#This Row],[Quantity]]</f>
        <v>7.0175438596491229E-3</v>
      </c>
      <c r="O781" s="26">
        <f>(Table1[[#This Row],[Unit_Cost]]-Table1[[#This Row],[Negotiated_Cost]])/Table1[[#This Row],[Unit_Cost]]</f>
        <v>4.9346255676375746E-2</v>
      </c>
    </row>
    <row r="782" spans="1:15" x14ac:dyDescent="0.25">
      <c r="A782" t="s">
        <v>817</v>
      </c>
      <c r="B782" t="s">
        <v>20</v>
      </c>
      <c r="C782" s="14" t="s">
        <v>50</v>
      </c>
      <c r="D782" s="1">
        <v>45626</v>
      </c>
      <c r="E782" s="13">
        <v>45656</v>
      </c>
      <c r="F782" s="14" t="s">
        <v>14</v>
      </c>
      <c r="G782">
        <v>74</v>
      </c>
      <c r="H782">
        <v>47311.19</v>
      </c>
      <c r="I782">
        <v>47233.19</v>
      </c>
      <c r="J782">
        <v>1</v>
      </c>
      <c r="K782" s="14" t="s">
        <v>15</v>
      </c>
      <c r="L782" s="14">
        <f>IF(OR(Table1[[#This Row],[Order_Status]]="Delivered",Table1[[#This Row],[Delivery_Date]]&lt;&gt;"Not Yet Delivered"),Table1[[#This Row],[Delivery_Date]]-Table1[[#This Row],[Order_Date]],"Not Applicable")</f>
        <v>30</v>
      </c>
      <c r="M782" s="14">
        <f>Table1[[#This Row],[Unit_Cost]]-Table1[[#This Row],[Negotiated_Cost]]</f>
        <v>78</v>
      </c>
      <c r="N782" s="18">
        <f>Table1[[#This Row],[Defective_Units]]/Table1[[#This Row],[Quantity]]</f>
        <v>1.3513513513513514E-2</v>
      </c>
      <c r="O782" s="26">
        <f>(Table1[[#This Row],[Unit_Cost]]-Table1[[#This Row],[Negotiated_Cost]])/Table1[[#This Row],[Unit_Cost]]</f>
        <v>1.6486585942987271E-3</v>
      </c>
    </row>
    <row r="783" spans="1:15" x14ac:dyDescent="0.25">
      <c r="A783" t="s">
        <v>818</v>
      </c>
      <c r="B783" t="s">
        <v>35</v>
      </c>
      <c r="C783" s="14" t="s">
        <v>30</v>
      </c>
      <c r="D783" s="1">
        <v>45523</v>
      </c>
      <c r="E783" s="13">
        <v>45536</v>
      </c>
      <c r="F783" s="14" t="s">
        <v>14</v>
      </c>
      <c r="G783">
        <v>32</v>
      </c>
      <c r="H783">
        <v>933.12</v>
      </c>
      <c r="I783">
        <v>879.92</v>
      </c>
      <c r="J783">
        <v>0</v>
      </c>
      <c r="K783" s="14" t="s">
        <v>15</v>
      </c>
      <c r="L783" s="14">
        <f>IF(OR(Table1[[#This Row],[Order_Status]]="Delivered",Table1[[#This Row],[Delivery_Date]]&lt;&gt;"Not Yet Delivered"),Table1[[#This Row],[Delivery_Date]]-Table1[[#This Row],[Order_Date]],"Not Applicable")</f>
        <v>13</v>
      </c>
      <c r="M783" s="14">
        <f>Table1[[#This Row],[Unit_Cost]]-Table1[[#This Row],[Negotiated_Cost]]</f>
        <v>53.200000000000045</v>
      </c>
      <c r="N783" s="18">
        <f>Table1[[#This Row],[Defective_Units]]/Table1[[#This Row],[Quantity]]</f>
        <v>0</v>
      </c>
      <c r="O783" s="26">
        <f>(Table1[[#This Row],[Unit_Cost]]-Table1[[#This Row],[Negotiated_Cost]])/Table1[[#This Row],[Unit_Cost]]</f>
        <v>5.7013031550068635E-2</v>
      </c>
    </row>
    <row r="784" spans="1:15" x14ac:dyDescent="0.25">
      <c r="A784" t="s">
        <v>819</v>
      </c>
      <c r="B784" t="s">
        <v>27</v>
      </c>
      <c r="C784" s="14" t="s">
        <v>28</v>
      </c>
      <c r="D784" s="1">
        <v>45032</v>
      </c>
      <c r="E784" s="13">
        <v>45034</v>
      </c>
      <c r="F784" s="14" t="s">
        <v>14</v>
      </c>
      <c r="G784">
        <v>171</v>
      </c>
      <c r="H784">
        <v>48108.19</v>
      </c>
      <c r="I784">
        <v>46612.7</v>
      </c>
      <c r="J784">
        <v>1</v>
      </c>
      <c r="K784" s="14" t="s">
        <v>15</v>
      </c>
      <c r="L784" s="14">
        <f>IF(OR(Table1[[#This Row],[Order_Status]]="Delivered",Table1[[#This Row],[Delivery_Date]]&lt;&gt;"Not Yet Delivered"),Table1[[#This Row],[Delivery_Date]]-Table1[[#This Row],[Order_Date]],"Not Applicable")</f>
        <v>2</v>
      </c>
      <c r="M784" s="14">
        <f>Table1[[#This Row],[Unit_Cost]]-Table1[[#This Row],[Negotiated_Cost]]</f>
        <v>1495.4900000000052</v>
      </c>
      <c r="N784" s="18">
        <f>Table1[[#This Row],[Defective_Units]]/Table1[[#This Row],[Quantity]]</f>
        <v>5.8479532163742687E-3</v>
      </c>
      <c r="O784" s="26">
        <f>(Table1[[#This Row],[Unit_Cost]]-Table1[[#This Row],[Negotiated_Cost]])/Table1[[#This Row],[Unit_Cost]]</f>
        <v>3.1085975173873827E-2</v>
      </c>
    </row>
    <row r="785" spans="1:15" x14ac:dyDescent="0.25">
      <c r="A785" t="s">
        <v>820</v>
      </c>
      <c r="B785" t="s">
        <v>12</v>
      </c>
      <c r="C785" s="14" t="s">
        <v>28</v>
      </c>
      <c r="D785" s="1">
        <v>45036</v>
      </c>
      <c r="E785" s="13">
        <v>45047</v>
      </c>
      <c r="F785" s="14" t="s">
        <v>14</v>
      </c>
      <c r="G785">
        <v>436</v>
      </c>
      <c r="H785">
        <v>50788.79</v>
      </c>
      <c r="I785">
        <v>48991.76</v>
      </c>
      <c r="J785">
        <v>3</v>
      </c>
      <c r="K785" s="14" t="s">
        <v>15</v>
      </c>
      <c r="L785" s="14">
        <f>IF(OR(Table1[[#This Row],[Order_Status]]="Delivered",Table1[[#This Row],[Delivery_Date]]&lt;&gt;"Not Yet Delivered"),Table1[[#This Row],[Delivery_Date]]-Table1[[#This Row],[Order_Date]],"Not Applicable")</f>
        <v>11</v>
      </c>
      <c r="M785" s="14">
        <f>Table1[[#This Row],[Unit_Cost]]-Table1[[#This Row],[Negotiated_Cost]]</f>
        <v>1797.0299999999988</v>
      </c>
      <c r="N785" s="18">
        <f>Table1[[#This Row],[Defective_Units]]/Table1[[#This Row],[Quantity]]</f>
        <v>6.8807339449541288E-3</v>
      </c>
      <c r="O785" s="26">
        <f>(Table1[[#This Row],[Unit_Cost]]-Table1[[#This Row],[Negotiated_Cost]])/Table1[[#This Row],[Unit_Cost]]</f>
        <v>3.5382414111460397E-2</v>
      </c>
    </row>
    <row r="786" spans="1:15" x14ac:dyDescent="0.25">
      <c r="A786" t="s">
        <v>821</v>
      </c>
      <c r="B786" t="s">
        <v>12</v>
      </c>
      <c r="C786" s="14" t="s">
        <v>50</v>
      </c>
      <c r="D786" s="1">
        <v>45461</v>
      </c>
      <c r="E786" s="13">
        <v>45464</v>
      </c>
      <c r="F786" s="14" t="s">
        <v>14</v>
      </c>
      <c r="G786">
        <v>500</v>
      </c>
      <c r="H786">
        <v>52555.29</v>
      </c>
      <c r="I786">
        <v>49868.85</v>
      </c>
      <c r="J786">
        <v>1</v>
      </c>
      <c r="K786" s="14" t="s">
        <v>15</v>
      </c>
      <c r="L786" s="14">
        <f>IF(OR(Table1[[#This Row],[Order_Status]]="Delivered",Table1[[#This Row],[Delivery_Date]]&lt;&gt;"Not Yet Delivered"),Table1[[#This Row],[Delivery_Date]]-Table1[[#This Row],[Order_Date]],"Not Applicable")</f>
        <v>3</v>
      </c>
      <c r="M786" s="14">
        <f>Table1[[#This Row],[Unit_Cost]]-Table1[[#This Row],[Negotiated_Cost]]</f>
        <v>2686.4400000000023</v>
      </c>
      <c r="N786" s="18">
        <f>Table1[[#This Row],[Defective_Units]]/Table1[[#This Row],[Quantity]]</f>
        <v>2E-3</v>
      </c>
      <c r="O786" s="26">
        <f>(Table1[[#This Row],[Unit_Cost]]-Table1[[#This Row],[Negotiated_Cost]])/Table1[[#This Row],[Unit_Cost]]</f>
        <v>5.111645278715049E-2</v>
      </c>
    </row>
    <row r="787" spans="1:15" x14ac:dyDescent="0.25">
      <c r="A787" t="s">
        <v>822</v>
      </c>
      <c r="B787" t="s">
        <v>35</v>
      </c>
      <c r="C787" s="14" t="s">
        <v>42</v>
      </c>
      <c r="D787" s="1">
        <v>45519</v>
      </c>
      <c r="E787" s="13">
        <v>45533</v>
      </c>
      <c r="F787" s="14" t="s">
        <v>14</v>
      </c>
      <c r="G787">
        <v>499</v>
      </c>
      <c r="H787">
        <v>12659.39</v>
      </c>
      <c r="I787">
        <v>12525.91</v>
      </c>
      <c r="J787">
        <v>4</v>
      </c>
      <c r="K787" s="14" t="s">
        <v>15</v>
      </c>
      <c r="L787" s="14">
        <f>IF(OR(Table1[[#This Row],[Order_Status]]="Delivered",Table1[[#This Row],[Delivery_Date]]&lt;&gt;"Not Yet Delivered"),Table1[[#This Row],[Delivery_Date]]-Table1[[#This Row],[Order_Date]],"Not Applicable")</f>
        <v>14</v>
      </c>
      <c r="M787" s="14">
        <f>Table1[[#This Row],[Unit_Cost]]-Table1[[#This Row],[Negotiated_Cost]]</f>
        <v>133.47999999999956</v>
      </c>
      <c r="N787" s="18">
        <f>Table1[[#This Row],[Defective_Units]]/Table1[[#This Row],[Quantity]]</f>
        <v>8.0160320641282558E-3</v>
      </c>
      <c r="O787" s="26">
        <f>(Table1[[#This Row],[Unit_Cost]]-Table1[[#This Row],[Negotiated_Cost]])/Table1[[#This Row],[Unit_Cost]]</f>
        <v>1.054395195977054E-2</v>
      </c>
    </row>
    <row r="788" spans="1:15" x14ac:dyDescent="0.25">
      <c r="A788" t="s">
        <v>823</v>
      </c>
      <c r="B788" t="s">
        <v>35</v>
      </c>
      <c r="C788" s="14" t="s">
        <v>30</v>
      </c>
      <c r="D788" s="1">
        <v>45056</v>
      </c>
      <c r="E788" s="14" t="s">
        <v>2057</v>
      </c>
      <c r="F788" s="14" t="s">
        <v>33</v>
      </c>
      <c r="G788">
        <v>297</v>
      </c>
      <c r="H788">
        <v>851.91</v>
      </c>
      <c r="I788">
        <v>828.17</v>
      </c>
      <c r="J788">
        <v>2</v>
      </c>
      <c r="K788" s="14" t="s">
        <v>15</v>
      </c>
      <c r="L788" s="14" t="str">
        <f>IF(OR(Table1[[#This Row],[Order_Status]]="Delivered",Table1[[#This Row],[Delivery_Date]]&lt;&gt;"Not Yet Delivered"),Table1[[#This Row],[Delivery_Date]]-Table1[[#This Row],[Order_Date]],"Not Applicable")</f>
        <v>Not Applicable</v>
      </c>
      <c r="M788" s="14">
        <f>Table1[[#This Row],[Unit_Cost]]-Table1[[#This Row],[Negotiated_Cost]]</f>
        <v>23.740000000000009</v>
      </c>
      <c r="N788" s="18">
        <f>Table1[[#This Row],[Defective_Units]]/Table1[[#This Row],[Quantity]]</f>
        <v>6.7340067340067337E-3</v>
      </c>
      <c r="O788" s="26">
        <f>(Table1[[#This Row],[Unit_Cost]]-Table1[[#This Row],[Negotiated_Cost]])/Table1[[#This Row],[Unit_Cost]]</f>
        <v>2.7866793440621672E-2</v>
      </c>
    </row>
    <row r="789" spans="1:15" x14ac:dyDescent="0.25">
      <c r="A789" t="s">
        <v>824</v>
      </c>
      <c r="B789" t="s">
        <v>12</v>
      </c>
      <c r="C789" s="14" t="s">
        <v>13</v>
      </c>
      <c r="D789" s="1">
        <v>45384</v>
      </c>
      <c r="E789" s="13">
        <v>45391</v>
      </c>
      <c r="F789" s="14" t="s">
        <v>14</v>
      </c>
      <c r="G789">
        <v>294</v>
      </c>
      <c r="H789">
        <v>4661.5</v>
      </c>
      <c r="I789">
        <v>4651.93</v>
      </c>
      <c r="J789">
        <v>0</v>
      </c>
      <c r="K789" s="14" t="s">
        <v>15</v>
      </c>
      <c r="L789" s="14">
        <f>IF(OR(Table1[[#This Row],[Order_Status]]="Delivered",Table1[[#This Row],[Delivery_Date]]&lt;&gt;"Not Yet Delivered"),Table1[[#This Row],[Delivery_Date]]-Table1[[#This Row],[Order_Date]],"Not Applicable")</f>
        <v>7</v>
      </c>
      <c r="M789" s="14">
        <f>Table1[[#This Row],[Unit_Cost]]-Table1[[#This Row],[Negotiated_Cost]]</f>
        <v>9.569999999999709</v>
      </c>
      <c r="N789" s="18">
        <f>Table1[[#This Row],[Defective_Units]]/Table1[[#This Row],[Quantity]]</f>
        <v>0</v>
      </c>
      <c r="O789" s="26">
        <f>(Table1[[#This Row],[Unit_Cost]]-Table1[[#This Row],[Negotiated_Cost]])/Table1[[#This Row],[Unit_Cost]]</f>
        <v>2.0529872358682204E-3</v>
      </c>
    </row>
    <row r="790" spans="1:15" x14ac:dyDescent="0.25">
      <c r="A790" t="s">
        <v>825</v>
      </c>
      <c r="B790" t="s">
        <v>46</v>
      </c>
      <c r="C790" s="14" t="s">
        <v>50</v>
      </c>
      <c r="D790" s="1">
        <v>45510</v>
      </c>
      <c r="E790" s="14" t="s">
        <v>2057</v>
      </c>
      <c r="F790" s="14" t="s">
        <v>33</v>
      </c>
      <c r="G790">
        <v>436</v>
      </c>
      <c r="H790">
        <v>53660.35</v>
      </c>
      <c r="I790">
        <v>51688.73</v>
      </c>
      <c r="J790">
        <v>2</v>
      </c>
      <c r="K790" s="14" t="s">
        <v>15</v>
      </c>
      <c r="L790" s="14" t="str">
        <f>IF(OR(Table1[[#This Row],[Order_Status]]="Delivered",Table1[[#This Row],[Delivery_Date]]&lt;&gt;"Not Yet Delivered"),Table1[[#This Row],[Delivery_Date]]-Table1[[#This Row],[Order_Date]],"Not Applicable")</f>
        <v>Not Applicable</v>
      </c>
      <c r="M790" s="14">
        <f>Table1[[#This Row],[Unit_Cost]]-Table1[[#This Row],[Negotiated_Cost]]</f>
        <v>1971.6199999999953</v>
      </c>
      <c r="N790" s="18">
        <f>Table1[[#This Row],[Defective_Units]]/Table1[[#This Row],[Quantity]]</f>
        <v>4.5871559633027525E-3</v>
      </c>
      <c r="O790" s="26">
        <f>(Table1[[#This Row],[Unit_Cost]]-Table1[[#This Row],[Negotiated_Cost]])/Table1[[#This Row],[Unit_Cost]]</f>
        <v>3.6742585540347678E-2</v>
      </c>
    </row>
    <row r="791" spans="1:15" x14ac:dyDescent="0.25">
      <c r="A791" t="s">
        <v>826</v>
      </c>
      <c r="B791" t="s">
        <v>17</v>
      </c>
      <c r="C791" s="14" t="s">
        <v>28</v>
      </c>
      <c r="D791" s="1">
        <v>45092</v>
      </c>
      <c r="E791" s="14" t="s">
        <v>2057</v>
      </c>
      <c r="F791" s="14" t="s">
        <v>33</v>
      </c>
      <c r="G791">
        <v>383</v>
      </c>
      <c r="H791">
        <v>46042.87</v>
      </c>
      <c r="I791">
        <v>44078.239999999998</v>
      </c>
      <c r="J791">
        <v>2</v>
      </c>
      <c r="K791" s="14" t="s">
        <v>15</v>
      </c>
      <c r="L791" s="14" t="str">
        <f>IF(OR(Table1[[#This Row],[Order_Status]]="Delivered",Table1[[#This Row],[Delivery_Date]]&lt;&gt;"Not Yet Delivered"),Table1[[#This Row],[Delivery_Date]]-Table1[[#This Row],[Order_Date]],"Not Applicable")</f>
        <v>Not Applicable</v>
      </c>
      <c r="M791" s="14">
        <f>Table1[[#This Row],[Unit_Cost]]-Table1[[#This Row],[Negotiated_Cost]]</f>
        <v>1964.6300000000047</v>
      </c>
      <c r="N791" s="18">
        <f>Table1[[#This Row],[Defective_Units]]/Table1[[#This Row],[Quantity]]</f>
        <v>5.2219321148825066E-3</v>
      </c>
      <c r="O791" s="26">
        <f>(Table1[[#This Row],[Unit_Cost]]-Table1[[#This Row],[Negotiated_Cost]])/Table1[[#This Row],[Unit_Cost]]</f>
        <v>4.2669581631205974E-2</v>
      </c>
    </row>
    <row r="792" spans="1:15" x14ac:dyDescent="0.25">
      <c r="A792" t="s">
        <v>827</v>
      </c>
      <c r="B792" t="s">
        <v>27</v>
      </c>
      <c r="C792" s="14" t="s">
        <v>44</v>
      </c>
      <c r="D792" s="1">
        <v>45080</v>
      </c>
      <c r="E792" s="13">
        <v>45091</v>
      </c>
      <c r="F792" s="14" t="s">
        <v>14</v>
      </c>
      <c r="G792">
        <v>418</v>
      </c>
      <c r="H792">
        <v>9095.99</v>
      </c>
      <c r="I792">
        <v>8655.9</v>
      </c>
      <c r="J792">
        <v>4</v>
      </c>
      <c r="K792" s="14" t="s">
        <v>15</v>
      </c>
      <c r="L792" s="14">
        <f>IF(OR(Table1[[#This Row],[Order_Status]]="Delivered",Table1[[#This Row],[Delivery_Date]]&lt;&gt;"Not Yet Delivered"),Table1[[#This Row],[Delivery_Date]]-Table1[[#This Row],[Order_Date]],"Not Applicable")</f>
        <v>11</v>
      </c>
      <c r="M792" s="14">
        <f>Table1[[#This Row],[Unit_Cost]]-Table1[[#This Row],[Negotiated_Cost]]</f>
        <v>440.09000000000015</v>
      </c>
      <c r="N792" s="18">
        <f>Table1[[#This Row],[Defective_Units]]/Table1[[#This Row],[Quantity]]</f>
        <v>9.5693779904306216E-3</v>
      </c>
      <c r="O792" s="26">
        <f>(Table1[[#This Row],[Unit_Cost]]-Table1[[#This Row],[Negotiated_Cost]])/Table1[[#This Row],[Unit_Cost]]</f>
        <v>4.8382858820205404E-2</v>
      </c>
    </row>
    <row r="793" spans="1:15" x14ac:dyDescent="0.25">
      <c r="A793" t="s">
        <v>828</v>
      </c>
      <c r="B793" t="s">
        <v>20</v>
      </c>
      <c r="C793" s="14" t="s">
        <v>13</v>
      </c>
      <c r="D793" s="1">
        <v>45201</v>
      </c>
      <c r="E793" s="13">
        <v>45213</v>
      </c>
      <c r="F793" s="14" t="s">
        <v>37</v>
      </c>
      <c r="G793">
        <v>183</v>
      </c>
      <c r="H793">
        <v>3799.47</v>
      </c>
      <c r="I793">
        <v>3646.05</v>
      </c>
      <c r="J793">
        <v>4</v>
      </c>
      <c r="K793" s="14" t="s">
        <v>15</v>
      </c>
      <c r="L793" s="14">
        <f>IF(OR(Table1[[#This Row],[Order_Status]]="Delivered",Table1[[#This Row],[Delivery_Date]]&lt;&gt;"Not Yet Delivered"),Table1[[#This Row],[Delivery_Date]]-Table1[[#This Row],[Order_Date]],"Not Applicable")</f>
        <v>12</v>
      </c>
      <c r="M793" s="14">
        <f>Table1[[#This Row],[Unit_Cost]]-Table1[[#This Row],[Negotiated_Cost]]</f>
        <v>153.41999999999962</v>
      </c>
      <c r="N793" s="18">
        <f>Table1[[#This Row],[Defective_Units]]/Table1[[#This Row],[Quantity]]</f>
        <v>2.185792349726776E-2</v>
      </c>
      <c r="O793" s="26">
        <f>(Table1[[#This Row],[Unit_Cost]]-Table1[[#This Row],[Negotiated_Cost]])/Table1[[#This Row],[Unit_Cost]]</f>
        <v>4.0379316062503355E-2</v>
      </c>
    </row>
    <row r="794" spans="1:15" x14ac:dyDescent="0.25">
      <c r="A794" t="s">
        <v>829</v>
      </c>
      <c r="B794" t="s">
        <v>32</v>
      </c>
      <c r="C794" s="14" t="s">
        <v>18</v>
      </c>
      <c r="D794" s="1">
        <v>45271</v>
      </c>
      <c r="E794" s="13">
        <v>45276</v>
      </c>
      <c r="F794" s="14" t="s">
        <v>14</v>
      </c>
      <c r="G794">
        <v>23</v>
      </c>
      <c r="H794">
        <v>4964.59</v>
      </c>
      <c r="I794">
        <v>4736.3900000000003</v>
      </c>
      <c r="J794">
        <v>0</v>
      </c>
      <c r="K794" s="14" t="s">
        <v>15</v>
      </c>
      <c r="L794" s="14">
        <f>IF(OR(Table1[[#This Row],[Order_Status]]="Delivered",Table1[[#This Row],[Delivery_Date]]&lt;&gt;"Not Yet Delivered"),Table1[[#This Row],[Delivery_Date]]-Table1[[#This Row],[Order_Date]],"Not Applicable")</f>
        <v>5</v>
      </c>
      <c r="M794" s="14">
        <f>Table1[[#This Row],[Unit_Cost]]-Table1[[#This Row],[Negotiated_Cost]]</f>
        <v>228.19999999999982</v>
      </c>
      <c r="N794" s="18">
        <f>Table1[[#This Row],[Defective_Units]]/Table1[[#This Row],[Quantity]]</f>
        <v>0</v>
      </c>
      <c r="O794" s="26">
        <f>(Table1[[#This Row],[Unit_Cost]]-Table1[[#This Row],[Negotiated_Cost]])/Table1[[#This Row],[Unit_Cost]]</f>
        <v>4.5965527868363713E-2</v>
      </c>
    </row>
    <row r="795" spans="1:15" x14ac:dyDescent="0.25">
      <c r="A795" t="s">
        <v>830</v>
      </c>
      <c r="B795" t="s">
        <v>46</v>
      </c>
      <c r="C795" s="14" t="s">
        <v>21</v>
      </c>
      <c r="D795" s="1">
        <v>45345</v>
      </c>
      <c r="E795" s="13">
        <v>45368</v>
      </c>
      <c r="F795" s="14" t="s">
        <v>14</v>
      </c>
      <c r="G795">
        <v>173</v>
      </c>
      <c r="H795">
        <v>112.85</v>
      </c>
      <c r="I795">
        <v>110.28</v>
      </c>
      <c r="J795">
        <v>1</v>
      </c>
      <c r="K795" s="14" t="s">
        <v>15</v>
      </c>
      <c r="L795" s="14">
        <f>IF(OR(Table1[[#This Row],[Order_Status]]="Delivered",Table1[[#This Row],[Delivery_Date]]&lt;&gt;"Not Yet Delivered"),Table1[[#This Row],[Delivery_Date]]-Table1[[#This Row],[Order_Date]],"Not Applicable")</f>
        <v>23</v>
      </c>
      <c r="M795" s="14">
        <f>Table1[[#This Row],[Unit_Cost]]-Table1[[#This Row],[Negotiated_Cost]]</f>
        <v>2.5699999999999932</v>
      </c>
      <c r="N795" s="18">
        <f>Table1[[#This Row],[Defective_Units]]/Table1[[#This Row],[Quantity]]</f>
        <v>5.7803468208092483E-3</v>
      </c>
      <c r="O795" s="26">
        <f>(Table1[[#This Row],[Unit_Cost]]-Table1[[#This Row],[Negotiated_Cost]])/Table1[[#This Row],[Unit_Cost]]</f>
        <v>2.2773593265396484E-2</v>
      </c>
    </row>
    <row r="796" spans="1:15" x14ac:dyDescent="0.25">
      <c r="A796" t="s">
        <v>831</v>
      </c>
      <c r="B796" t="s">
        <v>35</v>
      </c>
      <c r="C796" s="14" t="s">
        <v>55</v>
      </c>
      <c r="D796" s="1">
        <v>45304</v>
      </c>
      <c r="E796" s="13">
        <v>45315</v>
      </c>
      <c r="F796" s="14" t="s">
        <v>14</v>
      </c>
      <c r="G796">
        <v>160</v>
      </c>
      <c r="H796">
        <v>13681.84</v>
      </c>
      <c r="I796">
        <v>12868.96</v>
      </c>
      <c r="J796">
        <v>4</v>
      </c>
      <c r="K796" s="14" t="s">
        <v>25</v>
      </c>
      <c r="L796" s="14">
        <f>IF(OR(Table1[[#This Row],[Order_Status]]="Delivered",Table1[[#This Row],[Delivery_Date]]&lt;&gt;"Not Yet Delivered"),Table1[[#This Row],[Delivery_Date]]-Table1[[#This Row],[Order_Date]],"Not Applicable")</f>
        <v>11</v>
      </c>
      <c r="M796" s="14">
        <f>Table1[[#This Row],[Unit_Cost]]-Table1[[#This Row],[Negotiated_Cost]]</f>
        <v>812.88000000000102</v>
      </c>
      <c r="N796" s="18">
        <f>Table1[[#This Row],[Defective_Units]]/Table1[[#This Row],[Quantity]]</f>
        <v>2.5000000000000001E-2</v>
      </c>
      <c r="O796" s="26">
        <f>(Table1[[#This Row],[Unit_Cost]]-Table1[[#This Row],[Negotiated_Cost]])/Table1[[#This Row],[Unit_Cost]]</f>
        <v>5.9413061401098172E-2</v>
      </c>
    </row>
    <row r="797" spans="1:15" x14ac:dyDescent="0.25">
      <c r="A797" t="s">
        <v>832</v>
      </c>
      <c r="B797" t="s">
        <v>12</v>
      </c>
      <c r="C797" s="14" t="s">
        <v>55</v>
      </c>
      <c r="D797" s="1">
        <v>45483</v>
      </c>
      <c r="E797" s="13">
        <v>45513</v>
      </c>
      <c r="F797" s="14" t="s">
        <v>14</v>
      </c>
      <c r="G797">
        <v>405</v>
      </c>
      <c r="H797">
        <v>14584.45</v>
      </c>
      <c r="I797">
        <v>14155.65</v>
      </c>
      <c r="J797">
        <v>6</v>
      </c>
      <c r="K797" s="14" t="s">
        <v>15</v>
      </c>
      <c r="L797" s="14">
        <f>IF(OR(Table1[[#This Row],[Order_Status]]="Delivered",Table1[[#This Row],[Delivery_Date]]&lt;&gt;"Not Yet Delivered"),Table1[[#This Row],[Delivery_Date]]-Table1[[#This Row],[Order_Date]],"Not Applicable")</f>
        <v>30</v>
      </c>
      <c r="M797" s="14">
        <f>Table1[[#This Row],[Unit_Cost]]-Table1[[#This Row],[Negotiated_Cost]]</f>
        <v>428.80000000000109</v>
      </c>
      <c r="N797" s="18">
        <f>Table1[[#This Row],[Defective_Units]]/Table1[[#This Row],[Quantity]]</f>
        <v>1.4814814814814815E-2</v>
      </c>
      <c r="O797" s="26">
        <f>(Table1[[#This Row],[Unit_Cost]]-Table1[[#This Row],[Negotiated_Cost]])/Table1[[#This Row],[Unit_Cost]]</f>
        <v>2.9401177281282536E-2</v>
      </c>
    </row>
    <row r="798" spans="1:15" x14ac:dyDescent="0.25">
      <c r="A798" t="s">
        <v>833</v>
      </c>
      <c r="B798" t="s">
        <v>32</v>
      </c>
      <c r="C798" s="14" t="s">
        <v>50</v>
      </c>
      <c r="D798" s="1">
        <v>44957</v>
      </c>
      <c r="E798" s="13">
        <v>44976</v>
      </c>
      <c r="F798" s="14" t="s">
        <v>14</v>
      </c>
      <c r="G798">
        <v>318</v>
      </c>
      <c r="H798">
        <v>45632.11</v>
      </c>
      <c r="I798">
        <v>45088.74</v>
      </c>
      <c r="J798">
        <v>1</v>
      </c>
      <c r="K798" s="14" t="s">
        <v>15</v>
      </c>
      <c r="L798" s="14">
        <f>IF(OR(Table1[[#This Row],[Order_Status]]="Delivered",Table1[[#This Row],[Delivery_Date]]&lt;&gt;"Not Yet Delivered"),Table1[[#This Row],[Delivery_Date]]-Table1[[#This Row],[Order_Date]],"Not Applicable")</f>
        <v>19</v>
      </c>
      <c r="M798" s="14">
        <f>Table1[[#This Row],[Unit_Cost]]-Table1[[#This Row],[Negotiated_Cost]]</f>
        <v>543.37000000000262</v>
      </c>
      <c r="N798" s="18">
        <f>Table1[[#This Row],[Defective_Units]]/Table1[[#This Row],[Quantity]]</f>
        <v>3.1446540880503146E-3</v>
      </c>
      <c r="O798" s="26">
        <f>(Table1[[#This Row],[Unit_Cost]]-Table1[[#This Row],[Negotiated_Cost]])/Table1[[#This Row],[Unit_Cost]]</f>
        <v>1.1907623820156522E-2</v>
      </c>
    </row>
    <row r="799" spans="1:15" x14ac:dyDescent="0.25">
      <c r="A799" t="s">
        <v>834</v>
      </c>
      <c r="B799" t="s">
        <v>17</v>
      </c>
      <c r="C799" s="14" t="s">
        <v>24</v>
      </c>
      <c r="D799" s="1">
        <v>45162</v>
      </c>
      <c r="E799" s="13">
        <v>45182</v>
      </c>
      <c r="F799" s="14" t="s">
        <v>14</v>
      </c>
      <c r="G799">
        <v>346</v>
      </c>
      <c r="H799">
        <v>11370.68</v>
      </c>
      <c r="I799">
        <v>11235.54</v>
      </c>
      <c r="J799">
        <v>3</v>
      </c>
      <c r="K799" s="14" t="s">
        <v>15</v>
      </c>
      <c r="L799" s="14">
        <f>IF(OR(Table1[[#This Row],[Order_Status]]="Delivered",Table1[[#This Row],[Delivery_Date]]&lt;&gt;"Not Yet Delivered"),Table1[[#This Row],[Delivery_Date]]-Table1[[#This Row],[Order_Date]],"Not Applicable")</f>
        <v>20</v>
      </c>
      <c r="M799" s="14">
        <f>Table1[[#This Row],[Unit_Cost]]-Table1[[#This Row],[Negotiated_Cost]]</f>
        <v>135.13999999999942</v>
      </c>
      <c r="N799" s="18">
        <f>Table1[[#This Row],[Defective_Units]]/Table1[[#This Row],[Quantity]]</f>
        <v>8.670520231213872E-3</v>
      </c>
      <c r="O799" s="26">
        <f>(Table1[[#This Row],[Unit_Cost]]-Table1[[#This Row],[Negotiated_Cost]])/Table1[[#This Row],[Unit_Cost]]</f>
        <v>1.1884953230589499E-2</v>
      </c>
    </row>
    <row r="800" spans="1:15" x14ac:dyDescent="0.25">
      <c r="A800" t="s">
        <v>835</v>
      </c>
      <c r="B800" t="s">
        <v>17</v>
      </c>
      <c r="C800" s="14" t="s">
        <v>30</v>
      </c>
      <c r="D800" s="1">
        <v>44979</v>
      </c>
      <c r="E800" s="14" t="s">
        <v>2057</v>
      </c>
      <c r="F800" s="14" t="s">
        <v>33</v>
      </c>
      <c r="G800">
        <v>179</v>
      </c>
      <c r="H800">
        <v>833.78</v>
      </c>
      <c r="I800">
        <v>821.53</v>
      </c>
      <c r="J800">
        <v>2</v>
      </c>
      <c r="K800" s="14" t="s">
        <v>15</v>
      </c>
      <c r="L800" s="14" t="str">
        <f>IF(OR(Table1[[#This Row],[Order_Status]]="Delivered",Table1[[#This Row],[Delivery_Date]]&lt;&gt;"Not Yet Delivered"),Table1[[#This Row],[Delivery_Date]]-Table1[[#This Row],[Order_Date]],"Not Applicable")</f>
        <v>Not Applicable</v>
      </c>
      <c r="M800" s="14">
        <f>Table1[[#This Row],[Unit_Cost]]-Table1[[#This Row],[Negotiated_Cost]]</f>
        <v>12.25</v>
      </c>
      <c r="N800" s="18">
        <f>Table1[[#This Row],[Defective_Units]]/Table1[[#This Row],[Quantity]]</f>
        <v>1.11731843575419E-2</v>
      </c>
      <c r="O800" s="26">
        <f>(Table1[[#This Row],[Unit_Cost]]-Table1[[#This Row],[Negotiated_Cost]])/Table1[[#This Row],[Unit_Cost]]</f>
        <v>1.4692125020988751E-2</v>
      </c>
    </row>
    <row r="801" spans="1:15" x14ac:dyDescent="0.25">
      <c r="A801" t="s">
        <v>836</v>
      </c>
      <c r="B801" t="s">
        <v>35</v>
      </c>
      <c r="C801" s="14" t="s">
        <v>21</v>
      </c>
      <c r="D801" s="1">
        <v>45139</v>
      </c>
      <c r="E801" s="13">
        <v>45153</v>
      </c>
      <c r="F801" s="14" t="s">
        <v>14</v>
      </c>
      <c r="G801">
        <v>440</v>
      </c>
      <c r="H801">
        <v>120.95</v>
      </c>
      <c r="I801">
        <v>118.16</v>
      </c>
      <c r="J801">
        <v>2</v>
      </c>
      <c r="K801" s="14" t="s">
        <v>15</v>
      </c>
      <c r="L801" s="14">
        <f>IF(OR(Table1[[#This Row],[Order_Status]]="Delivered",Table1[[#This Row],[Delivery_Date]]&lt;&gt;"Not Yet Delivered"),Table1[[#This Row],[Delivery_Date]]-Table1[[#This Row],[Order_Date]],"Not Applicable")</f>
        <v>14</v>
      </c>
      <c r="M801" s="14">
        <f>Table1[[#This Row],[Unit_Cost]]-Table1[[#This Row],[Negotiated_Cost]]</f>
        <v>2.7900000000000063</v>
      </c>
      <c r="N801" s="18">
        <f>Table1[[#This Row],[Defective_Units]]/Table1[[#This Row],[Quantity]]</f>
        <v>4.5454545454545452E-3</v>
      </c>
      <c r="O801" s="26">
        <f>(Table1[[#This Row],[Unit_Cost]]-Table1[[#This Row],[Negotiated_Cost]])/Table1[[#This Row],[Unit_Cost]]</f>
        <v>2.3067383216205096E-2</v>
      </c>
    </row>
    <row r="802" spans="1:15" x14ac:dyDescent="0.25">
      <c r="A802" t="s">
        <v>837</v>
      </c>
      <c r="B802" t="s">
        <v>32</v>
      </c>
      <c r="C802" s="14" t="s">
        <v>44</v>
      </c>
      <c r="D802" s="1">
        <v>45032</v>
      </c>
      <c r="E802" s="14" t="s">
        <v>2057</v>
      </c>
      <c r="F802" s="14" t="s">
        <v>22</v>
      </c>
      <c r="G802">
        <v>337</v>
      </c>
      <c r="H802">
        <v>7830.88</v>
      </c>
      <c r="I802">
        <v>7435.7</v>
      </c>
      <c r="J802">
        <v>2</v>
      </c>
      <c r="K802" s="14" t="s">
        <v>15</v>
      </c>
      <c r="L802" s="14" t="str">
        <f>IF(OR(Table1[[#This Row],[Order_Status]]="Delivered",Table1[[#This Row],[Delivery_Date]]&lt;&gt;"Not Yet Delivered"),Table1[[#This Row],[Delivery_Date]]-Table1[[#This Row],[Order_Date]],"Not Applicable")</f>
        <v>Not Applicable</v>
      </c>
      <c r="M802" s="14">
        <f>Table1[[#This Row],[Unit_Cost]]-Table1[[#This Row],[Negotiated_Cost]]</f>
        <v>395.18000000000029</v>
      </c>
      <c r="N802" s="18">
        <f>Table1[[#This Row],[Defective_Units]]/Table1[[#This Row],[Quantity]]</f>
        <v>5.9347181008902079E-3</v>
      </c>
      <c r="O802" s="26">
        <f>(Table1[[#This Row],[Unit_Cost]]-Table1[[#This Row],[Negotiated_Cost]])/Table1[[#This Row],[Unit_Cost]]</f>
        <v>5.0464315632470461E-2</v>
      </c>
    </row>
    <row r="803" spans="1:15" x14ac:dyDescent="0.25">
      <c r="A803" t="s">
        <v>838</v>
      </c>
      <c r="B803" t="s">
        <v>12</v>
      </c>
      <c r="C803" s="14" t="s">
        <v>44</v>
      </c>
      <c r="D803" s="1">
        <v>45171</v>
      </c>
      <c r="E803" s="13">
        <v>45198</v>
      </c>
      <c r="F803" s="14" t="s">
        <v>14</v>
      </c>
      <c r="G803">
        <v>70</v>
      </c>
      <c r="H803">
        <v>8922.7999999999993</v>
      </c>
      <c r="I803">
        <v>8553.41</v>
      </c>
      <c r="J803">
        <v>0</v>
      </c>
      <c r="K803" s="14" t="s">
        <v>15</v>
      </c>
      <c r="L803" s="14">
        <f>IF(OR(Table1[[#This Row],[Order_Status]]="Delivered",Table1[[#This Row],[Delivery_Date]]&lt;&gt;"Not Yet Delivered"),Table1[[#This Row],[Delivery_Date]]-Table1[[#This Row],[Order_Date]],"Not Applicable")</f>
        <v>27</v>
      </c>
      <c r="M803" s="14">
        <f>Table1[[#This Row],[Unit_Cost]]-Table1[[#This Row],[Negotiated_Cost]]</f>
        <v>369.38999999999942</v>
      </c>
      <c r="N803" s="18">
        <f>Table1[[#This Row],[Defective_Units]]/Table1[[#This Row],[Quantity]]</f>
        <v>0</v>
      </c>
      <c r="O803" s="26">
        <f>(Table1[[#This Row],[Unit_Cost]]-Table1[[#This Row],[Negotiated_Cost]])/Table1[[#This Row],[Unit_Cost]]</f>
        <v>4.139843995158464E-2</v>
      </c>
    </row>
    <row r="804" spans="1:15" x14ac:dyDescent="0.25">
      <c r="A804" t="s">
        <v>839</v>
      </c>
      <c r="B804" t="s">
        <v>20</v>
      </c>
      <c r="C804" s="14" t="s">
        <v>50</v>
      </c>
      <c r="D804" s="1">
        <v>45078</v>
      </c>
      <c r="E804" s="13">
        <v>45094</v>
      </c>
      <c r="F804" s="14" t="s">
        <v>14</v>
      </c>
      <c r="G804">
        <v>162</v>
      </c>
      <c r="H804">
        <v>47805.48</v>
      </c>
      <c r="I804">
        <v>46976.23</v>
      </c>
      <c r="J804">
        <v>2</v>
      </c>
      <c r="K804" s="14" t="s">
        <v>15</v>
      </c>
      <c r="L804" s="14">
        <f>IF(OR(Table1[[#This Row],[Order_Status]]="Delivered",Table1[[#This Row],[Delivery_Date]]&lt;&gt;"Not Yet Delivered"),Table1[[#This Row],[Delivery_Date]]-Table1[[#This Row],[Order_Date]],"Not Applicable")</f>
        <v>16</v>
      </c>
      <c r="M804" s="14">
        <f>Table1[[#This Row],[Unit_Cost]]-Table1[[#This Row],[Negotiated_Cost]]</f>
        <v>829.25</v>
      </c>
      <c r="N804" s="18">
        <f>Table1[[#This Row],[Defective_Units]]/Table1[[#This Row],[Quantity]]</f>
        <v>1.2345679012345678E-2</v>
      </c>
      <c r="O804" s="26">
        <f>(Table1[[#This Row],[Unit_Cost]]-Table1[[#This Row],[Negotiated_Cost]])/Table1[[#This Row],[Unit_Cost]]</f>
        <v>1.7346337700196713E-2</v>
      </c>
    </row>
    <row r="805" spans="1:15" x14ac:dyDescent="0.25">
      <c r="A805" t="s">
        <v>840</v>
      </c>
      <c r="B805" t="s">
        <v>46</v>
      </c>
      <c r="C805" s="14" t="s">
        <v>24</v>
      </c>
      <c r="D805" s="1">
        <v>45194</v>
      </c>
      <c r="E805" s="13">
        <v>45216</v>
      </c>
      <c r="F805" s="14" t="s">
        <v>14</v>
      </c>
      <c r="G805">
        <v>88</v>
      </c>
      <c r="H805">
        <v>12166.84</v>
      </c>
      <c r="I805">
        <v>11831.59</v>
      </c>
      <c r="J805">
        <v>1</v>
      </c>
      <c r="K805" s="14" t="s">
        <v>15</v>
      </c>
      <c r="L805" s="14">
        <f>IF(OR(Table1[[#This Row],[Order_Status]]="Delivered",Table1[[#This Row],[Delivery_Date]]&lt;&gt;"Not Yet Delivered"),Table1[[#This Row],[Delivery_Date]]-Table1[[#This Row],[Order_Date]],"Not Applicable")</f>
        <v>22</v>
      </c>
      <c r="M805" s="14">
        <f>Table1[[#This Row],[Unit_Cost]]-Table1[[#This Row],[Negotiated_Cost]]</f>
        <v>335.25</v>
      </c>
      <c r="N805" s="18">
        <f>Table1[[#This Row],[Defective_Units]]/Table1[[#This Row],[Quantity]]</f>
        <v>1.1363636363636364E-2</v>
      </c>
      <c r="O805" s="26">
        <f>(Table1[[#This Row],[Unit_Cost]]-Table1[[#This Row],[Negotiated_Cost]])/Table1[[#This Row],[Unit_Cost]]</f>
        <v>2.7554401964684339E-2</v>
      </c>
    </row>
    <row r="806" spans="1:15" x14ac:dyDescent="0.25">
      <c r="A806" t="s">
        <v>841</v>
      </c>
      <c r="B806" t="s">
        <v>12</v>
      </c>
      <c r="C806" s="14" t="s">
        <v>42</v>
      </c>
      <c r="D806" s="1">
        <v>45453</v>
      </c>
      <c r="E806" s="14" t="s">
        <v>2057</v>
      </c>
      <c r="F806" s="14" t="s">
        <v>33</v>
      </c>
      <c r="G806">
        <v>342</v>
      </c>
      <c r="H806">
        <v>12294.8</v>
      </c>
      <c r="I806">
        <v>11650.4</v>
      </c>
      <c r="J806">
        <v>2</v>
      </c>
      <c r="K806" s="14" t="s">
        <v>15</v>
      </c>
      <c r="L806" s="14" t="str">
        <f>IF(OR(Table1[[#This Row],[Order_Status]]="Delivered",Table1[[#This Row],[Delivery_Date]]&lt;&gt;"Not Yet Delivered"),Table1[[#This Row],[Delivery_Date]]-Table1[[#This Row],[Order_Date]],"Not Applicable")</f>
        <v>Not Applicable</v>
      </c>
      <c r="M806" s="14">
        <f>Table1[[#This Row],[Unit_Cost]]-Table1[[#This Row],[Negotiated_Cost]]</f>
        <v>644.39999999999964</v>
      </c>
      <c r="N806" s="18">
        <f>Table1[[#This Row],[Defective_Units]]/Table1[[#This Row],[Quantity]]</f>
        <v>5.8479532163742687E-3</v>
      </c>
      <c r="O806" s="26">
        <f>(Table1[[#This Row],[Unit_Cost]]-Table1[[#This Row],[Negotiated_Cost]])/Table1[[#This Row],[Unit_Cost]]</f>
        <v>5.2412401991085635E-2</v>
      </c>
    </row>
    <row r="807" spans="1:15" x14ac:dyDescent="0.25">
      <c r="A807" t="s">
        <v>842</v>
      </c>
      <c r="B807" t="s">
        <v>40</v>
      </c>
      <c r="C807" s="14" t="s">
        <v>13</v>
      </c>
      <c r="D807" s="1">
        <v>45484</v>
      </c>
      <c r="E807" s="13">
        <v>45507</v>
      </c>
      <c r="F807" s="14" t="s">
        <v>14</v>
      </c>
      <c r="G807">
        <v>68</v>
      </c>
      <c r="H807">
        <v>4296.87</v>
      </c>
      <c r="I807">
        <v>4145.62</v>
      </c>
      <c r="J807">
        <v>0</v>
      </c>
      <c r="K807" s="14" t="s">
        <v>15</v>
      </c>
      <c r="L807" s="14">
        <f>IF(OR(Table1[[#This Row],[Order_Status]]="Delivered",Table1[[#This Row],[Delivery_Date]]&lt;&gt;"Not Yet Delivered"),Table1[[#This Row],[Delivery_Date]]-Table1[[#This Row],[Order_Date]],"Not Applicable")</f>
        <v>23</v>
      </c>
      <c r="M807" s="14">
        <f>Table1[[#This Row],[Unit_Cost]]-Table1[[#This Row],[Negotiated_Cost]]</f>
        <v>151.25</v>
      </c>
      <c r="N807" s="18">
        <f>Table1[[#This Row],[Defective_Units]]/Table1[[#This Row],[Quantity]]</f>
        <v>0</v>
      </c>
      <c r="O807" s="26">
        <f>(Table1[[#This Row],[Unit_Cost]]-Table1[[#This Row],[Negotiated_Cost]])/Table1[[#This Row],[Unit_Cost]]</f>
        <v>3.5200040960047661E-2</v>
      </c>
    </row>
    <row r="808" spans="1:15" x14ac:dyDescent="0.25">
      <c r="A808" t="s">
        <v>843</v>
      </c>
      <c r="B808" t="s">
        <v>20</v>
      </c>
      <c r="C808" s="14" t="s">
        <v>18</v>
      </c>
      <c r="D808" s="1">
        <v>44992</v>
      </c>
      <c r="E808" s="13">
        <v>45007</v>
      </c>
      <c r="F808" s="14" t="s">
        <v>14</v>
      </c>
      <c r="G808">
        <v>154</v>
      </c>
      <c r="H808">
        <v>5013.93</v>
      </c>
      <c r="I808">
        <v>4994.32</v>
      </c>
      <c r="J808">
        <v>3</v>
      </c>
      <c r="K808" s="14" t="s">
        <v>15</v>
      </c>
      <c r="L808" s="14">
        <f>IF(OR(Table1[[#This Row],[Order_Status]]="Delivered",Table1[[#This Row],[Delivery_Date]]&lt;&gt;"Not Yet Delivered"),Table1[[#This Row],[Delivery_Date]]-Table1[[#This Row],[Order_Date]],"Not Applicable")</f>
        <v>15</v>
      </c>
      <c r="M808" s="14">
        <f>Table1[[#This Row],[Unit_Cost]]-Table1[[#This Row],[Negotiated_Cost]]</f>
        <v>19.610000000000582</v>
      </c>
      <c r="N808" s="18">
        <f>Table1[[#This Row],[Defective_Units]]/Table1[[#This Row],[Quantity]]</f>
        <v>1.948051948051948E-2</v>
      </c>
      <c r="O808" s="26">
        <f>(Table1[[#This Row],[Unit_Cost]]-Table1[[#This Row],[Negotiated_Cost]])/Table1[[#This Row],[Unit_Cost]]</f>
        <v>3.9111036651888996E-3</v>
      </c>
    </row>
    <row r="809" spans="1:15" x14ac:dyDescent="0.25">
      <c r="A809" t="s">
        <v>844</v>
      </c>
      <c r="B809" t="s">
        <v>35</v>
      </c>
      <c r="C809" s="14" t="s">
        <v>18</v>
      </c>
      <c r="D809" s="1">
        <v>45172</v>
      </c>
      <c r="E809" s="13">
        <v>45174</v>
      </c>
      <c r="F809" s="14" t="s">
        <v>14</v>
      </c>
      <c r="G809">
        <v>180</v>
      </c>
      <c r="H809">
        <v>5421.28</v>
      </c>
      <c r="I809">
        <v>5356.94</v>
      </c>
      <c r="J809">
        <v>2</v>
      </c>
      <c r="K809" s="14" t="s">
        <v>15</v>
      </c>
      <c r="L809" s="14">
        <f>IF(OR(Table1[[#This Row],[Order_Status]]="Delivered",Table1[[#This Row],[Delivery_Date]]&lt;&gt;"Not Yet Delivered"),Table1[[#This Row],[Delivery_Date]]-Table1[[#This Row],[Order_Date]],"Not Applicable")</f>
        <v>2</v>
      </c>
      <c r="M809" s="14">
        <f>Table1[[#This Row],[Unit_Cost]]-Table1[[#This Row],[Negotiated_Cost]]</f>
        <v>64.340000000000146</v>
      </c>
      <c r="N809" s="18">
        <f>Table1[[#This Row],[Defective_Units]]/Table1[[#This Row],[Quantity]]</f>
        <v>1.1111111111111112E-2</v>
      </c>
      <c r="O809" s="26">
        <f>(Table1[[#This Row],[Unit_Cost]]-Table1[[#This Row],[Negotiated_Cost]])/Table1[[#This Row],[Unit_Cost]]</f>
        <v>1.1868045922734142E-2</v>
      </c>
    </row>
    <row r="810" spans="1:15" x14ac:dyDescent="0.25">
      <c r="A810" t="s">
        <v>845</v>
      </c>
      <c r="B810" t="s">
        <v>27</v>
      </c>
      <c r="C810" s="14" t="s">
        <v>48</v>
      </c>
      <c r="D810" s="1">
        <v>45505</v>
      </c>
      <c r="E810" s="13">
        <v>45533</v>
      </c>
      <c r="F810" s="14" t="s">
        <v>14</v>
      </c>
      <c r="G810">
        <v>14</v>
      </c>
      <c r="H810">
        <v>6507.18</v>
      </c>
      <c r="I810">
        <v>6359.4</v>
      </c>
      <c r="J810">
        <v>0</v>
      </c>
      <c r="K810" s="14" t="s">
        <v>15</v>
      </c>
      <c r="L810" s="14">
        <f>IF(OR(Table1[[#This Row],[Order_Status]]="Delivered",Table1[[#This Row],[Delivery_Date]]&lt;&gt;"Not Yet Delivered"),Table1[[#This Row],[Delivery_Date]]-Table1[[#This Row],[Order_Date]],"Not Applicable")</f>
        <v>28</v>
      </c>
      <c r="M810" s="14">
        <f>Table1[[#This Row],[Unit_Cost]]-Table1[[#This Row],[Negotiated_Cost]]</f>
        <v>147.78000000000065</v>
      </c>
      <c r="N810" s="18">
        <f>Table1[[#This Row],[Defective_Units]]/Table1[[#This Row],[Quantity]]</f>
        <v>0</v>
      </c>
      <c r="O810" s="26">
        <f>(Table1[[#This Row],[Unit_Cost]]-Table1[[#This Row],[Negotiated_Cost]])/Table1[[#This Row],[Unit_Cost]]</f>
        <v>2.2710298470305208E-2</v>
      </c>
    </row>
    <row r="811" spans="1:15" x14ac:dyDescent="0.25">
      <c r="A811" t="s">
        <v>846</v>
      </c>
      <c r="B811" t="s">
        <v>46</v>
      </c>
      <c r="C811" s="14" t="s">
        <v>18</v>
      </c>
      <c r="D811" s="1">
        <v>45197</v>
      </c>
      <c r="E811" s="13">
        <v>45218</v>
      </c>
      <c r="F811" s="14" t="s">
        <v>14</v>
      </c>
      <c r="G811">
        <v>487</v>
      </c>
      <c r="H811">
        <v>5355.5</v>
      </c>
      <c r="I811">
        <v>5066.71</v>
      </c>
      <c r="J811">
        <v>0</v>
      </c>
      <c r="K811" s="14" t="s">
        <v>15</v>
      </c>
      <c r="L811" s="14">
        <f>IF(OR(Table1[[#This Row],[Order_Status]]="Delivered",Table1[[#This Row],[Delivery_Date]]&lt;&gt;"Not Yet Delivered"),Table1[[#This Row],[Delivery_Date]]-Table1[[#This Row],[Order_Date]],"Not Applicable")</f>
        <v>21</v>
      </c>
      <c r="M811" s="14">
        <f>Table1[[#This Row],[Unit_Cost]]-Table1[[#This Row],[Negotiated_Cost]]</f>
        <v>288.78999999999996</v>
      </c>
      <c r="N811" s="18">
        <f>Table1[[#This Row],[Defective_Units]]/Table1[[#This Row],[Quantity]]</f>
        <v>0</v>
      </c>
      <c r="O811" s="26">
        <f>(Table1[[#This Row],[Unit_Cost]]-Table1[[#This Row],[Negotiated_Cost]])/Table1[[#This Row],[Unit_Cost]]</f>
        <v>5.392400336103071E-2</v>
      </c>
    </row>
    <row r="812" spans="1:15" x14ac:dyDescent="0.25">
      <c r="A812" t="s">
        <v>847</v>
      </c>
      <c r="B812" t="s">
        <v>40</v>
      </c>
      <c r="C812" s="14" t="s">
        <v>13</v>
      </c>
      <c r="D812" s="1">
        <v>45395</v>
      </c>
      <c r="E812" s="14" t="s">
        <v>2057</v>
      </c>
      <c r="F812" s="14" t="s">
        <v>33</v>
      </c>
      <c r="G812">
        <v>404</v>
      </c>
      <c r="H812">
        <v>4395.21</v>
      </c>
      <c r="I812">
        <v>4152.21</v>
      </c>
      <c r="J812">
        <v>2</v>
      </c>
      <c r="K812" s="14" t="s">
        <v>15</v>
      </c>
      <c r="L812" s="14" t="str">
        <f>IF(OR(Table1[[#This Row],[Order_Status]]="Delivered",Table1[[#This Row],[Delivery_Date]]&lt;&gt;"Not Yet Delivered"),Table1[[#This Row],[Delivery_Date]]-Table1[[#This Row],[Order_Date]],"Not Applicable")</f>
        <v>Not Applicable</v>
      </c>
      <c r="M812" s="14">
        <f>Table1[[#This Row],[Unit_Cost]]-Table1[[#This Row],[Negotiated_Cost]]</f>
        <v>243</v>
      </c>
      <c r="N812" s="18">
        <f>Table1[[#This Row],[Defective_Units]]/Table1[[#This Row],[Quantity]]</f>
        <v>4.9504950495049506E-3</v>
      </c>
      <c r="O812" s="26">
        <f>(Table1[[#This Row],[Unit_Cost]]-Table1[[#This Row],[Negotiated_Cost]])/Table1[[#This Row],[Unit_Cost]]</f>
        <v>5.5287460667408382E-2</v>
      </c>
    </row>
    <row r="813" spans="1:15" x14ac:dyDescent="0.25">
      <c r="A813" t="s">
        <v>848</v>
      </c>
      <c r="B813" t="s">
        <v>20</v>
      </c>
      <c r="C813" s="14" t="s">
        <v>30</v>
      </c>
      <c r="D813" s="1">
        <v>45328</v>
      </c>
      <c r="E813" s="13">
        <v>45352</v>
      </c>
      <c r="F813" s="14" t="s">
        <v>14</v>
      </c>
      <c r="G813">
        <v>195</v>
      </c>
      <c r="H813">
        <v>901.2</v>
      </c>
      <c r="I813">
        <v>885</v>
      </c>
      <c r="J813">
        <v>2</v>
      </c>
      <c r="K813" s="14" t="s">
        <v>15</v>
      </c>
      <c r="L813" s="14">
        <f>IF(OR(Table1[[#This Row],[Order_Status]]="Delivered",Table1[[#This Row],[Delivery_Date]]&lt;&gt;"Not Yet Delivered"),Table1[[#This Row],[Delivery_Date]]-Table1[[#This Row],[Order_Date]],"Not Applicable")</f>
        <v>24</v>
      </c>
      <c r="M813" s="14">
        <f>Table1[[#This Row],[Unit_Cost]]-Table1[[#This Row],[Negotiated_Cost]]</f>
        <v>16.200000000000045</v>
      </c>
      <c r="N813" s="18">
        <f>Table1[[#This Row],[Defective_Units]]/Table1[[#This Row],[Quantity]]</f>
        <v>1.0256410256410256E-2</v>
      </c>
      <c r="O813" s="26">
        <f>(Table1[[#This Row],[Unit_Cost]]-Table1[[#This Row],[Negotiated_Cost]])/Table1[[#This Row],[Unit_Cost]]</f>
        <v>1.7976031957390195E-2</v>
      </c>
    </row>
    <row r="814" spans="1:15" x14ac:dyDescent="0.25">
      <c r="A814" t="s">
        <v>849</v>
      </c>
      <c r="B814" t="s">
        <v>17</v>
      </c>
      <c r="C814" s="14" t="s">
        <v>30</v>
      </c>
      <c r="D814" s="1">
        <v>45566</v>
      </c>
      <c r="E814" s="13">
        <v>45576</v>
      </c>
      <c r="F814" s="14" t="s">
        <v>14</v>
      </c>
      <c r="G814">
        <v>109</v>
      </c>
      <c r="H814">
        <v>824.1</v>
      </c>
      <c r="I814">
        <v>803.62</v>
      </c>
      <c r="J814">
        <v>4</v>
      </c>
      <c r="K814" s="14" t="s">
        <v>25</v>
      </c>
      <c r="L814" s="14">
        <f>IF(OR(Table1[[#This Row],[Order_Status]]="Delivered",Table1[[#This Row],[Delivery_Date]]&lt;&gt;"Not Yet Delivered"),Table1[[#This Row],[Delivery_Date]]-Table1[[#This Row],[Order_Date]],"Not Applicable")</f>
        <v>10</v>
      </c>
      <c r="M814" s="14">
        <f>Table1[[#This Row],[Unit_Cost]]-Table1[[#This Row],[Negotiated_Cost]]</f>
        <v>20.480000000000018</v>
      </c>
      <c r="N814" s="18">
        <f>Table1[[#This Row],[Defective_Units]]/Table1[[#This Row],[Quantity]]</f>
        <v>3.669724770642202E-2</v>
      </c>
      <c r="O814" s="26">
        <f>(Table1[[#This Row],[Unit_Cost]]-Table1[[#This Row],[Negotiated_Cost]])/Table1[[#This Row],[Unit_Cost]]</f>
        <v>2.4851352991141874E-2</v>
      </c>
    </row>
    <row r="815" spans="1:15" x14ac:dyDescent="0.25">
      <c r="A815" t="s">
        <v>850</v>
      </c>
      <c r="B815" t="s">
        <v>40</v>
      </c>
      <c r="C815" s="14" t="s">
        <v>36</v>
      </c>
      <c r="D815" s="1">
        <v>45463</v>
      </c>
      <c r="E815" s="13">
        <v>45473</v>
      </c>
      <c r="F815" s="14" t="s">
        <v>14</v>
      </c>
      <c r="G815">
        <v>272</v>
      </c>
      <c r="H815">
        <v>600.47</v>
      </c>
      <c r="I815">
        <v>582.66</v>
      </c>
      <c r="J815">
        <v>4</v>
      </c>
      <c r="K815" s="14" t="s">
        <v>15</v>
      </c>
      <c r="L815" s="14">
        <f>IF(OR(Table1[[#This Row],[Order_Status]]="Delivered",Table1[[#This Row],[Delivery_Date]]&lt;&gt;"Not Yet Delivered"),Table1[[#This Row],[Delivery_Date]]-Table1[[#This Row],[Order_Date]],"Not Applicable")</f>
        <v>10</v>
      </c>
      <c r="M815" s="14">
        <f>Table1[[#This Row],[Unit_Cost]]-Table1[[#This Row],[Negotiated_Cost]]</f>
        <v>17.810000000000059</v>
      </c>
      <c r="N815" s="18">
        <f>Table1[[#This Row],[Defective_Units]]/Table1[[#This Row],[Quantity]]</f>
        <v>1.4705882352941176E-2</v>
      </c>
      <c r="O815" s="26">
        <f>(Table1[[#This Row],[Unit_Cost]]-Table1[[#This Row],[Negotiated_Cost]])/Table1[[#This Row],[Unit_Cost]]</f>
        <v>2.9660099588655651E-2</v>
      </c>
    </row>
    <row r="816" spans="1:15" x14ac:dyDescent="0.25">
      <c r="A816" t="s">
        <v>851</v>
      </c>
      <c r="B816" t="s">
        <v>32</v>
      </c>
      <c r="C816" s="14" t="s">
        <v>50</v>
      </c>
      <c r="D816" s="1">
        <v>45183</v>
      </c>
      <c r="E816" s="13">
        <v>45189</v>
      </c>
      <c r="F816" s="14" t="s">
        <v>14</v>
      </c>
      <c r="G816">
        <v>213</v>
      </c>
      <c r="H816">
        <v>47765.84</v>
      </c>
      <c r="I816">
        <v>47416.92</v>
      </c>
      <c r="J816">
        <v>1</v>
      </c>
      <c r="K816" s="14" t="s">
        <v>15</v>
      </c>
      <c r="L816" s="14">
        <f>IF(OR(Table1[[#This Row],[Order_Status]]="Delivered",Table1[[#This Row],[Delivery_Date]]&lt;&gt;"Not Yet Delivered"),Table1[[#This Row],[Delivery_Date]]-Table1[[#This Row],[Order_Date]],"Not Applicable")</f>
        <v>6</v>
      </c>
      <c r="M816" s="14">
        <f>Table1[[#This Row],[Unit_Cost]]-Table1[[#This Row],[Negotiated_Cost]]</f>
        <v>348.91999999999825</v>
      </c>
      <c r="N816" s="18">
        <f>Table1[[#This Row],[Defective_Units]]/Table1[[#This Row],[Quantity]]</f>
        <v>4.6948356807511738E-3</v>
      </c>
      <c r="O816" s="26">
        <f>(Table1[[#This Row],[Unit_Cost]]-Table1[[#This Row],[Negotiated_Cost]])/Table1[[#This Row],[Unit_Cost]]</f>
        <v>7.304801925392671E-3</v>
      </c>
    </row>
    <row r="817" spans="1:15" x14ac:dyDescent="0.25">
      <c r="A817" t="s">
        <v>852</v>
      </c>
      <c r="B817" t="s">
        <v>27</v>
      </c>
      <c r="C817" s="14" t="s">
        <v>50</v>
      </c>
      <c r="D817" s="1">
        <v>44940</v>
      </c>
      <c r="E817" s="13">
        <v>44957</v>
      </c>
      <c r="F817" s="14" t="s">
        <v>14</v>
      </c>
      <c r="G817">
        <v>498</v>
      </c>
      <c r="H817">
        <v>55583.45</v>
      </c>
      <c r="I817">
        <v>55286.05</v>
      </c>
      <c r="J817">
        <v>3</v>
      </c>
      <c r="K817" s="14" t="s">
        <v>15</v>
      </c>
      <c r="L817" s="14">
        <f>IF(OR(Table1[[#This Row],[Order_Status]]="Delivered",Table1[[#This Row],[Delivery_Date]]&lt;&gt;"Not Yet Delivered"),Table1[[#This Row],[Delivery_Date]]-Table1[[#This Row],[Order_Date]],"Not Applicable")</f>
        <v>17</v>
      </c>
      <c r="M817" s="14">
        <f>Table1[[#This Row],[Unit_Cost]]-Table1[[#This Row],[Negotiated_Cost]]</f>
        <v>297.39999999999418</v>
      </c>
      <c r="N817" s="18">
        <f>Table1[[#This Row],[Defective_Units]]/Table1[[#This Row],[Quantity]]</f>
        <v>6.024096385542169E-3</v>
      </c>
      <c r="O817" s="26">
        <f>(Table1[[#This Row],[Unit_Cost]]-Table1[[#This Row],[Negotiated_Cost]])/Table1[[#This Row],[Unit_Cost]]</f>
        <v>5.3505135071679468E-3</v>
      </c>
    </row>
    <row r="818" spans="1:15" x14ac:dyDescent="0.25">
      <c r="A818" t="s">
        <v>853</v>
      </c>
      <c r="B818" t="s">
        <v>40</v>
      </c>
      <c r="C818" s="14" t="s">
        <v>13</v>
      </c>
      <c r="D818" s="1">
        <v>44998</v>
      </c>
      <c r="E818" s="13">
        <v>45022</v>
      </c>
      <c r="F818" s="14" t="s">
        <v>14</v>
      </c>
      <c r="G818">
        <v>422</v>
      </c>
      <c r="H818">
        <v>4395.7299999999996</v>
      </c>
      <c r="I818">
        <v>4375.82</v>
      </c>
      <c r="J818">
        <v>4</v>
      </c>
      <c r="K818" s="14" t="s">
        <v>15</v>
      </c>
      <c r="L818" s="14">
        <f>IF(OR(Table1[[#This Row],[Order_Status]]="Delivered",Table1[[#This Row],[Delivery_Date]]&lt;&gt;"Not Yet Delivered"),Table1[[#This Row],[Delivery_Date]]-Table1[[#This Row],[Order_Date]],"Not Applicable")</f>
        <v>24</v>
      </c>
      <c r="M818" s="14">
        <f>Table1[[#This Row],[Unit_Cost]]-Table1[[#This Row],[Negotiated_Cost]]</f>
        <v>19.909999999999854</v>
      </c>
      <c r="N818" s="18">
        <f>Table1[[#This Row],[Defective_Units]]/Table1[[#This Row],[Quantity]]</f>
        <v>9.4786729857819912E-3</v>
      </c>
      <c r="O818" s="26">
        <f>(Table1[[#This Row],[Unit_Cost]]-Table1[[#This Row],[Negotiated_Cost]])/Table1[[#This Row],[Unit_Cost]]</f>
        <v>4.5293955725214828E-3</v>
      </c>
    </row>
    <row r="819" spans="1:15" x14ac:dyDescent="0.25">
      <c r="A819" t="s">
        <v>854</v>
      </c>
      <c r="B819" t="s">
        <v>46</v>
      </c>
      <c r="C819" s="14" t="s">
        <v>44</v>
      </c>
      <c r="D819" s="1">
        <v>45247</v>
      </c>
      <c r="E819" s="13">
        <v>45265</v>
      </c>
      <c r="F819" s="14" t="s">
        <v>14</v>
      </c>
      <c r="G819">
        <v>328</v>
      </c>
      <c r="H819">
        <v>8489.7000000000007</v>
      </c>
      <c r="I819">
        <v>8305</v>
      </c>
      <c r="J819">
        <v>0</v>
      </c>
      <c r="K819" s="14" t="s">
        <v>15</v>
      </c>
      <c r="L819" s="14">
        <f>IF(OR(Table1[[#This Row],[Order_Status]]="Delivered",Table1[[#This Row],[Delivery_Date]]&lt;&gt;"Not Yet Delivered"),Table1[[#This Row],[Delivery_Date]]-Table1[[#This Row],[Order_Date]],"Not Applicable")</f>
        <v>18</v>
      </c>
      <c r="M819" s="14">
        <f>Table1[[#This Row],[Unit_Cost]]-Table1[[#This Row],[Negotiated_Cost]]</f>
        <v>184.70000000000073</v>
      </c>
      <c r="N819" s="18">
        <f>Table1[[#This Row],[Defective_Units]]/Table1[[#This Row],[Quantity]]</f>
        <v>0</v>
      </c>
      <c r="O819" s="26">
        <f>(Table1[[#This Row],[Unit_Cost]]-Table1[[#This Row],[Negotiated_Cost]])/Table1[[#This Row],[Unit_Cost]]</f>
        <v>2.1755774644569386E-2</v>
      </c>
    </row>
    <row r="820" spans="1:15" x14ac:dyDescent="0.25">
      <c r="A820" t="s">
        <v>855</v>
      </c>
      <c r="B820" t="s">
        <v>27</v>
      </c>
      <c r="C820" s="14" t="s">
        <v>21</v>
      </c>
      <c r="D820" s="1">
        <v>45306</v>
      </c>
      <c r="E820" s="13">
        <v>45334</v>
      </c>
      <c r="F820" s="14" t="s">
        <v>14</v>
      </c>
      <c r="G820">
        <v>407</v>
      </c>
      <c r="H820">
        <v>115.33</v>
      </c>
      <c r="I820">
        <v>112.94</v>
      </c>
      <c r="J820">
        <v>4</v>
      </c>
      <c r="K820" s="14" t="s">
        <v>15</v>
      </c>
      <c r="L820" s="14">
        <f>IF(OR(Table1[[#This Row],[Order_Status]]="Delivered",Table1[[#This Row],[Delivery_Date]]&lt;&gt;"Not Yet Delivered"),Table1[[#This Row],[Delivery_Date]]-Table1[[#This Row],[Order_Date]],"Not Applicable")</f>
        <v>28</v>
      </c>
      <c r="M820" s="14">
        <f>Table1[[#This Row],[Unit_Cost]]-Table1[[#This Row],[Negotiated_Cost]]</f>
        <v>2.3900000000000006</v>
      </c>
      <c r="N820" s="18">
        <f>Table1[[#This Row],[Defective_Units]]/Table1[[#This Row],[Quantity]]</f>
        <v>9.8280098280098278E-3</v>
      </c>
      <c r="O820" s="26">
        <f>(Table1[[#This Row],[Unit_Cost]]-Table1[[#This Row],[Negotiated_Cost]])/Table1[[#This Row],[Unit_Cost]]</f>
        <v>2.0723142287349349E-2</v>
      </c>
    </row>
    <row r="821" spans="1:15" x14ac:dyDescent="0.25">
      <c r="A821" t="s">
        <v>856</v>
      </c>
      <c r="B821" t="s">
        <v>20</v>
      </c>
      <c r="C821" s="14" t="s">
        <v>21</v>
      </c>
      <c r="D821" s="1">
        <v>44943</v>
      </c>
      <c r="E821" s="13">
        <v>44973</v>
      </c>
      <c r="F821" s="14" t="s">
        <v>14</v>
      </c>
      <c r="G821">
        <v>355</v>
      </c>
      <c r="H821">
        <v>113.22</v>
      </c>
      <c r="I821">
        <v>110.45</v>
      </c>
      <c r="J821">
        <v>4</v>
      </c>
      <c r="K821" s="14" t="s">
        <v>15</v>
      </c>
      <c r="L821" s="14">
        <f>IF(OR(Table1[[#This Row],[Order_Status]]="Delivered",Table1[[#This Row],[Delivery_Date]]&lt;&gt;"Not Yet Delivered"),Table1[[#This Row],[Delivery_Date]]-Table1[[#This Row],[Order_Date]],"Not Applicable")</f>
        <v>30</v>
      </c>
      <c r="M821" s="14">
        <f>Table1[[#This Row],[Unit_Cost]]-Table1[[#This Row],[Negotiated_Cost]]</f>
        <v>2.769999999999996</v>
      </c>
      <c r="N821" s="18">
        <f>Table1[[#This Row],[Defective_Units]]/Table1[[#This Row],[Quantity]]</f>
        <v>1.1267605633802818E-2</v>
      </c>
      <c r="O821" s="26">
        <f>(Table1[[#This Row],[Unit_Cost]]-Table1[[#This Row],[Negotiated_Cost]])/Table1[[#This Row],[Unit_Cost]]</f>
        <v>2.44656421127009E-2</v>
      </c>
    </row>
    <row r="822" spans="1:15" x14ac:dyDescent="0.25">
      <c r="A822" t="s">
        <v>857</v>
      </c>
      <c r="B822" t="s">
        <v>32</v>
      </c>
      <c r="C822" s="14" t="s">
        <v>36</v>
      </c>
      <c r="D822" s="1">
        <v>45301</v>
      </c>
      <c r="E822" s="13">
        <v>45309</v>
      </c>
      <c r="F822" s="14" t="s">
        <v>14</v>
      </c>
      <c r="G822">
        <v>334</v>
      </c>
      <c r="H822">
        <v>487.25</v>
      </c>
      <c r="I822">
        <v>467.16</v>
      </c>
      <c r="J822">
        <v>4</v>
      </c>
      <c r="K822" s="14" t="s">
        <v>15</v>
      </c>
      <c r="L822" s="14">
        <f>IF(OR(Table1[[#This Row],[Order_Status]]="Delivered",Table1[[#This Row],[Delivery_Date]]&lt;&gt;"Not Yet Delivered"),Table1[[#This Row],[Delivery_Date]]-Table1[[#This Row],[Order_Date]],"Not Applicable")</f>
        <v>8</v>
      </c>
      <c r="M822" s="14">
        <f>Table1[[#This Row],[Unit_Cost]]-Table1[[#This Row],[Negotiated_Cost]]</f>
        <v>20.089999999999975</v>
      </c>
      <c r="N822" s="18">
        <f>Table1[[#This Row],[Defective_Units]]/Table1[[#This Row],[Quantity]]</f>
        <v>1.1976047904191617E-2</v>
      </c>
      <c r="O822" s="26">
        <f>(Table1[[#This Row],[Unit_Cost]]-Table1[[#This Row],[Negotiated_Cost]])/Table1[[#This Row],[Unit_Cost]]</f>
        <v>4.1231400718317032E-2</v>
      </c>
    </row>
    <row r="823" spans="1:15" x14ac:dyDescent="0.25">
      <c r="A823" t="s">
        <v>858</v>
      </c>
      <c r="B823" t="s">
        <v>40</v>
      </c>
      <c r="C823" s="14" t="s">
        <v>36</v>
      </c>
      <c r="D823" s="1">
        <v>44993</v>
      </c>
      <c r="E823" s="14" t="s">
        <v>2057</v>
      </c>
      <c r="F823" s="14" t="s">
        <v>33</v>
      </c>
      <c r="G823">
        <v>246</v>
      </c>
      <c r="H823">
        <v>607.42999999999995</v>
      </c>
      <c r="I823">
        <v>576.76</v>
      </c>
      <c r="J823">
        <v>2</v>
      </c>
      <c r="K823" s="14" t="s">
        <v>15</v>
      </c>
      <c r="L823" s="14" t="str">
        <f>IF(OR(Table1[[#This Row],[Order_Status]]="Delivered",Table1[[#This Row],[Delivery_Date]]&lt;&gt;"Not Yet Delivered"),Table1[[#This Row],[Delivery_Date]]-Table1[[#This Row],[Order_Date]],"Not Applicable")</f>
        <v>Not Applicable</v>
      </c>
      <c r="M823" s="14">
        <f>Table1[[#This Row],[Unit_Cost]]-Table1[[#This Row],[Negotiated_Cost]]</f>
        <v>30.669999999999959</v>
      </c>
      <c r="N823" s="18">
        <f>Table1[[#This Row],[Defective_Units]]/Table1[[#This Row],[Quantity]]</f>
        <v>8.130081300813009E-3</v>
      </c>
      <c r="O823" s="26">
        <f>(Table1[[#This Row],[Unit_Cost]]-Table1[[#This Row],[Negotiated_Cost]])/Table1[[#This Row],[Unit_Cost]]</f>
        <v>5.0491414648601421E-2</v>
      </c>
    </row>
    <row r="824" spans="1:15" x14ac:dyDescent="0.25">
      <c r="A824" t="s">
        <v>859</v>
      </c>
      <c r="B824" t="s">
        <v>40</v>
      </c>
      <c r="C824" s="14" t="s">
        <v>48</v>
      </c>
      <c r="D824" s="1">
        <v>45307</v>
      </c>
      <c r="E824" s="13">
        <v>45316</v>
      </c>
      <c r="F824" s="14" t="s">
        <v>14</v>
      </c>
      <c r="G824">
        <v>96</v>
      </c>
      <c r="H824">
        <v>6694.22</v>
      </c>
      <c r="I824">
        <v>6603</v>
      </c>
      <c r="J824">
        <v>1</v>
      </c>
      <c r="K824" s="14" t="s">
        <v>15</v>
      </c>
      <c r="L824" s="14">
        <f>IF(OR(Table1[[#This Row],[Order_Status]]="Delivered",Table1[[#This Row],[Delivery_Date]]&lt;&gt;"Not Yet Delivered"),Table1[[#This Row],[Delivery_Date]]-Table1[[#This Row],[Order_Date]],"Not Applicable")</f>
        <v>9</v>
      </c>
      <c r="M824" s="14">
        <f>Table1[[#This Row],[Unit_Cost]]-Table1[[#This Row],[Negotiated_Cost]]</f>
        <v>91.220000000000255</v>
      </c>
      <c r="N824" s="18">
        <f>Table1[[#This Row],[Defective_Units]]/Table1[[#This Row],[Quantity]]</f>
        <v>1.0416666666666666E-2</v>
      </c>
      <c r="O824" s="26">
        <f>(Table1[[#This Row],[Unit_Cost]]-Table1[[#This Row],[Negotiated_Cost]])/Table1[[#This Row],[Unit_Cost]]</f>
        <v>1.3626680927725747E-2</v>
      </c>
    </row>
    <row r="825" spans="1:15" x14ac:dyDescent="0.25">
      <c r="A825" t="s">
        <v>860</v>
      </c>
      <c r="B825" t="s">
        <v>20</v>
      </c>
      <c r="C825" s="14" t="s">
        <v>55</v>
      </c>
      <c r="D825" s="1">
        <v>45495</v>
      </c>
      <c r="E825" s="13">
        <v>45514</v>
      </c>
      <c r="F825" s="14" t="s">
        <v>14</v>
      </c>
      <c r="G825">
        <v>66</v>
      </c>
      <c r="H825">
        <v>13372.69</v>
      </c>
      <c r="I825">
        <v>13173.97</v>
      </c>
      <c r="J825">
        <v>0</v>
      </c>
      <c r="K825" s="14" t="s">
        <v>15</v>
      </c>
      <c r="L825" s="14">
        <f>IF(OR(Table1[[#This Row],[Order_Status]]="Delivered",Table1[[#This Row],[Delivery_Date]]&lt;&gt;"Not Yet Delivered"),Table1[[#This Row],[Delivery_Date]]-Table1[[#This Row],[Order_Date]],"Not Applicable")</f>
        <v>19</v>
      </c>
      <c r="M825" s="14">
        <f>Table1[[#This Row],[Unit_Cost]]-Table1[[#This Row],[Negotiated_Cost]]</f>
        <v>198.72000000000116</v>
      </c>
      <c r="N825" s="18">
        <f>Table1[[#This Row],[Defective_Units]]/Table1[[#This Row],[Quantity]]</f>
        <v>0</v>
      </c>
      <c r="O825" s="26">
        <f>(Table1[[#This Row],[Unit_Cost]]-Table1[[#This Row],[Negotiated_Cost]])/Table1[[#This Row],[Unit_Cost]]</f>
        <v>1.4860136591815197E-2</v>
      </c>
    </row>
    <row r="826" spans="1:15" x14ac:dyDescent="0.25">
      <c r="A826" t="s">
        <v>861</v>
      </c>
      <c r="B826" t="s">
        <v>17</v>
      </c>
      <c r="C826" s="14" t="s">
        <v>44</v>
      </c>
      <c r="D826" s="1">
        <v>45239</v>
      </c>
      <c r="E826" s="13">
        <v>45253</v>
      </c>
      <c r="F826" s="14" t="s">
        <v>37</v>
      </c>
      <c r="G826">
        <v>369</v>
      </c>
      <c r="H826">
        <v>8111.06</v>
      </c>
      <c r="I826">
        <v>7950</v>
      </c>
      <c r="J826">
        <v>5</v>
      </c>
      <c r="K826" s="14" t="s">
        <v>15</v>
      </c>
      <c r="L826" s="14">
        <f>IF(OR(Table1[[#This Row],[Order_Status]]="Delivered",Table1[[#This Row],[Delivery_Date]]&lt;&gt;"Not Yet Delivered"),Table1[[#This Row],[Delivery_Date]]-Table1[[#This Row],[Order_Date]],"Not Applicable")</f>
        <v>14</v>
      </c>
      <c r="M826" s="14">
        <f>Table1[[#This Row],[Unit_Cost]]-Table1[[#This Row],[Negotiated_Cost]]</f>
        <v>161.0600000000004</v>
      </c>
      <c r="N826" s="18">
        <f>Table1[[#This Row],[Defective_Units]]/Table1[[#This Row],[Quantity]]</f>
        <v>1.3550135501355014E-2</v>
      </c>
      <c r="O826" s="26">
        <f>(Table1[[#This Row],[Unit_Cost]]-Table1[[#This Row],[Negotiated_Cost]])/Table1[[#This Row],[Unit_Cost]]</f>
        <v>1.985683745404428E-2</v>
      </c>
    </row>
    <row r="827" spans="1:15" x14ac:dyDescent="0.25">
      <c r="A827" t="s">
        <v>862</v>
      </c>
      <c r="B827" t="s">
        <v>35</v>
      </c>
      <c r="C827" s="14" t="s">
        <v>28</v>
      </c>
      <c r="D827" s="1">
        <v>45089</v>
      </c>
      <c r="E827" s="13">
        <v>45103</v>
      </c>
      <c r="F827" s="14" t="s">
        <v>14</v>
      </c>
      <c r="G827">
        <v>275</v>
      </c>
      <c r="H827">
        <v>49461.97</v>
      </c>
      <c r="I827">
        <v>47144.36</v>
      </c>
      <c r="J827">
        <v>2</v>
      </c>
      <c r="K827" s="14" t="s">
        <v>15</v>
      </c>
      <c r="L827" s="14">
        <f>IF(OR(Table1[[#This Row],[Order_Status]]="Delivered",Table1[[#This Row],[Delivery_Date]]&lt;&gt;"Not Yet Delivered"),Table1[[#This Row],[Delivery_Date]]-Table1[[#This Row],[Order_Date]],"Not Applicable")</f>
        <v>14</v>
      </c>
      <c r="M827" s="14">
        <f>Table1[[#This Row],[Unit_Cost]]-Table1[[#This Row],[Negotiated_Cost]]</f>
        <v>2317.6100000000006</v>
      </c>
      <c r="N827" s="18">
        <f>Table1[[#This Row],[Defective_Units]]/Table1[[#This Row],[Quantity]]</f>
        <v>7.2727272727272727E-3</v>
      </c>
      <c r="O827" s="26">
        <f>(Table1[[#This Row],[Unit_Cost]]-Table1[[#This Row],[Negotiated_Cost]])/Table1[[#This Row],[Unit_Cost]]</f>
        <v>4.685640301023191E-2</v>
      </c>
    </row>
    <row r="828" spans="1:15" x14ac:dyDescent="0.25">
      <c r="A828" t="s">
        <v>863</v>
      </c>
      <c r="B828" t="s">
        <v>32</v>
      </c>
      <c r="C828" s="14" t="s">
        <v>36</v>
      </c>
      <c r="D828" s="1">
        <v>45408</v>
      </c>
      <c r="E828" s="13">
        <v>45424</v>
      </c>
      <c r="F828" s="14" t="s">
        <v>37</v>
      </c>
      <c r="G828">
        <v>196</v>
      </c>
      <c r="H828">
        <v>511.12</v>
      </c>
      <c r="I828">
        <v>496.05</v>
      </c>
      <c r="J828">
        <v>2</v>
      </c>
      <c r="K828" s="14" t="s">
        <v>15</v>
      </c>
      <c r="L828" s="14">
        <f>IF(OR(Table1[[#This Row],[Order_Status]]="Delivered",Table1[[#This Row],[Delivery_Date]]&lt;&gt;"Not Yet Delivered"),Table1[[#This Row],[Delivery_Date]]-Table1[[#This Row],[Order_Date]],"Not Applicable")</f>
        <v>16</v>
      </c>
      <c r="M828" s="14">
        <f>Table1[[#This Row],[Unit_Cost]]-Table1[[#This Row],[Negotiated_Cost]]</f>
        <v>15.069999999999993</v>
      </c>
      <c r="N828" s="18">
        <f>Table1[[#This Row],[Defective_Units]]/Table1[[#This Row],[Quantity]]</f>
        <v>1.020408163265306E-2</v>
      </c>
      <c r="O828" s="26">
        <f>(Table1[[#This Row],[Unit_Cost]]-Table1[[#This Row],[Negotiated_Cost]])/Table1[[#This Row],[Unit_Cost]]</f>
        <v>2.9484269838785399E-2</v>
      </c>
    </row>
    <row r="829" spans="1:15" x14ac:dyDescent="0.25">
      <c r="A829" t="s">
        <v>864</v>
      </c>
      <c r="B829" t="s">
        <v>12</v>
      </c>
      <c r="C829" s="14" t="s">
        <v>28</v>
      </c>
      <c r="D829" s="1">
        <v>45563</v>
      </c>
      <c r="E829" s="13">
        <v>45588</v>
      </c>
      <c r="F829" s="14" t="s">
        <v>14</v>
      </c>
      <c r="G829">
        <v>439</v>
      </c>
      <c r="H829">
        <v>51676.86</v>
      </c>
      <c r="I829">
        <v>48737.38</v>
      </c>
      <c r="J829">
        <v>5</v>
      </c>
      <c r="K829" s="14" t="s">
        <v>15</v>
      </c>
      <c r="L829" s="14">
        <f>IF(OR(Table1[[#This Row],[Order_Status]]="Delivered",Table1[[#This Row],[Delivery_Date]]&lt;&gt;"Not Yet Delivered"),Table1[[#This Row],[Delivery_Date]]-Table1[[#This Row],[Order_Date]],"Not Applicable")</f>
        <v>25</v>
      </c>
      <c r="M829" s="14">
        <f>Table1[[#This Row],[Unit_Cost]]-Table1[[#This Row],[Negotiated_Cost]]</f>
        <v>2939.4800000000032</v>
      </c>
      <c r="N829" s="18">
        <f>Table1[[#This Row],[Defective_Units]]/Table1[[#This Row],[Quantity]]</f>
        <v>1.1389521640091117E-2</v>
      </c>
      <c r="O829" s="26">
        <f>(Table1[[#This Row],[Unit_Cost]]-Table1[[#This Row],[Negotiated_Cost]])/Table1[[#This Row],[Unit_Cost]]</f>
        <v>5.6881939034221569E-2</v>
      </c>
    </row>
    <row r="830" spans="1:15" x14ac:dyDescent="0.25">
      <c r="A830" t="s">
        <v>865</v>
      </c>
      <c r="B830" t="s">
        <v>12</v>
      </c>
      <c r="C830" s="14" t="s">
        <v>42</v>
      </c>
      <c r="D830" s="1">
        <v>44977</v>
      </c>
      <c r="E830" s="13">
        <v>45002</v>
      </c>
      <c r="F830" s="14" t="s">
        <v>14</v>
      </c>
      <c r="G830">
        <v>279</v>
      </c>
      <c r="H830">
        <v>13065.3</v>
      </c>
      <c r="I830">
        <v>12560.76</v>
      </c>
      <c r="J830">
        <v>7</v>
      </c>
      <c r="K830" s="14" t="s">
        <v>15</v>
      </c>
      <c r="L830" s="14">
        <f>IF(OR(Table1[[#This Row],[Order_Status]]="Delivered",Table1[[#This Row],[Delivery_Date]]&lt;&gt;"Not Yet Delivered"),Table1[[#This Row],[Delivery_Date]]-Table1[[#This Row],[Order_Date]],"Not Applicable")</f>
        <v>25</v>
      </c>
      <c r="M830" s="14">
        <f>Table1[[#This Row],[Unit_Cost]]-Table1[[#This Row],[Negotiated_Cost]]</f>
        <v>504.53999999999905</v>
      </c>
      <c r="N830" s="18">
        <f>Table1[[#This Row],[Defective_Units]]/Table1[[#This Row],[Quantity]]</f>
        <v>2.5089605734767026E-2</v>
      </c>
      <c r="O830" s="26">
        <f>(Table1[[#This Row],[Unit_Cost]]-Table1[[#This Row],[Negotiated_Cost]])/Table1[[#This Row],[Unit_Cost]]</f>
        <v>3.861679410346483E-2</v>
      </c>
    </row>
    <row r="831" spans="1:15" x14ac:dyDescent="0.25">
      <c r="A831" t="s">
        <v>866</v>
      </c>
      <c r="B831" t="s">
        <v>46</v>
      </c>
      <c r="C831" s="14" t="s">
        <v>44</v>
      </c>
      <c r="D831" s="1">
        <v>45199</v>
      </c>
      <c r="E831" s="13">
        <v>45229</v>
      </c>
      <c r="F831" s="14" t="s">
        <v>14</v>
      </c>
      <c r="G831">
        <v>72</v>
      </c>
      <c r="H831">
        <v>8323.67</v>
      </c>
      <c r="I831">
        <v>8213.84</v>
      </c>
      <c r="J831">
        <v>0</v>
      </c>
      <c r="K831" s="14" t="s">
        <v>15</v>
      </c>
      <c r="L831" s="14">
        <f>IF(OR(Table1[[#This Row],[Order_Status]]="Delivered",Table1[[#This Row],[Delivery_Date]]&lt;&gt;"Not Yet Delivered"),Table1[[#This Row],[Delivery_Date]]-Table1[[#This Row],[Order_Date]],"Not Applicable")</f>
        <v>30</v>
      </c>
      <c r="M831" s="14">
        <f>Table1[[#This Row],[Unit_Cost]]-Table1[[#This Row],[Negotiated_Cost]]</f>
        <v>109.82999999999993</v>
      </c>
      <c r="N831" s="18">
        <f>Table1[[#This Row],[Defective_Units]]/Table1[[#This Row],[Quantity]]</f>
        <v>0</v>
      </c>
      <c r="O831" s="26">
        <f>(Table1[[#This Row],[Unit_Cost]]-Table1[[#This Row],[Negotiated_Cost]])/Table1[[#This Row],[Unit_Cost]]</f>
        <v>1.319490080697576E-2</v>
      </c>
    </row>
    <row r="832" spans="1:15" x14ac:dyDescent="0.25">
      <c r="A832" t="s">
        <v>867</v>
      </c>
      <c r="B832" t="s">
        <v>20</v>
      </c>
      <c r="C832" s="14" t="s">
        <v>48</v>
      </c>
      <c r="D832" s="1">
        <v>45636</v>
      </c>
      <c r="E832" s="13">
        <v>45655</v>
      </c>
      <c r="F832" s="14" t="s">
        <v>14</v>
      </c>
      <c r="G832">
        <v>286</v>
      </c>
      <c r="H832">
        <v>6550.4</v>
      </c>
      <c r="I832">
        <v>6201.81</v>
      </c>
      <c r="J832">
        <v>2</v>
      </c>
      <c r="K832" s="14" t="s">
        <v>15</v>
      </c>
      <c r="L832" s="14">
        <f>IF(OR(Table1[[#This Row],[Order_Status]]="Delivered",Table1[[#This Row],[Delivery_Date]]&lt;&gt;"Not Yet Delivered"),Table1[[#This Row],[Delivery_Date]]-Table1[[#This Row],[Order_Date]],"Not Applicable")</f>
        <v>19</v>
      </c>
      <c r="M832" s="14">
        <f>Table1[[#This Row],[Unit_Cost]]-Table1[[#This Row],[Negotiated_Cost]]</f>
        <v>348.58999999999924</v>
      </c>
      <c r="N832" s="18">
        <f>Table1[[#This Row],[Defective_Units]]/Table1[[#This Row],[Quantity]]</f>
        <v>6.993006993006993E-3</v>
      </c>
      <c r="O832" s="26">
        <f>(Table1[[#This Row],[Unit_Cost]]-Table1[[#This Row],[Negotiated_Cost]])/Table1[[#This Row],[Unit_Cost]]</f>
        <v>5.3216597459697007E-2</v>
      </c>
    </row>
    <row r="833" spans="1:15" x14ac:dyDescent="0.25">
      <c r="A833" t="s">
        <v>868</v>
      </c>
      <c r="B833" t="s">
        <v>46</v>
      </c>
      <c r="C833" s="14" t="s">
        <v>48</v>
      </c>
      <c r="D833" s="1">
        <v>45197</v>
      </c>
      <c r="E833" s="13">
        <v>45213</v>
      </c>
      <c r="F833" s="14" t="s">
        <v>14</v>
      </c>
      <c r="G833">
        <v>12</v>
      </c>
      <c r="H833">
        <v>6253.6</v>
      </c>
      <c r="I833">
        <v>6153.91</v>
      </c>
      <c r="J833">
        <v>0</v>
      </c>
      <c r="K833" s="14" t="s">
        <v>25</v>
      </c>
      <c r="L833" s="14">
        <f>IF(OR(Table1[[#This Row],[Order_Status]]="Delivered",Table1[[#This Row],[Delivery_Date]]&lt;&gt;"Not Yet Delivered"),Table1[[#This Row],[Delivery_Date]]-Table1[[#This Row],[Order_Date]],"Not Applicable")</f>
        <v>16</v>
      </c>
      <c r="M833" s="14">
        <f>Table1[[#This Row],[Unit_Cost]]-Table1[[#This Row],[Negotiated_Cost]]</f>
        <v>99.690000000000509</v>
      </c>
      <c r="N833" s="18">
        <f>Table1[[#This Row],[Defective_Units]]/Table1[[#This Row],[Quantity]]</f>
        <v>0</v>
      </c>
      <c r="O833" s="26">
        <f>(Table1[[#This Row],[Unit_Cost]]-Table1[[#This Row],[Negotiated_Cost]])/Table1[[#This Row],[Unit_Cost]]</f>
        <v>1.5941217858513577E-2</v>
      </c>
    </row>
    <row r="834" spans="1:15" x14ac:dyDescent="0.25">
      <c r="A834" t="s">
        <v>869</v>
      </c>
      <c r="B834" t="s">
        <v>40</v>
      </c>
      <c r="C834" s="14" t="s">
        <v>36</v>
      </c>
      <c r="D834" s="1">
        <v>45125</v>
      </c>
      <c r="E834" s="14" t="s">
        <v>2057</v>
      </c>
      <c r="F834" s="14" t="s">
        <v>33</v>
      </c>
      <c r="G834">
        <v>215</v>
      </c>
      <c r="H834">
        <v>585.66999999999996</v>
      </c>
      <c r="I834">
        <v>578.45000000000005</v>
      </c>
      <c r="J834">
        <v>2</v>
      </c>
      <c r="K834" s="14" t="s">
        <v>15</v>
      </c>
      <c r="L834" s="14" t="str">
        <f>IF(OR(Table1[[#This Row],[Order_Status]]="Delivered",Table1[[#This Row],[Delivery_Date]]&lt;&gt;"Not Yet Delivered"),Table1[[#This Row],[Delivery_Date]]-Table1[[#This Row],[Order_Date]],"Not Applicable")</f>
        <v>Not Applicable</v>
      </c>
      <c r="M834" s="14">
        <f>Table1[[#This Row],[Unit_Cost]]-Table1[[#This Row],[Negotiated_Cost]]</f>
        <v>7.2199999999999136</v>
      </c>
      <c r="N834" s="18">
        <f>Table1[[#This Row],[Defective_Units]]/Table1[[#This Row],[Quantity]]</f>
        <v>9.3023255813953487E-3</v>
      </c>
      <c r="O834" s="26">
        <f>(Table1[[#This Row],[Unit_Cost]]-Table1[[#This Row],[Negotiated_Cost]])/Table1[[#This Row],[Unit_Cost]]</f>
        <v>1.2327761367322748E-2</v>
      </c>
    </row>
    <row r="835" spans="1:15" x14ac:dyDescent="0.25">
      <c r="A835" t="s">
        <v>870</v>
      </c>
      <c r="B835" t="s">
        <v>32</v>
      </c>
      <c r="C835" s="14" t="s">
        <v>18</v>
      </c>
      <c r="D835" s="1">
        <v>45476</v>
      </c>
      <c r="E835" s="13">
        <v>45502</v>
      </c>
      <c r="F835" s="14" t="s">
        <v>14</v>
      </c>
      <c r="G835">
        <v>173</v>
      </c>
      <c r="H835">
        <v>4848.1000000000004</v>
      </c>
      <c r="I835">
        <v>4721.78</v>
      </c>
      <c r="J835">
        <v>0</v>
      </c>
      <c r="K835" s="14" t="s">
        <v>25</v>
      </c>
      <c r="L835" s="14">
        <f>IF(OR(Table1[[#This Row],[Order_Status]]="Delivered",Table1[[#This Row],[Delivery_Date]]&lt;&gt;"Not Yet Delivered"),Table1[[#This Row],[Delivery_Date]]-Table1[[#This Row],[Order_Date]],"Not Applicable")</f>
        <v>26</v>
      </c>
      <c r="M835" s="14">
        <f>Table1[[#This Row],[Unit_Cost]]-Table1[[#This Row],[Negotiated_Cost]]</f>
        <v>126.32000000000062</v>
      </c>
      <c r="N835" s="18">
        <f>Table1[[#This Row],[Defective_Units]]/Table1[[#This Row],[Quantity]]</f>
        <v>0</v>
      </c>
      <c r="O835" s="26">
        <f>(Table1[[#This Row],[Unit_Cost]]-Table1[[#This Row],[Negotiated_Cost]])/Table1[[#This Row],[Unit_Cost]]</f>
        <v>2.6055568160722884E-2</v>
      </c>
    </row>
    <row r="836" spans="1:15" x14ac:dyDescent="0.25">
      <c r="A836" t="s">
        <v>871</v>
      </c>
      <c r="B836" t="s">
        <v>12</v>
      </c>
      <c r="C836" s="14" t="s">
        <v>42</v>
      </c>
      <c r="D836" s="1">
        <v>45291</v>
      </c>
      <c r="E836" s="13">
        <v>45301</v>
      </c>
      <c r="F836" s="14" t="s">
        <v>14</v>
      </c>
      <c r="G836">
        <v>94</v>
      </c>
      <c r="H836">
        <v>13197.37</v>
      </c>
      <c r="I836">
        <v>13175.24</v>
      </c>
      <c r="J836">
        <v>1</v>
      </c>
      <c r="K836" s="14" t="s">
        <v>15</v>
      </c>
      <c r="L836" s="14">
        <f>IF(OR(Table1[[#This Row],[Order_Status]]="Delivered",Table1[[#This Row],[Delivery_Date]]&lt;&gt;"Not Yet Delivered"),Table1[[#This Row],[Delivery_Date]]-Table1[[#This Row],[Order_Date]],"Not Applicable")</f>
        <v>10</v>
      </c>
      <c r="M836" s="14">
        <f>Table1[[#This Row],[Unit_Cost]]-Table1[[#This Row],[Negotiated_Cost]]</f>
        <v>22.130000000001019</v>
      </c>
      <c r="N836" s="18">
        <f>Table1[[#This Row],[Defective_Units]]/Table1[[#This Row],[Quantity]]</f>
        <v>1.0638297872340425E-2</v>
      </c>
      <c r="O836" s="26">
        <f>(Table1[[#This Row],[Unit_Cost]]-Table1[[#This Row],[Negotiated_Cost]])/Table1[[#This Row],[Unit_Cost]]</f>
        <v>1.676849251025092E-3</v>
      </c>
    </row>
    <row r="837" spans="1:15" x14ac:dyDescent="0.25">
      <c r="A837" t="s">
        <v>872</v>
      </c>
      <c r="B837" t="s">
        <v>46</v>
      </c>
      <c r="C837" s="14" t="s">
        <v>50</v>
      </c>
      <c r="D837" s="1">
        <v>45541</v>
      </c>
      <c r="E837" s="13">
        <v>45570</v>
      </c>
      <c r="F837" s="14" t="s">
        <v>14</v>
      </c>
      <c r="G837">
        <v>128</v>
      </c>
      <c r="H837">
        <v>50149.89</v>
      </c>
      <c r="I837">
        <v>49811.7</v>
      </c>
      <c r="J837">
        <v>3</v>
      </c>
      <c r="K837" s="14" t="s">
        <v>15</v>
      </c>
      <c r="L837" s="14">
        <f>IF(OR(Table1[[#This Row],[Order_Status]]="Delivered",Table1[[#This Row],[Delivery_Date]]&lt;&gt;"Not Yet Delivered"),Table1[[#This Row],[Delivery_Date]]-Table1[[#This Row],[Order_Date]],"Not Applicable")</f>
        <v>29</v>
      </c>
      <c r="M837" s="14">
        <f>Table1[[#This Row],[Unit_Cost]]-Table1[[#This Row],[Negotiated_Cost]]</f>
        <v>338.19000000000233</v>
      </c>
      <c r="N837" s="18">
        <f>Table1[[#This Row],[Defective_Units]]/Table1[[#This Row],[Quantity]]</f>
        <v>2.34375E-2</v>
      </c>
      <c r="O837" s="26">
        <f>(Table1[[#This Row],[Unit_Cost]]-Table1[[#This Row],[Negotiated_Cost]])/Table1[[#This Row],[Unit_Cost]]</f>
        <v>6.7435840836341287E-3</v>
      </c>
    </row>
    <row r="838" spans="1:15" x14ac:dyDescent="0.25">
      <c r="A838" t="s">
        <v>873</v>
      </c>
      <c r="B838" t="s">
        <v>35</v>
      </c>
      <c r="C838" s="14" t="s">
        <v>28</v>
      </c>
      <c r="D838" s="1">
        <v>45644</v>
      </c>
      <c r="E838" s="13">
        <v>45669</v>
      </c>
      <c r="F838" s="14" t="s">
        <v>14</v>
      </c>
      <c r="G838">
        <v>324</v>
      </c>
      <c r="H838">
        <v>45249.31</v>
      </c>
      <c r="I838">
        <v>44163.02</v>
      </c>
      <c r="J838">
        <v>1</v>
      </c>
      <c r="K838" s="14" t="s">
        <v>15</v>
      </c>
      <c r="L838" s="14">
        <f>IF(OR(Table1[[#This Row],[Order_Status]]="Delivered",Table1[[#This Row],[Delivery_Date]]&lt;&gt;"Not Yet Delivered"),Table1[[#This Row],[Delivery_Date]]-Table1[[#This Row],[Order_Date]],"Not Applicable")</f>
        <v>25</v>
      </c>
      <c r="M838" s="14">
        <f>Table1[[#This Row],[Unit_Cost]]-Table1[[#This Row],[Negotiated_Cost]]</f>
        <v>1086.2900000000009</v>
      </c>
      <c r="N838" s="18">
        <f>Table1[[#This Row],[Defective_Units]]/Table1[[#This Row],[Quantity]]</f>
        <v>3.0864197530864196E-3</v>
      </c>
      <c r="O838" s="26">
        <f>(Table1[[#This Row],[Unit_Cost]]-Table1[[#This Row],[Negotiated_Cost]])/Table1[[#This Row],[Unit_Cost]]</f>
        <v>2.4006774909937873E-2</v>
      </c>
    </row>
    <row r="839" spans="1:15" x14ac:dyDescent="0.25">
      <c r="A839" t="s">
        <v>874</v>
      </c>
      <c r="B839" t="s">
        <v>20</v>
      </c>
      <c r="C839" s="14" t="s">
        <v>44</v>
      </c>
      <c r="D839" s="1">
        <v>45442</v>
      </c>
      <c r="E839" s="14" t="s">
        <v>2057</v>
      </c>
      <c r="F839" s="14" t="s">
        <v>33</v>
      </c>
      <c r="G839">
        <v>161</v>
      </c>
      <c r="H839">
        <v>8101.47</v>
      </c>
      <c r="I839">
        <v>8020.4</v>
      </c>
      <c r="J839">
        <v>2</v>
      </c>
      <c r="K839" s="14" t="s">
        <v>15</v>
      </c>
      <c r="L839" s="14" t="str">
        <f>IF(OR(Table1[[#This Row],[Order_Status]]="Delivered",Table1[[#This Row],[Delivery_Date]]&lt;&gt;"Not Yet Delivered"),Table1[[#This Row],[Delivery_Date]]-Table1[[#This Row],[Order_Date]],"Not Applicable")</f>
        <v>Not Applicable</v>
      </c>
      <c r="M839" s="14">
        <f>Table1[[#This Row],[Unit_Cost]]-Table1[[#This Row],[Negotiated_Cost]]</f>
        <v>81.070000000000618</v>
      </c>
      <c r="N839" s="18">
        <f>Table1[[#This Row],[Defective_Units]]/Table1[[#This Row],[Quantity]]</f>
        <v>1.2422360248447204E-2</v>
      </c>
      <c r="O839" s="26">
        <f>(Table1[[#This Row],[Unit_Cost]]-Table1[[#This Row],[Negotiated_Cost]])/Table1[[#This Row],[Unit_Cost]]</f>
        <v>1.0006825921715519E-2</v>
      </c>
    </row>
    <row r="840" spans="1:15" x14ac:dyDescent="0.25">
      <c r="A840" t="s">
        <v>875</v>
      </c>
      <c r="B840" t="s">
        <v>12</v>
      </c>
      <c r="C840" s="14" t="s">
        <v>50</v>
      </c>
      <c r="D840" s="1">
        <v>45494</v>
      </c>
      <c r="E840" s="13">
        <v>45504</v>
      </c>
      <c r="F840" s="14" t="s">
        <v>14</v>
      </c>
      <c r="G840">
        <v>115</v>
      </c>
      <c r="H840">
        <v>57764.75</v>
      </c>
      <c r="I840">
        <v>57504.73</v>
      </c>
      <c r="J840">
        <v>1</v>
      </c>
      <c r="K840" s="14" t="s">
        <v>15</v>
      </c>
      <c r="L840" s="14">
        <f>IF(OR(Table1[[#This Row],[Order_Status]]="Delivered",Table1[[#This Row],[Delivery_Date]]&lt;&gt;"Not Yet Delivered"),Table1[[#This Row],[Delivery_Date]]-Table1[[#This Row],[Order_Date]],"Not Applicable")</f>
        <v>10</v>
      </c>
      <c r="M840" s="14">
        <f>Table1[[#This Row],[Unit_Cost]]-Table1[[#This Row],[Negotiated_Cost]]</f>
        <v>260.0199999999968</v>
      </c>
      <c r="N840" s="18">
        <f>Table1[[#This Row],[Defective_Units]]/Table1[[#This Row],[Quantity]]</f>
        <v>8.6956521739130436E-3</v>
      </c>
      <c r="O840" s="26">
        <f>(Table1[[#This Row],[Unit_Cost]]-Table1[[#This Row],[Negotiated_Cost]])/Table1[[#This Row],[Unit_Cost]]</f>
        <v>4.5013611242149722E-3</v>
      </c>
    </row>
    <row r="841" spans="1:15" x14ac:dyDescent="0.25">
      <c r="A841" t="s">
        <v>876</v>
      </c>
      <c r="B841" t="s">
        <v>40</v>
      </c>
      <c r="C841" s="14" t="s">
        <v>18</v>
      </c>
      <c r="D841" s="1">
        <v>45613</v>
      </c>
      <c r="E841" s="14" t="s">
        <v>2057</v>
      </c>
      <c r="F841" s="14" t="s">
        <v>33</v>
      </c>
      <c r="G841">
        <v>351</v>
      </c>
      <c r="H841">
        <v>5539.33</v>
      </c>
      <c r="I841">
        <v>5368.12</v>
      </c>
      <c r="J841">
        <v>2</v>
      </c>
      <c r="K841" s="14" t="s">
        <v>15</v>
      </c>
      <c r="L841" s="14" t="str">
        <f>IF(OR(Table1[[#This Row],[Order_Status]]="Delivered",Table1[[#This Row],[Delivery_Date]]&lt;&gt;"Not Yet Delivered"),Table1[[#This Row],[Delivery_Date]]-Table1[[#This Row],[Order_Date]],"Not Applicable")</f>
        <v>Not Applicable</v>
      </c>
      <c r="M841" s="14">
        <f>Table1[[#This Row],[Unit_Cost]]-Table1[[#This Row],[Negotiated_Cost]]</f>
        <v>171.21000000000004</v>
      </c>
      <c r="N841" s="18">
        <f>Table1[[#This Row],[Defective_Units]]/Table1[[#This Row],[Quantity]]</f>
        <v>5.6980056980056983E-3</v>
      </c>
      <c r="O841" s="26">
        <f>(Table1[[#This Row],[Unit_Cost]]-Table1[[#This Row],[Negotiated_Cost]])/Table1[[#This Row],[Unit_Cost]]</f>
        <v>3.0908070109561994E-2</v>
      </c>
    </row>
    <row r="842" spans="1:15" x14ac:dyDescent="0.25">
      <c r="A842" t="s">
        <v>877</v>
      </c>
      <c r="B842" t="s">
        <v>35</v>
      </c>
      <c r="C842" s="14" t="s">
        <v>28</v>
      </c>
      <c r="D842" s="1">
        <v>45486</v>
      </c>
      <c r="E842" s="13">
        <v>45515</v>
      </c>
      <c r="F842" s="14" t="s">
        <v>37</v>
      </c>
      <c r="G842">
        <v>206</v>
      </c>
      <c r="H842">
        <v>50160.05</v>
      </c>
      <c r="I842">
        <v>48057.71</v>
      </c>
      <c r="J842">
        <v>5</v>
      </c>
      <c r="K842" s="14" t="s">
        <v>15</v>
      </c>
      <c r="L842" s="14">
        <f>IF(OR(Table1[[#This Row],[Order_Status]]="Delivered",Table1[[#This Row],[Delivery_Date]]&lt;&gt;"Not Yet Delivered"),Table1[[#This Row],[Delivery_Date]]-Table1[[#This Row],[Order_Date]],"Not Applicable")</f>
        <v>29</v>
      </c>
      <c r="M842" s="14">
        <f>Table1[[#This Row],[Unit_Cost]]-Table1[[#This Row],[Negotiated_Cost]]</f>
        <v>2102.3400000000038</v>
      </c>
      <c r="N842" s="18">
        <f>Table1[[#This Row],[Defective_Units]]/Table1[[#This Row],[Quantity]]</f>
        <v>2.4271844660194174E-2</v>
      </c>
      <c r="O842" s="26">
        <f>(Table1[[#This Row],[Unit_Cost]]-Table1[[#This Row],[Negotiated_Cost]])/Table1[[#This Row],[Unit_Cost]]</f>
        <v>4.1912637646892369E-2</v>
      </c>
    </row>
    <row r="843" spans="1:15" x14ac:dyDescent="0.25">
      <c r="A843" t="s">
        <v>878</v>
      </c>
      <c r="B843" t="s">
        <v>12</v>
      </c>
      <c r="C843" s="14" t="s">
        <v>42</v>
      </c>
      <c r="D843" s="1">
        <v>45343</v>
      </c>
      <c r="E843" s="14" t="s">
        <v>2057</v>
      </c>
      <c r="F843" s="14" t="s">
        <v>33</v>
      </c>
      <c r="G843">
        <v>361</v>
      </c>
      <c r="H843">
        <v>12158.23</v>
      </c>
      <c r="I843">
        <v>11796.45</v>
      </c>
      <c r="J843">
        <v>2</v>
      </c>
      <c r="K843" s="14" t="s">
        <v>25</v>
      </c>
      <c r="L843" s="14" t="str">
        <f>IF(OR(Table1[[#This Row],[Order_Status]]="Delivered",Table1[[#This Row],[Delivery_Date]]&lt;&gt;"Not Yet Delivered"),Table1[[#This Row],[Delivery_Date]]-Table1[[#This Row],[Order_Date]],"Not Applicable")</f>
        <v>Not Applicable</v>
      </c>
      <c r="M843" s="14">
        <f>Table1[[#This Row],[Unit_Cost]]-Table1[[#This Row],[Negotiated_Cost]]</f>
        <v>361.77999999999884</v>
      </c>
      <c r="N843" s="18">
        <f>Table1[[#This Row],[Defective_Units]]/Table1[[#This Row],[Quantity]]</f>
        <v>5.5401662049861496E-3</v>
      </c>
      <c r="O843" s="26">
        <f>(Table1[[#This Row],[Unit_Cost]]-Table1[[#This Row],[Negotiated_Cost]])/Table1[[#This Row],[Unit_Cost]]</f>
        <v>2.9755975993216024E-2</v>
      </c>
    </row>
    <row r="844" spans="1:15" x14ac:dyDescent="0.25">
      <c r="A844" t="s">
        <v>879</v>
      </c>
      <c r="B844" t="s">
        <v>20</v>
      </c>
      <c r="C844" s="14" t="s">
        <v>18</v>
      </c>
      <c r="D844" s="1">
        <v>45194</v>
      </c>
      <c r="E844" s="13">
        <v>45196</v>
      </c>
      <c r="F844" s="14" t="s">
        <v>14</v>
      </c>
      <c r="G844">
        <v>73</v>
      </c>
      <c r="H844">
        <v>5268.68</v>
      </c>
      <c r="I844">
        <v>5125.6099999999997</v>
      </c>
      <c r="J844">
        <v>2</v>
      </c>
      <c r="K844" s="14" t="s">
        <v>15</v>
      </c>
      <c r="L844" s="14">
        <f>IF(OR(Table1[[#This Row],[Order_Status]]="Delivered",Table1[[#This Row],[Delivery_Date]]&lt;&gt;"Not Yet Delivered"),Table1[[#This Row],[Delivery_Date]]-Table1[[#This Row],[Order_Date]],"Not Applicable")</f>
        <v>2</v>
      </c>
      <c r="M844" s="14">
        <f>Table1[[#This Row],[Unit_Cost]]-Table1[[#This Row],[Negotiated_Cost]]</f>
        <v>143.07000000000062</v>
      </c>
      <c r="N844" s="18">
        <f>Table1[[#This Row],[Defective_Units]]/Table1[[#This Row],[Quantity]]</f>
        <v>2.7397260273972601E-2</v>
      </c>
      <c r="O844" s="26">
        <f>(Table1[[#This Row],[Unit_Cost]]-Table1[[#This Row],[Negotiated_Cost]])/Table1[[#This Row],[Unit_Cost]]</f>
        <v>2.715480917421453E-2</v>
      </c>
    </row>
    <row r="845" spans="1:15" x14ac:dyDescent="0.25">
      <c r="A845" t="s">
        <v>880</v>
      </c>
      <c r="B845" t="s">
        <v>17</v>
      </c>
      <c r="C845" s="14" t="s">
        <v>21</v>
      </c>
      <c r="D845" s="1">
        <v>45339</v>
      </c>
      <c r="E845" s="13">
        <v>45368</v>
      </c>
      <c r="F845" s="14" t="s">
        <v>14</v>
      </c>
      <c r="G845">
        <v>438</v>
      </c>
      <c r="H845">
        <v>114.69</v>
      </c>
      <c r="I845">
        <v>108.7</v>
      </c>
      <c r="J845">
        <v>4</v>
      </c>
      <c r="K845" s="14" t="s">
        <v>15</v>
      </c>
      <c r="L845" s="14">
        <f>IF(OR(Table1[[#This Row],[Order_Status]]="Delivered",Table1[[#This Row],[Delivery_Date]]&lt;&gt;"Not Yet Delivered"),Table1[[#This Row],[Delivery_Date]]-Table1[[#This Row],[Order_Date]],"Not Applicable")</f>
        <v>29</v>
      </c>
      <c r="M845" s="14">
        <f>Table1[[#This Row],[Unit_Cost]]-Table1[[#This Row],[Negotiated_Cost]]</f>
        <v>5.9899999999999949</v>
      </c>
      <c r="N845" s="18">
        <f>Table1[[#This Row],[Defective_Units]]/Table1[[#This Row],[Quantity]]</f>
        <v>9.1324200913242004E-3</v>
      </c>
      <c r="O845" s="26">
        <f>(Table1[[#This Row],[Unit_Cost]]-Table1[[#This Row],[Negotiated_Cost]])/Table1[[#This Row],[Unit_Cost]]</f>
        <v>5.2227744354346455E-2</v>
      </c>
    </row>
    <row r="846" spans="1:15" x14ac:dyDescent="0.25">
      <c r="A846" t="s">
        <v>881</v>
      </c>
      <c r="B846" t="s">
        <v>17</v>
      </c>
      <c r="C846" s="14" t="s">
        <v>28</v>
      </c>
      <c r="D846" s="1">
        <v>45481</v>
      </c>
      <c r="E846" s="14" t="s">
        <v>2057</v>
      </c>
      <c r="F846" s="14" t="s">
        <v>22</v>
      </c>
      <c r="G846">
        <v>61</v>
      </c>
      <c r="H846">
        <v>45011.81</v>
      </c>
      <c r="I846">
        <v>43397.85</v>
      </c>
      <c r="J846">
        <v>2</v>
      </c>
      <c r="K846" s="14" t="s">
        <v>15</v>
      </c>
      <c r="L846" s="14" t="str">
        <f>IF(OR(Table1[[#This Row],[Order_Status]]="Delivered",Table1[[#This Row],[Delivery_Date]]&lt;&gt;"Not Yet Delivered"),Table1[[#This Row],[Delivery_Date]]-Table1[[#This Row],[Order_Date]],"Not Applicable")</f>
        <v>Not Applicable</v>
      </c>
      <c r="M846" s="14">
        <f>Table1[[#This Row],[Unit_Cost]]-Table1[[#This Row],[Negotiated_Cost]]</f>
        <v>1613.9599999999991</v>
      </c>
      <c r="N846" s="18">
        <f>Table1[[#This Row],[Defective_Units]]/Table1[[#This Row],[Quantity]]</f>
        <v>3.2786885245901641E-2</v>
      </c>
      <c r="O846" s="26">
        <f>(Table1[[#This Row],[Unit_Cost]]-Table1[[#This Row],[Negotiated_Cost]])/Table1[[#This Row],[Unit_Cost]]</f>
        <v>3.5856367473336426E-2</v>
      </c>
    </row>
    <row r="847" spans="1:15" x14ac:dyDescent="0.25">
      <c r="A847" t="s">
        <v>882</v>
      </c>
      <c r="B847" t="s">
        <v>40</v>
      </c>
      <c r="C847" s="14" t="s">
        <v>42</v>
      </c>
      <c r="D847" s="1">
        <v>45074</v>
      </c>
      <c r="E847" s="13">
        <v>45091</v>
      </c>
      <c r="F847" s="14" t="s">
        <v>14</v>
      </c>
      <c r="G847">
        <v>234</v>
      </c>
      <c r="H847">
        <v>13222.06</v>
      </c>
      <c r="I847">
        <v>13200.34</v>
      </c>
      <c r="J847">
        <v>5</v>
      </c>
      <c r="K847" s="14" t="s">
        <v>15</v>
      </c>
      <c r="L847" s="14">
        <f>IF(OR(Table1[[#This Row],[Order_Status]]="Delivered",Table1[[#This Row],[Delivery_Date]]&lt;&gt;"Not Yet Delivered"),Table1[[#This Row],[Delivery_Date]]-Table1[[#This Row],[Order_Date]],"Not Applicable")</f>
        <v>17</v>
      </c>
      <c r="M847" s="14">
        <f>Table1[[#This Row],[Unit_Cost]]-Table1[[#This Row],[Negotiated_Cost]]</f>
        <v>21.719999999999345</v>
      </c>
      <c r="N847" s="18">
        <f>Table1[[#This Row],[Defective_Units]]/Table1[[#This Row],[Quantity]]</f>
        <v>2.1367521367521368E-2</v>
      </c>
      <c r="O847" s="26">
        <f>(Table1[[#This Row],[Unit_Cost]]-Table1[[#This Row],[Negotiated_Cost]])/Table1[[#This Row],[Unit_Cost]]</f>
        <v>1.6427092298778969E-3</v>
      </c>
    </row>
    <row r="848" spans="1:15" x14ac:dyDescent="0.25">
      <c r="A848" t="s">
        <v>883</v>
      </c>
      <c r="B848" t="s">
        <v>32</v>
      </c>
      <c r="C848" s="14" t="s">
        <v>50</v>
      </c>
      <c r="D848" s="1">
        <v>45527</v>
      </c>
      <c r="E848" s="13">
        <v>45555</v>
      </c>
      <c r="F848" s="14" t="s">
        <v>37</v>
      </c>
      <c r="G848">
        <v>480</v>
      </c>
      <c r="H848">
        <v>49004.62</v>
      </c>
      <c r="I848">
        <v>46264.31</v>
      </c>
      <c r="J848">
        <v>5</v>
      </c>
      <c r="K848" s="14" t="s">
        <v>15</v>
      </c>
      <c r="L848" s="14">
        <f>IF(OR(Table1[[#This Row],[Order_Status]]="Delivered",Table1[[#This Row],[Delivery_Date]]&lt;&gt;"Not Yet Delivered"),Table1[[#This Row],[Delivery_Date]]-Table1[[#This Row],[Order_Date]],"Not Applicable")</f>
        <v>28</v>
      </c>
      <c r="M848" s="14">
        <f>Table1[[#This Row],[Unit_Cost]]-Table1[[#This Row],[Negotiated_Cost]]</f>
        <v>2740.3100000000049</v>
      </c>
      <c r="N848" s="18">
        <f>Table1[[#This Row],[Defective_Units]]/Table1[[#This Row],[Quantity]]</f>
        <v>1.0416666666666666E-2</v>
      </c>
      <c r="O848" s="26">
        <f>(Table1[[#This Row],[Unit_Cost]]-Table1[[#This Row],[Negotiated_Cost]])/Table1[[#This Row],[Unit_Cost]]</f>
        <v>5.5919421474954906E-2</v>
      </c>
    </row>
    <row r="849" spans="1:15" x14ac:dyDescent="0.25">
      <c r="A849" t="s">
        <v>884</v>
      </c>
      <c r="B849" t="s">
        <v>17</v>
      </c>
      <c r="C849" s="14" t="s">
        <v>48</v>
      </c>
      <c r="D849" s="1">
        <v>45163</v>
      </c>
      <c r="E849" s="13">
        <v>45174</v>
      </c>
      <c r="F849" s="14" t="s">
        <v>37</v>
      </c>
      <c r="G849">
        <v>231</v>
      </c>
      <c r="H849">
        <v>6123.56</v>
      </c>
      <c r="I849">
        <v>5885.59</v>
      </c>
      <c r="J849">
        <v>2</v>
      </c>
      <c r="K849" s="14" t="s">
        <v>25</v>
      </c>
      <c r="L849" s="14">
        <f>IF(OR(Table1[[#This Row],[Order_Status]]="Delivered",Table1[[#This Row],[Delivery_Date]]&lt;&gt;"Not Yet Delivered"),Table1[[#This Row],[Delivery_Date]]-Table1[[#This Row],[Order_Date]],"Not Applicable")</f>
        <v>11</v>
      </c>
      <c r="M849" s="14">
        <f>Table1[[#This Row],[Unit_Cost]]-Table1[[#This Row],[Negotiated_Cost]]</f>
        <v>237.97000000000025</v>
      </c>
      <c r="N849" s="18">
        <f>Table1[[#This Row],[Defective_Units]]/Table1[[#This Row],[Quantity]]</f>
        <v>8.658008658008658E-3</v>
      </c>
      <c r="O849" s="26">
        <f>(Table1[[#This Row],[Unit_Cost]]-Table1[[#This Row],[Negotiated_Cost]])/Table1[[#This Row],[Unit_Cost]]</f>
        <v>3.8861381288008978E-2</v>
      </c>
    </row>
    <row r="850" spans="1:15" x14ac:dyDescent="0.25">
      <c r="A850" t="s">
        <v>885</v>
      </c>
      <c r="B850" t="s">
        <v>35</v>
      </c>
      <c r="C850" s="14" t="s">
        <v>42</v>
      </c>
      <c r="D850" s="1">
        <v>45218</v>
      </c>
      <c r="E850" s="13">
        <v>45232</v>
      </c>
      <c r="F850" s="14" t="s">
        <v>14</v>
      </c>
      <c r="G850">
        <v>442</v>
      </c>
      <c r="H850">
        <v>12279.16</v>
      </c>
      <c r="I850">
        <v>11902.92</v>
      </c>
      <c r="J850">
        <v>2</v>
      </c>
      <c r="K850" s="14" t="s">
        <v>15</v>
      </c>
      <c r="L850" s="14">
        <f>IF(OR(Table1[[#This Row],[Order_Status]]="Delivered",Table1[[#This Row],[Delivery_Date]]&lt;&gt;"Not Yet Delivered"),Table1[[#This Row],[Delivery_Date]]-Table1[[#This Row],[Order_Date]],"Not Applicable")</f>
        <v>14</v>
      </c>
      <c r="M850" s="14">
        <f>Table1[[#This Row],[Unit_Cost]]-Table1[[#This Row],[Negotiated_Cost]]</f>
        <v>376.23999999999978</v>
      </c>
      <c r="N850" s="18">
        <f>Table1[[#This Row],[Defective_Units]]/Table1[[#This Row],[Quantity]]</f>
        <v>4.5248868778280547E-3</v>
      </c>
      <c r="O850" s="26">
        <f>(Table1[[#This Row],[Unit_Cost]]-Table1[[#This Row],[Negotiated_Cost]])/Table1[[#This Row],[Unit_Cost]]</f>
        <v>3.0640532414269363E-2</v>
      </c>
    </row>
    <row r="851" spans="1:15" x14ac:dyDescent="0.25">
      <c r="A851" t="s">
        <v>886</v>
      </c>
      <c r="B851" t="s">
        <v>17</v>
      </c>
      <c r="C851" s="14" t="s">
        <v>24</v>
      </c>
      <c r="D851" s="1">
        <v>45475</v>
      </c>
      <c r="E851" s="14" t="s">
        <v>2057</v>
      </c>
      <c r="F851" s="14" t="s">
        <v>22</v>
      </c>
      <c r="G851">
        <v>306</v>
      </c>
      <c r="H851">
        <v>11104.5</v>
      </c>
      <c r="I851">
        <v>10768.9</v>
      </c>
      <c r="J851">
        <v>2</v>
      </c>
      <c r="K851" s="14" t="s">
        <v>15</v>
      </c>
      <c r="L851" s="14" t="str">
        <f>IF(OR(Table1[[#This Row],[Order_Status]]="Delivered",Table1[[#This Row],[Delivery_Date]]&lt;&gt;"Not Yet Delivered"),Table1[[#This Row],[Delivery_Date]]-Table1[[#This Row],[Order_Date]],"Not Applicable")</f>
        <v>Not Applicable</v>
      </c>
      <c r="M851" s="14">
        <f>Table1[[#This Row],[Unit_Cost]]-Table1[[#This Row],[Negotiated_Cost]]</f>
        <v>335.60000000000036</v>
      </c>
      <c r="N851" s="18">
        <f>Table1[[#This Row],[Defective_Units]]/Table1[[#This Row],[Quantity]]</f>
        <v>6.5359477124183009E-3</v>
      </c>
      <c r="O851" s="26">
        <f>(Table1[[#This Row],[Unit_Cost]]-Table1[[#This Row],[Negotiated_Cost]])/Table1[[#This Row],[Unit_Cost]]</f>
        <v>3.022198207933724E-2</v>
      </c>
    </row>
    <row r="852" spans="1:15" x14ac:dyDescent="0.25">
      <c r="A852" t="s">
        <v>887</v>
      </c>
      <c r="B852" t="s">
        <v>27</v>
      </c>
      <c r="C852" s="14" t="s">
        <v>24</v>
      </c>
      <c r="D852" s="1">
        <v>45007</v>
      </c>
      <c r="E852" s="13">
        <v>45032</v>
      </c>
      <c r="F852" s="14" t="s">
        <v>14</v>
      </c>
      <c r="G852">
        <v>177</v>
      </c>
      <c r="H852">
        <v>13081.58</v>
      </c>
      <c r="I852">
        <v>12850.81</v>
      </c>
      <c r="J852">
        <v>2</v>
      </c>
      <c r="K852" s="14" t="s">
        <v>15</v>
      </c>
      <c r="L852" s="14">
        <f>IF(OR(Table1[[#This Row],[Order_Status]]="Delivered",Table1[[#This Row],[Delivery_Date]]&lt;&gt;"Not Yet Delivered"),Table1[[#This Row],[Delivery_Date]]-Table1[[#This Row],[Order_Date]],"Not Applicable")</f>
        <v>25</v>
      </c>
      <c r="M852" s="14">
        <f>Table1[[#This Row],[Unit_Cost]]-Table1[[#This Row],[Negotiated_Cost]]</f>
        <v>230.77000000000044</v>
      </c>
      <c r="N852" s="18">
        <f>Table1[[#This Row],[Defective_Units]]/Table1[[#This Row],[Quantity]]</f>
        <v>1.1299435028248588E-2</v>
      </c>
      <c r="O852" s="26">
        <f>(Table1[[#This Row],[Unit_Cost]]-Table1[[#This Row],[Negotiated_Cost]])/Table1[[#This Row],[Unit_Cost]]</f>
        <v>1.7640835434251861E-2</v>
      </c>
    </row>
    <row r="853" spans="1:15" x14ac:dyDescent="0.25">
      <c r="A853" t="s">
        <v>888</v>
      </c>
      <c r="B853" t="s">
        <v>32</v>
      </c>
      <c r="C853" s="14" t="s">
        <v>18</v>
      </c>
      <c r="D853" s="1">
        <v>45523</v>
      </c>
      <c r="E853" s="14" t="s">
        <v>2057</v>
      </c>
      <c r="F853" s="14" t="s">
        <v>33</v>
      </c>
      <c r="G853">
        <v>449</v>
      </c>
      <c r="H853">
        <v>4988.17</v>
      </c>
      <c r="I853">
        <v>4842.92</v>
      </c>
      <c r="J853">
        <v>2</v>
      </c>
      <c r="K853" s="14" t="s">
        <v>15</v>
      </c>
      <c r="L853" s="14" t="str">
        <f>IF(OR(Table1[[#This Row],[Order_Status]]="Delivered",Table1[[#This Row],[Delivery_Date]]&lt;&gt;"Not Yet Delivered"),Table1[[#This Row],[Delivery_Date]]-Table1[[#This Row],[Order_Date]],"Not Applicable")</f>
        <v>Not Applicable</v>
      </c>
      <c r="M853" s="14">
        <f>Table1[[#This Row],[Unit_Cost]]-Table1[[#This Row],[Negotiated_Cost]]</f>
        <v>145.25</v>
      </c>
      <c r="N853" s="18">
        <f>Table1[[#This Row],[Defective_Units]]/Table1[[#This Row],[Quantity]]</f>
        <v>4.4543429844097994E-3</v>
      </c>
      <c r="O853" s="26">
        <f>(Table1[[#This Row],[Unit_Cost]]-Table1[[#This Row],[Negotiated_Cost]])/Table1[[#This Row],[Unit_Cost]]</f>
        <v>2.9118895306294693E-2</v>
      </c>
    </row>
    <row r="854" spans="1:15" x14ac:dyDescent="0.25">
      <c r="A854" t="s">
        <v>889</v>
      </c>
      <c r="B854" t="s">
        <v>35</v>
      </c>
      <c r="C854" s="14" t="s">
        <v>21</v>
      </c>
      <c r="D854" s="1">
        <v>45353</v>
      </c>
      <c r="E854" s="13">
        <v>45361</v>
      </c>
      <c r="F854" s="14" t="s">
        <v>14</v>
      </c>
      <c r="G854">
        <v>130</v>
      </c>
      <c r="H854">
        <v>121.5</v>
      </c>
      <c r="I854">
        <v>115.09</v>
      </c>
      <c r="J854">
        <v>0</v>
      </c>
      <c r="K854" s="14" t="s">
        <v>15</v>
      </c>
      <c r="L854" s="14">
        <f>IF(OR(Table1[[#This Row],[Order_Status]]="Delivered",Table1[[#This Row],[Delivery_Date]]&lt;&gt;"Not Yet Delivered"),Table1[[#This Row],[Delivery_Date]]-Table1[[#This Row],[Order_Date]],"Not Applicable")</f>
        <v>8</v>
      </c>
      <c r="M854" s="14">
        <f>Table1[[#This Row],[Unit_Cost]]-Table1[[#This Row],[Negotiated_Cost]]</f>
        <v>6.4099999999999966</v>
      </c>
      <c r="N854" s="18">
        <f>Table1[[#This Row],[Defective_Units]]/Table1[[#This Row],[Quantity]]</f>
        <v>0</v>
      </c>
      <c r="O854" s="26">
        <f>(Table1[[#This Row],[Unit_Cost]]-Table1[[#This Row],[Negotiated_Cost]])/Table1[[#This Row],[Unit_Cost]]</f>
        <v>5.2757201646090504E-2</v>
      </c>
    </row>
    <row r="855" spans="1:15" x14ac:dyDescent="0.25">
      <c r="A855" t="s">
        <v>890</v>
      </c>
      <c r="B855" t="s">
        <v>46</v>
      </c>
      <c r="C855" s="14" t="s">
        <v>24</v>
      </c>
      <c r="D855" s="1">
        <v>45492</v>
      </c>
      <c r="E855" s="13">
        <v>45495</v>
      </c>
      <c r="F855" s="14" t="s">
        <v>14</v>
      </c>
      <c r="G855">
        <v>108</v>
      </c>
      <c r="H855">
        <v>12787.75</v>
      </c>
      <c r="I855">
        <v>12666.02</v>
      </c>
      <c r="J855">
        <v>0</v>
      </c>
      <c r="K855" s="14" t="s">
        <v>25</v>
      </c>
      <c r="L855" s="14">
        <f>IF(OR(Table1[[#This Row],[Order_Status]]="Delivered",Table1[[#This Row],[Delivery_Date]]&lt;&gt;"Not Yet Delivered"),Table1[[#This Row],[Delivery_Date]]-Table1[[#This Row],[Order_Date]],"Not Applicable")</f>
        <v>3</v>
      </c>
      <c r="M855" s="14">
        <f>Table1[[#This Row],[Unit_Cost]]-Table1[[#This Row],[Negotiated_Cost]]</f>
        <v>121.72999999999956</v>
      </c>
      <c r="N855" s="18">
        <f>Table1[[#This Row],[Defective_Units]]/Table1[[#This Row],[Quantity]]</f>
        <v>0</v>
      </c>
      <c r="O855" s="26">
        <f>(Table1[[#This Row],[Unit_Cost]]-Table1[[#This Row],[Negotiated_Cost]])/Table1[[#This Row],[Unit_Cost]]</f>
        <v>9.5192664855036704E-3</v>
      </c>
    </row>
    <row r="856" spans="1:15" x14ac:dyDescent="0.25">
      <c r="A856" t="s">
        <v>891</v>
      </c>
      <c r="B856" t="s">
        <v>32</v>
      </c>
      <c r="C856" s="14" t="s">
        <v>50</v>
      </c>
      <c r="D856" s="1">
        <v>45310</v>
      </c>
      <c r="E856" s="13">
        <v>45325</v>
      </c>
      <c r="F856" s="14" t="s">
        <v>14</v>
      </c>
      <c r="G856">
        <v>395</v>
      </c>
      <c r="H856">
        <v>48700.34</v>
      </c>
      <c r="I856">
        <v>45850.49</v>
      </c>
      <c r="J856">
        <v>0</v>
      </c>
      <c r="K856" s="14" t="s">
        <v>15</v>
      </c>
      <c r="L856" s="14">
        <f>IF(OR(Table1[[#This Row],[Order_Status]]="Delivered",Table1[[#This Row],[Delivery_Date]]&lt;&gt;"Not Yet Delivered"),Table1[[#This Row],[Delivery_Date]]-Table1[[#This Row],[Order_Date]],"Not Applicable")</f>
        <v>15</v>
      </c>
      <c r="M856" s="14">
        <f>Table1[[#This Row],[Unit_Cost]]-Table1[[#This Row],[Negotiated_Cost]]</f>
        <v>2849.8499999999985</v>
      </c>
      <c r="N856" s="18">
        <f>Table1[[#This Row],[Defective_Units]]/Table1[[#This Row],[Quantity]]</f>
        <v>0</v>
      </c>
      <c r="O856" s="26">
        <f>(Table1[[#This Row],[Unit_Cost]]-Table1[[#This Row],[Negotiated_Cost]])/Table1[[#This Row],[Unit_Cost]]</f>
        <v>5.8518071947752291E-2</v>
      </c>
    </row>
    <row r="857" spans="1:15" x14ac:dyDescent="0.25">
      <c r="A857" t="s">
        <v>892</v>
      </c>
      <c r="B857" t="s">
        <v>27</v>
      </c>
      <c r="C857" s="14" t="s">
        <v>42</v>
      </c>
      <c r="D857" s="1">
        <v>45060</v>
      </c>
      <c r="E857" s="13">
        <v>45073</v>
      </c>
      <c r="F857" s="14" t="s">
        <v>14</v>
      </c>
      <c r="G857">
        <v>111</v>
      </c>
      <c r="H857">
        <v>11872.66</v>
      </c>
      <c r="I857">
        <v>11207.03</v>
      </c>
      <c r="J857">
        <v>0</v>
      </c>
      <c r="K857" s="14" t="s">
        <v>15</v>
      </c>
      <c r="L857" s="14">
        <f>IF(OR(Table1[[#This Row],[Order_Status]]="Delivered",Table1[[#This Row],[Delivery_Date]]&lt;&gt;"Not Yet Delivered"),Table1[[#This Row],[Delivery_Date]]-Table1[[#This Row],[Order_Date]],"Not Applicable")</f>
        <v>13</v>
      </c>
      <c r="M857" s="14">
        <f>Table1[[#This Row],[Unit_Cost]]-Table1[[#This Row],[Negotiated_Cost]]</f>
        <v>665.6299999999992</v>
      </c>
      <c r="N857" s="18">
        <f>Table1[[#This Row],[Defective_Units]]/Table1[[#This Row],[Quantity]]</f>
        <v>0</v>
      </c>
      <c r="O857" s="26">
        <f>(Table1[[#This Row],[Unit_Cost]]-Table1[[#This Row],[Negotiated_Cost]])/Table1[[#This Row],[Unit_Cost]]</f>
        <v>5.6064100210062376E-2</v>
      </c>
    </row>
    <row r="858" spans="1:15" x14ac:dyDescent="0.25">
      <c r="A858" t="s">
        <v>893</v>
      </c>
      <c r="B858" t="s">
        <v>17</v>
      </c>
      <c r="C858" s="14" t="s">
        <v>30</v>
      </c>
      <c r="D858" s="1">
        <v>45142</v>
      </c>
      <c r="E858" s="13">
        <v>45147</v>
      </c>
      <c r="F858" s="14" t="s">
        <v>14</v>
      </c>
      <c r="G858">
        <v>187</v>
      </c>
      <c r="H858">
        <v>802.47</v>
      </c>
      <c r="I858">
        <v>758.63</v>
      </c>
      <c r="J858">
        <v>2</v>
      </c>
      <c r="K858" s="14" t="s">
        <v>15</v>
      </c>
      <c r="L858" s="14">
        <f>IF(OR(Table1[[#This Row],[Order_Status]]="Delivered",Table1[[#This Row],[Delivery_Date]]&lt;&gt;"Not Yet Delivered"),Table1[[#This Row],[Delivery_Date]]-Table1[[#This Row],[Order_Date]],"Not Applicable")</f>
        <v>5</v>
      </c>
      <c r="M858" s="14">
        <f>Table1[[#This Row],[Unit_Cost]]-Table1[[#This Row],[Negotiated_Cost]]</f>
        <v>43.840000000000032</v>
      </c>
      <c r="N858" s="18">
        <f>Table1[[#This Row],[Defective_Units]]/Table1[[#This Row],[Quantity]]</f>
        <v>1.06951871657754E-2</v>
      </c>
      <c r="O858" s="26">
        <f>(Table1[[#This Row],[Unit_Cost]]-Table1[[#This Row],[Negotiated_Cost]])/Table1[[#This Row],[Unit_Cost]]</f>
        <v>5.4631325781649198E-2</v>
      </c>
    </row>
    <row r="859" spans="1:15" x14ac:dyDescent="0.25">
      <c r="A859" t="s">
        <v>894</v>
      </c>
      <c r="B859" t="s">
        <v>17</v>
      </c>
      <c r="C859" s="14" t="s">
        <v>28</v>
      </c>
      <c r="D859" s="1">
        <v>44993</v>
      </c>
      <c r="E859" s="13">
        <v>45002</v>
      </c>
      <c r="F859" s="14" t="s">
        <v>14</v>
      </c>
      <c r="G859">
        <v>117</v>
      </c>
      <c r="H859">
        <v>42877.95</v>
      </c>
      <c r="I859">
        <v>42142.47</v>
      </c>
      <c r="J859">
        <v>1</v>
      </c>
      <c r="K859" s="14" t="s">
        <v>15</v>
      </c>
      <c r="L859" s="14">
        <f>IF(OR(Table1[[#This Row],[Order_Status]]="Delivered",Table1[[#This Row],[Delivery_Date]]&lt;&gt;"Not Yet Delivered"),Table1[[#This Row],[Delivery_Date]]-Table1[[#This Row],[Order_Date]],"Not Applicable")</f>
        <v>9</v>
      </c>
      <c r="M859" s="14">
        <f>Table1[[#This Row],[Unit_Cost]]-Table1[[#This Row],[Negotiated_Cost]]</f>
        <v>735.47999999999593</v>
      </c>
      <c r="N859" s="18">
        <f>Table1[[#This Row],[Defective_Units]]/Table1[[#This Row],[Quantity]]</f>
        <v>8.5470085470085479E-3</v>
      </c>
      <c r="O859" s="26">
        <f>(Table1[[#This Row],[Unit_Cost]]-Table1[[#This Row],[Negotiated_Cost]])/Table1[[#This Row],[Unit_Cost]]</f>
        <v>1.7152872280507721E-2</v>
      </c>
    </row>
    <row r="860" spans="1:15" x14ac:dyDescent="0.25">
      <c r="A860" t="s">
        <v>895</v>
      </c>
      <c r="B860" t="s">
        <v>12</v>
      </c>
      <c r="C860" s="14" t="s">
        <v>36</v>
      </c>
      <c r="D860" s="1">
        <v>45517</v>
      </c>
      <c r="E860" s="13">
        <v>45528</v>
      </c>
      <c r="F860" s="14" t="s">
        <v>14</v>
      </c>
      <c r="G860">
        <v>277</v>
      </c>
      <c r="H860">
        <v>593.73</v>
      </c>
      <c r="I860">
        <v>560.07000000000005</v>
      </c>
      <c r="J860">
        <v>1</v>
      </c>
      <c r="K860" s="14" t="s">
        <v>15</v>
      </c>
      <c r="L860" s="14">
        <f>IF(OR(Table1[[#This Row],[Order_Status]]="Delivered",Table1[[#This Row],[Delivery_Date]]&lt;&gt;"Not Yet Delivered"),Table1[[#This Row],[Delivery_Date]]-Table1[[#This Row],[Order_Date]],"Not Applicable")</f>
        <v>11</v>
      </c>
      <c r="M860" s="14">
        <f>Table1[[#This Row],[Unit_Cost]]-Table1[[#This Row],[Negotiated_Cost]]</f>
        <v>33.659999999999968</v>
      </c>
      <c r="N860" s="18">
        <f>Table1[[#This Row],[Defective_Units]]/Table1[[#This Row],[Quantity]]</f>
        <v>3.6101083032490976E-3</v>
      </c>
      <c r="O860" s="26">
        <f>(Table1[[#This Row],[Unit_Cost]]-Table1[[#This Row],[Negotiated_Cost]])/Table1[[#This Row],[Unit_Cost]]</f>
        <v>5.6692435955737398E-2</v>
      </c>
    </row>
    <row r="861" spans="1:15" x14ac:dyDescent="0.25">
      <c r="A861" t="s">
        <v>896</v>
      </c>
      <c r="B861" t="s">
        <v>12</v>
      </c>
      <c r="C861" s="14" t="s">
        <v>42</v>
      </c>
      <c r="D861" s="1">
        <v>45439</v>
      </c>
      <c r="E861" s="13">
        <v>45465</v>
      </c>
      <c r="F861" s="14" t="s">
        <v>14</v>
      </c>
      <c r="G861">
        <v>135</v>
      </c>
      <c r="H861">
        <v>12630.93</v>
      </c>
      <c r="I861">
        <v>12525.44</v>
      </c>
      <c r="J861">
        <v>1</v>
      </c>
      <c r="K861" s="14" t="s">
        <v>15</v>
      </c>
      <c r="L861" s="14">
        <f>IF(OR(Table1[[#This Row],[Order_Status]]="Delivered",Table1[[#This Row],[Delivery_Date]]&lt;&gt;"Not Yet Delivered"),Table1[[#This Row],[Delivery_Date]]-Table1[[#This Row],[Order_Date]],"Not Applicable")</f>
        <v>26</v>
      </c>
      <c r="M861" s="14">
        <f>Table1[[#This Row],[Unit_Cost]]-Table1[[#This Row],[Negotiated_Cost]]</f>
        <v>105.48999999999978</v>
      </c>
      <c r="N861" s="18">
        <f>Table1[[#This Row],[Defective_Units]]/Table1[[#This Row],[Quantity]]</f>
        <v>7.4074074074074077E-3</v>
      </c>
      <c r="O861" s="26">
        <f>(Table1[[#This Row],[Unit_Cost]]-Table1[[#This Row],[Negotiated_Cost]])/Table1[[#This Row],[Unit_Cost]]</f>
        <v>8.3517207363194776E-3</v>
      </c>
    </row>
    <row r="862" spans="1:15" x14ac:dyDescent="0.25">
      <c r="A862" t="s">
        <v>897</v>
      </c>
      <c r="B862" t="s">
        <v>17</v>
      </c>
      <c r="C862" s="14" t="s">
        <v>28</v>
      </c>
      <c r="D862" s="1">
        <v>45343</v>
      </c>
      <c r="E862" s="13">
        <v>45353</v>
      </c>
      <c r="F862" s="14" t="s">
        <v>14</v>
      </c>
      <c r="G862">
        <v>410</v>
      </c>
      <c r="H862">
        <v>46593.2</v>
      </c>
      <c r="I862">
        <v>46152.53</v>
      </c>
      <c r="J862">
        <v>3</v>
      </c>
      <c r="K862" s="14" t="s">
        <v>15</v>
      </c>
      <c r="L862" s="14">
        <f>IF(OR(Table1[[#This Row],[Order_Status]]="Delivered",Table1[[#This Row],[Delivery_Date]]&lt;&gt;"Not Yet Delivered"),Table1[[#This Row],[Delivery_Date]]-Table1[[#This Row],[Order_Date]],"Not Applicable")</f>
        <v>10</v>
      </c>
      <c r="M862" s="14">
        <f>Table1[[#This Row],[Unit_Cost]]-Table1[[#This Row],[Negotiated_Cost]]</f>
        <v>440.66999999999825</v>
      </c>
      <c r="N862" s="18">
        <f>Table1[[#This Row],[Defective_Units]]/Table1[[#This Row],[Quantity]]</f>
        <v>7.3170731707317077E-3</v>
      </c>
      <c r="O862" s="26">
        <f>(Table1[[#This Row],[Unit_Cost]]-Table1[[#This Row],[Negotiated_Cost]])/Table1[[#This Row],[Unit_Cost]]</f>
        <v>9.4578178790037659E-3</v>
      </c>
    </row>
    <row r="863" spans="1:15" x14ac:dyDescent="0.25">
      <c r="A863" t="s">
        <v>898</v>
      </c>
      <c r="B863" t="s">
        <v>27</v>
      </c>
      <c r="C863" s="14" t="s">
        <v>48</v>
      </c>
      <c r="D863" s="1">
        <v>45153</v>
      </c>
      <c r="E863" s="13">
        <v>45169</v>
      </c>
      <c r="F863" s="14" t="s">
        <v>14</v>
      </c>
      <c r="G863">
        <v>298</v>
      </c>
      <c r="H863">
        <v>6712.75</v>
      </c>
      <c r="I863">
        <v>6660.93</v>
      </c>
      <c r="J863">
        <v>10</v>
      </c>
      <c r="K863" s="14" t="s">
        <v>15</v>
      </c>
      <c r="L863" s="14">
        <f>IF(OR(Table1[[#This Row],[Order_Status]]="Delivered",Table1[[#This Row],[Delivery_Date]]&lt;&gt;"Not Yet Delivered"),Table1[[#This Row],[Delivery_Date]]-Table1[[#This Row],[Order_Date]],"Not Applicable")</f>
        <v>16</v>
      </c>
      <c r="M863" s="14">
        <f>Table1[[#This Row],[Unit_Cost]]-Table1[[#This Row],[Negotiated_Cost]]</f>
        <v>51.819999999999709</v>
      </c>
      <c r="N863" s="18">
        <f>Table1[[#This Row],[Defective_Units]]/Table1[[#This Row],[Quantity]]</f>
        <v>3.3557046979865772E-2</v>
      </c>
      <c r="O863" s="26">
        <f>(Table1[[#This Row],[Unit_Cost]]-Table1[[#This Row],[Negotiated_Cost]])/Table1[[#This Row],[Unit_Cost]]</f>
        <v>7.719638002308995E-3</v>
      </c>
    </row>
    <row r="864" spans="1:15" x14ac:dyDescent="0.25">
      <c r="A864" t="s">
        <v>899</v>
      </c>
      <c r="B864" t="s">
        <v>32</v>
      </c>
      <c r="C864" s="14" t="s">
        <v>50</v>
      </c>
      <c r="D864" s="1">
        <v>45260</v>
      </c>
      <c r="E864" s="13">
        <v>45277</v>
      </c>
      <c r="F864" s="14" t="s">
        <v>14</v>
      </c>
      <c r="G864">
        <v>373</v>
      </c>
      <c r="H864">
        <v>50215.63</v>
      </c>
      <c r="I864">
        <v>48312.34</v>
      </c>
      <c r="J864">
        <v>9</v>
      </c>
      <c r="K864" s="14" t="s">
        <v>15</v>
      </c>
      <c r="L864" s="14">
        <f>IF(OR(Table1[[#This Row],[Order_Status]]="Delivered",Table1[[#This Row],[Delivery_Date]]&lt;&gt;"Not Yet Delivered"),Table1[[#This Row],[Delivery_Date]]-Table1[[#This Row],[Order_Date]],"Not Applicable")</f>
        <v>17</v>
      </c>
      <c r="M864" s="14">
        <f>Table1[[#This Row],[Unit_Cost]]-Table1[[#This Row],[Negotiated_Cost]]</f>
        <v>1903.2900000000009</v>
      </c>
      <c r="N864" s="18">
        <f>Table1[[#This Row],[Defective_Units]]/Table1[[#This Row],[Quantity]]</f>
        <v>2.4128686327077747E-2</v>
      </c>
      <c r="O864" s="26">
        <f>(Table1[[#This Row],[Unit_Cost]]-Table1[[#This Row],[Negotiated_Cost]])/Table1[[#This Row],[Unit_Cost]]</f>
        <v>3.7902342358345421E-2</v>
      </c>
    </row>
    <row r="865" spans="1:15" x14ac:dyDescent="0.25">
      <c r="A865" t="s">
        <v>900</v>
      </c>
      <c r="B865" t="s">
        <v>20</v>
      </c>
      <c r="C865" s="14" t="s">
        <v>13</v>
      </c>
      <c r="D865" s="1">
        <v>45599</v>
      </c>
      <c r="E865" s="13">
        <v>45625</v>
      </c>
      <c r="F865" s="14" t="s">
        <v>14</v>
      </c>
      <c r="G865">
        <v>289</v>
      </c>
      <c r="H865">
        <v>3952.73</v>
      </c>
      <c r="I865">
        <v>3788.72</v>
      </c>
      <c r="J865">
        <v>6</v>
      </c>
      <c r="K865" s="14" t="s">
        <v>15</v>
      </c>
      <c r="L865" s="14">
        <f>IF(OR(Table1[[#This Row],[Order_Status]]="Delivered",Table1[[#This Row],[Delivery_Date]]&lt;&gt;"Not Yet Delivered"),Table1[[#This Row],[Delivery_Date]]-Table1[[#This Row],[Order_Date]],"Not Applicable")</f>
        <v>26</v>
      </c>
      <c r="M865" s="14">
        <f>Table1[[#This Row],[Unit_Cost]]-Table1[[#This Row],[Negotiated_Cost]]</f>
        <v>164.01000000000022</v>
      </c>
      <c r="N865" s="18">
        <f>Table1[[#This Row],[Defective_Units]]/Table1[[#This Row],[Quantity]]</f>
        <v>2.0761245674740483E-2</v>
      </c>
      <c r="O865" s="26">
        <f>(Table1[[#This Row],[Unit_Cost]]-Table1[[#This Row],[Negotiated_Cost]])/Table1[[#This Row],[Unit_Cost]]</f>
        <v>4.1492841656273059E-2</v>
      </c>
    </row>
    <row r="866" spans="1:15" x14ac:dyDescent="0.25">
      <c r="A866" t="s">
        <v>901</v>
      </c>
      <c r="B866" t="s">
        <v>40</v>
      </c>
      <c r="C866" s="14" t="s">
        <v>48</v>
      </c>
      <c r="D866" s="1">
        <v>45515</v>
      </c>
      <c r="E866" s="13">
        <v>45533</v>
      </c>
      <c r="F866" s="14" t="s">
        <v>14</v>
      </c>
      <c r="G866">
        <v>391</v>
      </c>
      <c r="H866">
        <v>6678.91</v>
      </c>
      <c r="I866">
        <v>6299.9</v>
      </c>
      <c r="J866">
        <v>3</v>
      </c>
      <c r="K866" s="14" t="s">
        <v>15</v>
      </c>
      <c r="L866" s="14">
        <f>IF(OR(Table1[[#This Row],[Order_Status]]="Delivered",Table1[[#This Row],[Delivery_Date]]&lt;&gt;"Not Yet Delivered"),Table1[[#This Row],[Delivery_Date]]-Table1[[#This Row],[Order_Date]],"Not Applicable")</f>
        <v>18</v>
      </c>
      <c r="M866" s="14">
        <f>Table1[[#This Row],[Unit_Cost]]-Table1[[#This Row],[Negotiated_Cost]]</f>
        <v>379.01000000000022</v>
      </c>
      <c r="N866" s="18">
        <f>Table1[[#This Row],[Defective_Units]]/Table1[[#This Row],[Quantity]]</f>
        <v>7.6726342710997444E-3</v>
      </c>
      <c r="O866" s="26">
        <f>(Table1[[#This Row],[Unit_Cost]]-Table1[[#This Row],[Negotiated_Cost]])/Table1[[#This Row],[Unit_Cost]]</f>
        <v>5.6747283613643576E-2</v>
      </c>
    </row>
    <row r="867" spans="1:15" x14ac:dyDescent="0.25">
      <c r="A867" t="s">
        <v>902</v>
      </c>
      <c r="B867" t="s">
        <v>35</v>
      </c>
      <c r="C867" s="14" t="s">
        <v>50</v>
      </c>
      <c r="D867" s="1">
        <v>45507</v>
      </c>
      <c r="E867" s="14" t="s">
        <v>2057</v>
      </c>
      <c r="F867" s="14" t="s">
        <v>33</v>
      </c>
      <c r="G867">
        <v>124</v>
      </c>
      <c r="H867">
        <v>52619.49</v>
      </c>
      <c r="I867">
        <v>52011.67</v>
      </c>
      <c r="J867">
        <v>2</v>
      </c>
      <c r="K867" s="14" t="s">
        <v>15</v>
      </c>
      <c r="L867" s="14" t="str">
        <f>IF(OR(Table1[[#This Row],[Order_Status]]="Delivered",Table1[[#This Row],[Delivery_Date]]&lt;&gt;"Not Yet Delivered"),Table1[[#This Row],[Delivery_Date]]-Table1[[#This Row],[Order_Date]],"Not Applicable")</f>
        <v>Not Applicable</v>
      </c>
      <c r="M867" s="14">
        <f>Table1[[#This Row],[Unit_Cost]]-Table1[[#This Row],[Negotiated_Cost]]</f>
        <v>607.81999999999971</v>
      </c>
      <c r="N867" s="18">
        <f>Table1[[#This Row],[Defective_Units]]/Table1[[#This Row],[Quantity]]</f>
        <v>1.6129032258064516E-2</v>
      </c>
      <c r="O867" s="26">
        <f>(Table1[[#This Row],[Unit_Cost]]-Table1[[#This Row],[Negotiated_Cost]])/Table1[[#This Row],[Unit_Cost]]</f>
        <v>1.1551233202754335E-2</v>
      </c>
    </row>
    <row r="868" spans="1:15" x14ac:dyDescent="0.25">
      <c r="A868" t="s">
        <v>903</v>
      </c>
      <c r="B868" t="s">
        <v>32</v>
      </c>
      <c r="C868" s="14" t="s">
        <v>13</v>
      </c>
      <c r="D868" s="1">
        <v>45534</v>
      </c>
      <c r="E868" s="13">
        <v>45552</v>
      </c>
      <c r="F868" s="14" t="s">
        <v>14</v>
      </c>
      <c r="G868">
        <v>316</v>
      </c>
      <c r="H868">
        <v>3912.03</v>
      </c>
      <c r="I868">
        <v>3795.52</v>
      </c>
      <c r="J868">
        <v>4</v>
      </c>
      <c r="K868" s="14" t="s">
        <v>15</v>
      </c>
      <c r="L868" s="14">
        <f>IF(OR(Table1[[#This Row],[Order_Status]]="Delivered",Table1[[#This Row],[Delivery_Date]]&lt;&gt;"Not Yet Delivered"),Table1[[#This Row],[Delivery_Date]]-Table1[[#This Row],[Order_Date]],"Not Applicable")</f>
        <v>18</v>
      </c>
      <c r="M868" s="14">
        <f>Table1[[#This Row],[Unit_Cost]]-Table1[[#This Row],[Negotiated_Cost]]</f>
        <v>116.51000000000022</v>
      </c>
      <c r="N868" s="18">
        <f>Table1[[#This Row],[Defective_Units]]/Table1[[#This Row],[Quantity]]</f>
        <v>1.2658227848101266E-2</v>
      </c>
      <c r="O868" s="26">
        <f>(Table1[[#This Row],[Unit_Cost]]-Table1[[#This Row],[Negotiated_Cost]])/Table1[[#This Row],[Unit_Cost]]</f>
        <v>2.9782491443061585E-2</v>
      </c>
    </row>
    <row r="869" spans="1:15" x14ac:dyDescent="0.25">
      <c r="A869" t="s">
        <v>904</v>
      </c>
      <c r="B869" t="s">
        <v>20</v>
      </c>
      <c r="C869" s="14" t="s">
        <v>50</v>
      </c>
      <c r="D869" s="1">
        <v>45123</v>
      </c>
      <c r="E869" s="13">
        <v>45128</v>
      </c>
      <c r="F869" s="14" t="s">
        <v>14</v>
      </c>
      <c r="G869">
        <v>298</v>
      </c>
      <c r="H869">
        <v>50260.36</v>
      </c>
      <c r="I869">
        <v>50098.66</v>
      </c>
      <c r="J869">
        <v>5</v>
      </c>
      <c r="K869" s="14" t="s">
        <v>15</v>
      </c>
      <c r="L869" s="14">
        <f>IF(OR(Table1[[#This Row],[Order_Status]]="Delivered",Table1[[#This Row],[Delivery_Date]]&lt;&gt;"Not Yet Delivered"),Table1[[#This Row],[Delivery_Date]]-Table1[[#This Row],[Order_Date]],"Not Applicable")</f>
        <v>5</v>
      </c>
      <c r="M869" s="14">
        <f>Table1[[#This Row],[Unit_Cost]]-Table1[[#This Row],[Negotiated_Cost]]</f>
        <v>161.69999999999709</v>
      </c>
      <c r="N869" s="18">
        <f>Table1[[#This Row],[Defective_Units]]/Table1[[#This Row],[Quantity]]</f>
        <v>1.6778523489932886E-2</v>
      </c>
      <c r="O869" s="26">
        <f>(Table1[[#This Row],[Unit_Cost]]-Table1[[#This Row],[Negotiated_Cost]])/Table1[[#This Row],[Unit_Cost]]</f>
        <v>3.2172471506371442E-3</v>
      </c>
    </row>
    <row r="870" spans="1:15" x14ac:dyDescent="0.25">
      <c r="A870" t="s">
        <v>905</v>
      </c>
      <c r="B870" t="s">
        <v>46</v>
      </c>
      <c r="C870" s="14" t="s">
        <v>36</v>
      </c>
      <c r="D870" s="1">
        <v>45429</v>
      </c>
      <c r="E870" s="13">
        <v>45450</v>
      </c>
      <c r="F870" s="14" t="s">
        <v>14</v>
      </c>
      <c r="G870">
        <v>252</v>
      </c>
      <c r="H870">
        <v>519.20000000000005</v>
      </c>
      <c r="I870">
        <v>507.03</v>
      </c>
      <c r="J870">
        <v>5</v>
      </c>
      <c r="K870" s="14" t="s">
        <v>15</v>
      </c>
      <c r="L870" s="14">
        <f>IF(OR(Table1[[#This Row],[Order_Status]]="Delivered",Table1[[#This Row],[Delivery_Date]]&lt;&gt;"Not Yet Delivered"),Table1[[#This Row],[Delivery_Date]]-Table1[[#This Row],[Order_Date]],"Not Applicable")</f>
        <v>21</v>
      </c>
      <c r="M870" s="14">
        <f>Table1[[#This Row],[Unit_Cost]]-Table1[[#This Row],[Negotiated_Cost]]</f>
        <v>12.170000000000073</v>
      </c>
      <c r="N870" s="18">
        <f>Table1[[#This Row],[Defective_Units]]/Table1[[#This Row],[Quantity]]</f>
        <v>1.984126984126984E-2</v>
      </c>
      <c r="O870" s="26">
        <f>(Table1[[#This Row],[Unit_Cost]]-Table1[[#This Row],[Negotiated_Cost]])/Table1[[#This Row],[Unit_Cost]]</f>
        <v>2.3439907550077181E-2</v>
      </c>
    </row>
    <row r="871" spans="1:15" x14ac:dyDescent="0.25">
      <c r="A871" t="s">
        <v>906</v>
      </c>
      <c r="B871" t="s">
        <v>20</v>
      </c>
      <c r="C871" s="14" t="s">
        <v>44</v>
      </c>
      <c r="D871" s="1">
        <v>45032</v>
      </c>
      <c r="E871" s="13">
        <v>45062</v>
      </c>
      <c r="F871" s="14" t="s">
        <v>14</v>
      </c>
      <c r="G871">
        <v>183</v>
      </c>
      <c r="H871">
        <v>8609.56</v>
      </c>
      <c r="I871">
        <v>8573.9599999999991</v>
      </c>
      <c r="J871">
        <v>2</v>
      </c>
      <c r="K871" s="14" t="s">
        <v>15</v>
      </c>
      <c r="L871" s="14">
        <f>IF(OR(Table1[[#This Row],[Order_Status]]="Delivered",Table1[[#This Row],[Delivery_Date]]&lt;&gt;"Not Yet Delivered"),Table1[[#This Row],[Delivery_Date]]-Table1[[#This Row],[Order_Date]],"Not Applicable")</f>
        <v>30</v>
      </c>
      <c r="M871" s="14">
        <f>Table1[[#This Row],[Unit_Cost]]-Table1[[#This Row],[Negotiated_Cost]]</f>
        <v>35.600000000000364</v>
      </c>
      <c r="N871" s="18">
        <f>Table1[[#This Row],[Defective_Units]]/Table1[[#This Row],[Quantity]]</f>
        <v>1.092896174863388E-2</v>
      </c>
      <c r="O871" s="26">
        <f>(Table1[[#This Row],[Unit_Cost]]-Table1[[#This Row],[Negotiated_Cost]])/Table1[[#This Row],[Unit_Cost]]</f>
        <v>4.1349383708343245E-3</v>
      </c>
    </row>
    <row r="872" spans="1:15" x14ac:dyDescent="0.25">
      <c r="A872" t="s">
        <v>907</v>
      </c>
      <c r="B872" t="s">
        <v>35</v>
      </c>
      <c r="C872" s="14" t="s">
        <v>13</v>
      </c>
      <c r="D872" s="1">
        <v>45565</v>
      </c>
      <c r="E872" s="13">
        <v>45577</v>
      </c>
      <c r="F872" s="14" t="s">
        <v>14</v>
      </c>
      <c r="G872">
        <v>25</v>
      </c>
      <c r="H872">
        <v>4008.11</v>
      </c>
      <c r="I872">
        <v>3821.63</v>
      </c>
      <c r="J872">
        <v>0</v>
      </c>
      <c r="K872" s="14" t="s">
        <v>15</v>
      </c>
      <c r="L872" s="14">
        <f>IF(OR(Table1[[#This Row],[Order_Status]]="Delivered",Table1[[#This Row],[Delivery_Date]]&lt;&gt;"Not Yet Delivered"),Table1[[#This Row],[Delivery_Date]]-Table1[[#This Row],[Order_Date]],"Not Applicable")</f>
        <v>12</v>
      </c>
      <c r="M872" s="14">
        <f>Table1[[#This Row],[Unit_Cost]]-Table1[[#This Row],[Negotiated_Cost]]</f>
        <v>186.48000000000002</v>
      </c>
      <c r="N872" s="18">
        <f>Table1[[#This Row],[Defective_Units]]/Table1[[#This Row],[Quantity]]</f>
        <v>0</v>
      </c>
      <c r="O872" s="26">
        <f>(Table1[[#This Row],[Unit_Cost]]-Table1[[#This Row],[Negotiated_Cost]])/Table1[[#This Row],[Unit_Cost]]</f>
        <v>4.6525669205685474E-2</v>
      </c>
    </row>
    <row r="873" spans="1:15" x14ac:dyDescent="0.25">
      <c r="A873" t="s">
        <v>908</v>
      </c>
      <c r="B873" t="s">
        <v>27</v>
      </c>
      <c r="C873" s="14" t="s">
        <v>18</v>
      </c>
      <c r="D873" s="1">
        <v>45447</v>
      </c>
      <c r="E873" s="13">
        <v>45462</v>
      </c>
      <c r="F873" s="14" t="s">
        <v>14</v>
      </c>
      <c r="G873">
        <v>285</v>
      </c>
      <c r="H873">
        <v>5107.88</v>
      </c>
      <c r="I873">
        <v>4820.17</v>
      </c>
      <c r="J873">
        <v>8</v>
      </c>
      <c r="K873" s="14" t="s">
        <v>15</v>
      </c>
      <c r="L873" s="14">
        <f>IF(OR(Table1[[#This Row],[Order_Status]]="Delivered",Table1[[#This Row],[Delivery_Date]]&lt;&gt;"Not Yet Delivered"),Table1[[#This Row],[Delivery_Date]]-Table1[[#This Row],[Order_Date]],"Not Applicable")</f>
        <v>15</v>
      </c>
      <c r="M873" s="14">
        <f>Table1[[#This Row],[Unit_Cost]]-Table1[[#This Row],[Negotiated_Cost]]</f>
        <v>287.71000000000004</v>
      </c>
      <c r="N873" s="18">
        <f>Table1[[#This Row],[Defective_Units]]/Table1[[#This Row],[Quantity]]</f>
        <v>2.8070175438596492E-2</v>
      </c>
      <c r="O873" s="26">
        <f>(Table1[[#This Row],[Unit_Cost]]-Table1[[#This Row],[Negotiated_Cost]])/Table1[[#This Row],[Unit_Cost]]</f>
        <v>5.6326695223850212E-2</v>
      </c>
    </row>
    <row r="874" spans="1:15" x14ac:dyDescent="0.25">
      <c r="A874" t="s">
        <v>909</v>
      </c>
      <c r="B874" t="s">
        <v>32</v>
      </c>
      <c r="C874" s="14" t="s">
        <v>48</v>
      </c>
      <c r="D874" s="1">
        <v>45634</v>
      </c>
      <c r="E874" s="13">
        <v>45653</v>
      </c>
      <c r="F874" s="14" t="s">
        <v>14</v>
      </c>
      <c r="G874">
        <v>354</v>
      </c>
      <c r="H874">
        <v>6054.45</v>
      </c>
      <c r="I874">
        <v>5729.42</v>
      </c>
      <c r="J874">
        <v>4</v>
      </c>
      <c r="K874" s="14" t="s">
        <v>15</v>
      </c>
      <c r="L874" s="14">
        <f>IF(OR(Table1[[#This Row],[Order_Status]]="Delivered",Table1[[#This Row],[Delivery_Date]]&lt;&gt;"Not Yet Delivered"),Table1[[#This Row],[Delivery_Date]]-Table1[[#This Row],[Order_Date]],"Not Applicable")</f>
        <v>19</v>
      </c>
      <c r="M874" s="14">
        <f>Table1[[#This Row],[Unit_Cost]]-Table1[[#This Row],[Negotiated_Cost]]</f>
        <v>325.02999999999975</v>
      </c>
      <c r="N874" s="18">
        <f>Table1[[#This Row],[Defective_Units]]/Table1[[#This Row],[Quantity]]</f>
        <v>1.1299435028248588E-2</v>
      </c>
      <c r="O874" s="26">
        <f>(Table1[[#This Row],[Unit_Cost]]-Table1[[#This Row],[Negotiated_Cost]])/Table1[[#This Row],[Unit_Cost]]</f>
        <v>5.3684480010570697E-2</v>
      </c>
    </row>
    <row r="875" spans="1:15" x14ac:dyDescent="0.25">
      <c r="A875" t="s">
        <v>910</v>
      </c>
      <c r="B875" t="s">
        <v>20</v>
      </c>
      <c r="C875" s="14" t="s">
        <v>48</v>
      </c>
      <c r="D875" s="1">
        <v>45337</v>
      </c>
      <c r="E875" s="13">
        <v>45362</v>
      </c>
      <c r="F875" s="14" t="s">
        <v>14</v>
      </c>
      <c r="G875">
        <v>177</v>
      </c>
      <c r="H875">
        <v>6040.1</v>
      </c>
      <c r="I875">
        <v>5885.58</v>
      </c>
      <c r="J875">
        <v>2</v>
      </c>
      <c r="K875" s="14" t="s">
        <v>15</v>
      </c>
      <c r="L875" s="14">
        <f>IF(OR(Table1[[#This Row],[Order_Status]]="Delivered",Table1[[#This Row],[Delivery_Date]]&lt;&gt;"Not Yet Delivered"),Table1[[#This Row],[Delivery_Date]]-Table1[[#This Row],[Order_Date]],"Not Applicable")</f>
        <v>25</v>
      </c>
      <c r="M875" s="14">
        <f>Table1[[#This Row],[Unit_Cost]]-Table1[[#This Row],[Negotiated_Cost]]</f>
        <v>154.52000000000044</v>
      </c>
      <c r="N875" s="18">
        <f>Table1[[#This Row],[Defective_Units]]/Table1[[#This Row],[Quantity]]</f>
        <v>1.1299435028248588E-2</v>
      </c>
      <c r="O875" s="26">
        <f>(Table1[[#This Row],[Unit_Cost]]-Table1[[#This Row],[Negotiated_Cost]])/Table1[[#This Row],[Unit_Cost]]</f>
        <v>2.5582357907981728E-2</v>
      </c>
    </row>
    <row r="876" spans="1:15" x14ac:dyDescent="0.25">
      <c r="A876" t="s">
        <v>911</v>
      </c>
      <c r="B876" t="s">
        <v>17</v>
      </c>
      <c r="C876" s="14" t="s">
        <v>21</v>
      </c>
      <c r="D876" s="1">
        <v>45270</v>
      </c>
      <c r="E876" s="13">
        <v>45293</v>
      </c>
      <c r="F876" s="14" t="s">
        <v>14</v>
      </c>
      <c r="G876">
        <v>332</v>
      </c>
      <c r="H876">
        <v>106.78</v>
      </c>
      <c r="I876">
        <v>105.63</v>
      </c>
      <c r="J876">
        <v>7</v>
      </c>
      <c r="K876" s="14" t="s">
        <v>15</v>
      </c>
      <c r="L876" s="14">
        <f>IF(OR(Table1[[#This Row],[Order_Status]]="Delivered",Table1[[#This Row],[Delivery_Date]]&lt;&gt;"Not Yet Delivered"),Table1[[#This Row],[Delivery_Date]]-Table1[[#This Row],[Order_Date]],"Not Applicable")</f>
        <v>23</v>
      </c>
      <c r="M876" s="14">
        <f>Table1[[#This Row],[Unit_Cost]]-Table1[[#This Row],[Negotiated_Cost]]</f>
        <v>1.1500000000000057</v>
      </c>
      <c r="N876" s="18">
        <f>Table1[[#This Row],[Defective_Units]]/Table1[[#This Row],[Quantity]]</f>
        <v>2.1084337349397589E-2</v>
      </c>
      <c r="O876" s="26">
        <f>(Table1[[#This Row],[Unit_Cost]]-Table1[[#This Row],[Negotiated_Cost]])/Table1[[#This Row],[Unit_Cost]]</f>
        <v>1.0769807079977578E-2</v>
      </c>
    </row>
    <row r="877" spans="1:15" x14ac:dyDescent="0.25">
      <c r="A877" t="s">
        <v>912</v>
      </c>
      <c r="B877" t="s">
        <v>17</v>
      </c>
      <c r="C877" s="14" t="s">
        <v>30</v>
      </c>
      <c r="D877" s="1">
        <v>45563</v>
      </c>
      <c r="E877" s="13">
        <v>45580</v>
      </c>
      <c r="F877" s="14" t="s">
        <v>14</v>
      </c>
      <c r="G877">
        <v>431</v>
      </c>
      <c r="H877">
        <v>888.3</v>
      </c>
      <c r="I877">
        <v>872.6</v>
      </c>
      <c r="J877">
        <v>7</v>
      </c>
      <c r="K877" s="14" t="s">
        <v>15</v>
      </c>
      <c r="L877" s="14">
        <f>IF(OR(Table1[[#This Row],[Order_Status]]="Delivered",Table1[[#This Row],[Delivery_Date]]&lt;&gt;"Not Yet Delivered"),Table1[[#This Row],[Delivery_Date]]-Table1[[#This Row],[Order_Date]],"Not Applicable")</f>
        <v>17</v>
      </c>
      <c r="M877" s="14">
        <f>Table1[[#This Row],[Unit_Cost]]-Table1[[#This Row],[Negotiated_Cost]]</f>
        <v>15.699999999999932</v>
      </c>
      <c r="N877" s="18">
        <f>Table1[[#This Row],[Defective_Units]]/Table1[[#This Row],[Quantity]]</f>
        <v>1.6241299303944315E-2</v>
      </c>
      <c r="O877" s="26">
        <f>(Table1[[#This Row],[Unit_Cost]]-Table1[[#This Row],[Negotiated_Cost]])/Table1[[#This Row],[Unit_Cost]]</f>
        <v>1.7674209163570789E-2</v>
      </c>
    </row>
    <row r="878" spans="1:15" x14ac:dyDescent="0.25">
      <c r="A878" t="s">
        <v>913</v>
      </c>
      <c r="B878" t="s">
        <v>20</v>
      </c>
      <c r="C878" s="14" t="s">
        <v>21</v>
      </c>
      <c r="D878" s="1">
        <v>44934</v>
      </c>
      <c r="E878" s="13">
        <v>44936</v>
      </c>
      <c r="F878" s="14" t="s">
        <v>14</v>
      </c>
      <c r="G878">
        <v>212</v>
      </c>
      <c r="H878">
        <v>118.39</v>
      </c>
      <c r="I878">
        <v>114.99</v>
      </c>
      <c r="J878">
        <v>1</v>
      </c>
      <c r="K878" s="14" t="s">
        <v>15</v>
      </c>
      <c r="L878" s="14">
        <f>IF(OR(Table1[[#This Row],[Order_Status]]="Delivered",Table1[[#This Row],[Delivery_Date]]&lt;&gt;"Not Yet Delivered"),Table1[[#This Row],[Delivery_Date]]-Table1[[#This Row],[Order_Date]],"Not Applicable")</f>
        <v>2</v>
      </c>
      <c r="M878" s="14">
        <f>Table1[[#This Row],[Unit_Cost]]-Table1[[#This Row],[Negotiated_Cost]]</f>
        <v>3.4000000000000057</v>
      </c>
      <c r="N878" s="18">
        <f>Table1[[#This Row],[Defective_Units]]/Table1[[#This Row],[Quantity]]</f>
        <v>4.7169811320754715E-3</v>
      </c>
      <c r="O878" s="26">
        <f>(Table1[[#This Row],[Unit_Cost]]-Table1[[#This Row],[Negotiated_Cost]])/Table1[[#This Row],[Unit_Cost]]</f>
        <v>2.8718641777177173E-2</v>
      </c>
    </row>
    <row r="879" spans="1:15" x14ac:dyDescent="0.25">
      <c r="A879" t="s">
        <v>914</v>
      </c>
      <c r="B879" t="s">
        <v>27</v>
      </c>
      <c r="C879" s="14" t="s">
        <v>50</v>
      </c>
      <c r="D879" s="1">
        <v>45265</v>
      </c>
      <c r="E879" s="13">
        <v>45291</v>
      </c>
      <c r="F879" s="14" t="s">
        <v>37</v>
      </c>
      <c r="G879">
        <v>442</v>
      </c>
      <c r="H879">
        <v>51190.43</v>
      </c>
      <c r="I879">
        <v>48155.19</v>
      </c>
      <c r="J879">
        <v>1</v>
      </c>
      <c r="K879" s="14" t="s">
        <v>15</v>
      </c>
      <c r="L879" s="14">
        <f>IF(OR(Table1[[#This Row],[Order_Status]]="Delivered",Table1[[#This Row],[Delivery_Date]]&lt;&gt;"Not Yet Delivered"),Table1[[#This Row],[Delivery_Date]]-Table1[[#This Row],[Order_Date]],"Not Applicable")</f>
        <v>26</v>
      </c>
      <c r="M879" s="14">
        <f>Table1[[#This Row],[Unit_Cost]]-Table1[[#This Row],[Negotiated_Cost]]</f>
        <v>3035.239999999998</v>
      </c>
      <c r="N879" s="18">
        <f>Table1[[#This Row],[Defective_Units]]/Table1[[#This Row],[Quantity]]</f>
        <v>2.2624434389140274E-3</v>
      </c>
      <c r="O879" s="26">
        <f>(Table1[[#This Row],[Unit_Cost]]-Table1[[#This Row],[Negotiated_Cost]])/Table1[[#This Row],[Unit_Cost]]</f>
        <v>5.9293113966809773E-2</v>
      </c>
    </row>
    <row r="880" spans="1:15" x14ac:dyDescent="0.25">
      <c r="A880" t="s">
        <v>915</v>
      </c>
      <c r="B880" t="s">
        <v>40</v>
      </c>
      <c r="C880" s="14" t="s">
        <v>50</v>
      </c>
      <c r="D880" s="1">
        <v>45072</v>
      </c>
      <c r="E880" s="14" t="s">
        <v>2057</v>
      </c>
      <c r="F880" s="14" t="s">
        <v>33</v>
      </c>
      <c r="G880">
        <v>385</v>
      </c>
      <c r="H880">
        <v>57307.38</v>
      </c>
      <c r="I880">
        <v>54515.03</v>
      </c>
      <c r="J880">
        <v>2</v>
      </c>
      <c r="K880" s="14" t="s">
        <v>15</v>
      </c>
      <c r="L880" s="14" t="str">
        <f>IF(OR(Table1[[#This Row],[Order_Status]]="Delivered",Table1[[#This Row],[Delivery_Date]]&lt;&gt;"Not Yet Delivered"),Table1[[#This Row],[Delivery_Date]]-Table1[[#This Row],[Order_Date]],"Not Applicable")</f>
        <v>Not Applicable</v>
      </c>
      <c r="M880" s="14">
        <f>Table1[[#This Row],[Unit_Cost]]-Table1[[#This Row],[Negotiated_Cost]]</f>
        <v>2792.3499999999985</v>
      </c>
      <c r="N880" s="18">
        <f>Table1[[#This Row],[Defective_Units]]/Table1[[#This Row],[Quantity]]</f>
        <v>5.1948051948051948E-3</v>
      </c>
      <c r="O880" s="26">
        <f>(Table1[[#This Row],[Unit_Cost]]-Table1[[#This Row],[Negotiated_Cost]])/Table1[[#This Row],[Unit_Cost]]</f>
        <v>4.8725836009253932E-2</v>
      </c>
    </row>
    <row r="881" spans="1:15" x14ac:dyDescent="0.25">
      <c r="A881" t="s">
        <v>916</v>
      </c>
      <c r="B881" t="s">
        <v>46</v>
      </c>
      <c r="C881" s="14" t="s">
        <v>42</v>
      </c>
      <c r="D881" s="1">
        <v>45294</v>
      </c>
      <c r="E881" s="13">
        <v>45311</v>
      </c>
      <c r="F881" s="14" t="s">
        <v>14</v>
      </c>
      <c r="G881">
        <v>349</v>
      </c>
      <c r="H881">
        <v>12365.56</v>
      </c>
      <c r="I881">
        <v>11974.47</v>
      </c>
      <c r="J881">
        <v>3</v>
      </c>
      <c r="K881" s="14" t="s">
        <v>25</v>
      </c>
      <c r="L881" s="14">
        <f>IF(OR(Table1[[#This Row],[Order_Status]]="Delivered",Table1[[#This Row],[Delivery_Date]]&lt;&gt;"Not Yet Delivered"),Table1[[#This Row],[Delivery_Date]]-Table1[[#This Row],[Order_Date]],"Not Applicable")</f>
        <v>17</v>
      </c>
      <c r="M881" s="14">
        <f>Table1[[#This Row],[Unit_Cost]]-Table1[[#This Row],[Negotiated_Cost]]</f>
        <v>391.09000000000015</v>
      </c>
      <c r="N881" s="18">
        <f>Table1[[#This Row],[Defective_Units]]/Table1[[#This Row],[Quantity]]</f>
        <v>8.5959885386819486E-3</v>
      </c>
      <c r="O881" s="26">
        <f>(Table1[[#This Row],[Unit_Cost]]-Table1[[#This Row],[Negotiated_Cost]])/Table1[[#This Row],[Unit_Cost]]</f>
        <v>3.1627358566858284E-2</v>
      </c>
    </row>
    <row r="882" spans="1:15" x14ac:dyDescent="0.25">
      <c r="A882" t="s">
        <v>917</v>
      </c>
      <c r="B882" t="s">
        <v>46</v>
      </c>
      <c r="C882" s="14" t="s">
        <v>48</v>
      </c>
      <c r="D882" s="1">
        <v>45622</v>
      </c>
      <c r="E882" s="13">
        <v>45624</v>
      </c>
      <c r="F882" s="14" t="s">
        <v>14</v>
      </c>
      <c r="G882">
        <v>265</v>
      </c>
      <c r="H882">
        <v>6120.15</v>
      </c>
      <c r="I882">
        <v>6020.83</v>
      </c>
      <c r="J882">
        <v>6</v>
      </c>
      <c r="K882" s="14" t="s">
        <v>15</v>
      </c>
      <c r="L882" s="14">
        <f>IF(OR(Table1[[#This Row],[Order_Status]]="Delivered",Table1[[#This Row],[Delivery_Date]]&lt;&gt;"Not Yet Delivered"),Table1[[#This Row],[Delivery_Date]]-Table1[[#This Row],[Order_Date]],"Not Applicable")</f>
        <v>2</v>
      </c>
      <c r="M882" s="14">
        <f>Table1[[#This Row],[Unit_Cost]]-Table1[[#This Row],[Negotiated_Cost]]</f>
        <v>99.319999999999709</v>
      </c>
      <c r="N882" s="18">
        <f>Table1[[#This Row],[Defective_Units]]/Table1[[#This Row],[Quantity]]</f>
        <v>2.2641509433962263E-2</v>
      </c>
      <c r="O882" s="26">
        <f>(Table1[[#This Row],[Unit_Cost]]-Table1[[#This Row],[Negotiated_Cost]])/Table1[[#This Row],[Unit_Cost]]</f>
        <v>1.622836041600283E-2</v>
      </c>
    </row>
    <row r="883" spans="1:15" x14ac:dyDescent="0.25">
      <c r="A883" t="s">
        <v>918</v>
      </c>
      <c r="B883" t="s">
        <v>46</v>
      </c>
      <c r="C883" s="14" t="s">
        <v>28</v>
      </c>
      <c r="D883" s="1">
        <v>44965</v>
      </c>
      <c r="E883" s="14" t="s">
        <v>2057</v>
      </c>
      <c r="F883" s="14" t="s">
        <v>33</v>
      </c>
      <c r="G883">
        <v>351</v>
      </c>
      <c r="H883">
        <v>47455.02</v>
      </c>
      <c r="I883">
        <v>46325.27</v>
      </c>
      <c r="J883">
        <v>2</v>
      </c>
      <c r="K883" s="14" t="s">
        <v>15</v>
      </c>
      <c r="L883" s="14" t="str">
        <f>IF(OR(Table1[[#This Row],[Order_Status]]="Delivered",Table1[[#This Row],[Delivery_Date]]&lt;&gt;"Not Yet Delivered"),Table1[[#This Row],[Delivery_Date]]-Table1[[#This Row],[Order_Date]],"Not Applicable")</f>
        <v>Not Applicable</v>
      </c>
      <c r="M883" s="14">
        <f>Table1[[#This Row],[Unit_Cost]]-Table1[[#This Row],[Negotiated_Cost]]</f>
        <v>1129.75</v>
      </c>
      <c r="N883" s="18">
        <f>Table1[[#This Row],[Defective_Units]]/Table1[[#This Row],[Quantity]]</f>
        <v>5.6980056980056983E-3</v>
      </c>
      <c r="O883" s="26">
        <f>(Table1[[#This Row],[Unit_Cost]]-Table1[[#This Row],[Negotiated_Cost]])/Table1[[#This Row],[Unit_Cost]]</f>
        <v>2.3806754269622057E-2</v>
      </c>
    </row>
    <row r="884" spans="1:15" x14ac:dyDescent="0.25">
      <c r="A884" t="s">
        <v>919</v>
      </c>
      <c r="B884" t="s">
        <v>40</v>
      </c>
      <c r="C884" s="14" t="s">
        <v>24</v>
      </c>
      <c r="D884" s="1">
        <v>45532</v>
      </c>
      <c r="E884" s="14" t="s">
        <v>2057</v>
      </c>
      <c r="F884" s="14" t="s">
        <v>33</v>
      </c>
      <c r="G884">
        <v>246</v>
      </c>
      <c r="H884">
        <v>13699.77</v>
      </c>
      <c r="I884">
        <v>12924.09</v>
      </c>
      <c r="J884">
        <v>2</v>
      </c>
      <c r="K884" s="14" t="s">
        <v>25</v>
      </c>
      <c r="L884" s="14" t="str">
        <f>IF(OR(Table1[[#This Row],[Order_Status]]="Delivered",Table1[[#This Row],[Delivery_Date]]&lt;&gt;"Not Yet Delivered"),Table1[[#This Row],[Delivery_Date]]-Table1[[#This Row],[Order_Date]],"Not Applicable")</f>
        <v>Not Applicable</v>
      </c>
      <c r="M884" s="14">
        <f>Table1[[#This Row],[Unit_Cost]]-Table1[[#This Row],[Negotiated_Cost]]</f>
        <v>775.68000000000029</v>
      </c>
      <c r="N884" s="18">
        <f>Table1[[#This Row],[Defective_Units]]/Table1[[#This Row],[Quantity]]</f>
        <v>8.130081300813009E-3</v>
      </c>
      <c r="O884" s="26">
        <f>(Table1[[#This Row],[Unit_Cost]]-Table1[[#This Row],[Negotiated_Cost]])/Table1[[#This Row],[Unit_Cost]]</f>
        <v>5.6619928655736576E-2</v>
      </c>
    </row>
    <row r="885" spans="1:15" x14ac:dyDescent="0.25">
      <c r="A885" t="s">
        <v>920</v>
      </c>
      <c r="B885" t="s">
        <v>27</v>
      </c>
      <c r="C885" s="14" t="s">
        <v>48</v>
      </c>
      <c r="D885" s="1">
        <v>45621</v>
      </c>
      <c r="E885" s="13">
        <v>45639</v>
      </c>
      <c r="F885" s="14" t="s">
        <v>14</v>
      </c>
      <c r="G885">
        <v>132</v>
      </c>
      <c r="H885">
        <v>6401.58</v>
      </c>
      <c r="I885">
        <v>6307.85</v>
      </c>
      <c r="J885">
        <v>0</v>
      </c>
      <c r="K885" s="14" t="s">
        <v>15</v>
      </c>
      <c r="L885" s="14">
        <f>IF(OR(Table1[[#This Row],[Order_Status]]="Delivered",Table1[[#This Row],[Delivery_Date]]&lt;&gt;"Not Yet Delivered"),Table1[[#This Row],[Delivery_Date]]-Table1[[#This Row],[Order_Date]],"Not Applicable")</f>
        <v>18</v>
      </c>
      <c r="M885" s="14">
        <f>Table1[[#This Row],[Unit_Cost]]-Table1[[#This Row],[Negotiated_Cost]]</f>
        <v>93.729999999999563</v>
      </c>
      <c r="N885" s="18">
        <f>Table1[[#This Row],[Defective_Units]]/Table1[[#This Row],[Quantity]]</f>
        <v>0</v>
      </c>
      <c r="O885" s="26">
        <f>(Table1[[#This Row],[Unit_Cost]]-Table1[[#This Row],[Negotiated_Cost]])/Table1[[#This Row],[Unit_Cost]]</f>
        <v>1.4641697830847941E-2</v>
      </c>
    </row>
    <row r="886" spans="1:15" x14ac:dyDescent="0.25">
      <c r="A886" t="s">
        <v>921</v>
      </c>
      <c r="B886" t="s">
        <v>27</v>
      </c>
      <c r="C886" s="14" t="s">
        <v>18</v>
      </c>
      <c r="D886" s="1">
        <v>45049</v>
      </c>
      <c r="E886" s="13">
        <v>45051</v>
      </c>
      <c r="F886" s="14" t="s">
        <v>37</v>
      </c>
      <c r="G886">
        <v>346</v>
      </c>
      <c r="H886">
        <v>5348.1</v>
      </c>
      <c r="I886">
        <v>5287.74</v>
      </c>
      <c r="J886">
        <v>6</v>
      </c>
      <c r="K886" s="14" t="s">
        <v>15</v>
      </c>
      <c r="L886" s="14">
        <f>IF(OR(Table1[[#This Row],[Order_Status]]="Delivered",Table1[[#This Row],[Delivery_Date]]&lt;&gt;"Not Yet Delivered"),Table1[[#This Row],[Delivery_Date]]-Table1[[#This Row],[Order_Date]],"Not Applicable")</f>
        <v>2</v>
      </c>
      <c r="M886" s="14">
        <f>Table1[[#This Row],[Unit_Cost]]-Table1[[#This Row],[Negotiated_Cost]]</f>
        <v>60.360000000000582</v>
      </c>
      <c r="N886" s="18">
        <f>Table1[[#This Row],[Defective_Units]]/Table1[[#This Row],[Quantity]]</f>
        <v>1.7341040462427744E-2</v>
      </c>
      <c r="O886" s="26">
        <f>(Table1[[#This Row],[Unit_Cost]]-Table1[[#This Row],[Negotiated_Cost]])/Table1[[#This Row],[Unit_Cost]]</f>
        <v>1.1286251192012224E-2</v>
      </c>
    </row>
    <row r="887" spans="1:15" x14ac:dyDescent="0.25">
      <c r="A887" t="s">
        <v>922</v>
      </c>
      <c r="B887" t="s">
        <v>32</v>
      </c>
      <c r="C887" s="14" t="s">
        <v>42</v>
      </c>
      <c r="D887" s="1">
        <v>44933</v>
      </c>
      <c r="E887" s="13">
        <v>44951</v>
      </c>
      <c r="F887" s="14" t="s">
        <v>14</v>
      </c>
      <c r="G887">
        <v>475</v>
      </c>
      <c r="H887">
        <v>11200.92</v>
      </c>
      <c r="I887">
        <v>11051.64</v>
      </c>
      <c r="J887">
        <v>2</v>
      </c>
      <c r="K887" s="14" t="s">
        <v>15</v>
      </c>
      <c r="L887" s="14">
        <f>IF(OR(Table1[[#This Row],[Order_Status]]="Delivered",Table1[[#This Row],[Delivery_Date]]&lt;&gt;"Not Yet Delivered"),Table1[[#This Row],[Delivery_Date]]-Table1[[#This Row],[Order_Date]],"Not Applicable")</f>
        <v>18</v>
      </c>
      <c r="M887" s="14">
        <f>Table1[[#This Row],[Unit_Cost]]-Table1[[#This Row],[Negotiated_Cost]]</f>
        <v>149.28000000000065</v>
      </c>
      <c r="N887" s="18">
        <f>Table1[[#This Row],[Defective_Units]]/Table1[[#This Row],[Quantity]]</f>
        <v>4.2105263157894736E-3</v>
      </c>
      <c r="O887" s="26">
        <f>(Table1[[#This Row],[Unit_Cost]]-Table1[[#This Row],[Negotiated_Cost]])/Table1[[#This Row],[Unit_Cost]]</f>
        <v>1.3327476671559181E-2</v>
      </c>
    </row>
    <row r="888" spans="1:15" x14ac:dyDescent="0.25">
      <c r="A888" t="s">
        <v>923</v>
      </c>
      <c r="B888" t="s">
        <v>35</v>
      </c>
      <c r="C888" s="14" t="s">
        <v>44</v>
      </c>
      <c r="D888" s="1">
        <v>45219</v>
      </c>
      <c r="E888" s="14" t="s">
        <v>2057</v>
      </c>
      <c r="F888" s="14" t="s">
        <v>33</v>
      </c>
      <c r="G888">
        <v>211</v>
      </c>
      <c r="H888">
        <v>8770.18</v>
      </c>
      <c r="I888">
        <v>8335.85</v>
      </c>
      <c r="J888">
        <v>2</v>
      </c>
      <c r="K888" s="14" t="s">
        <v>15</v>
      </c>
      <c r="L888" s="14" t="str">
        <f>IF(OR(Table1[[#This Row],[Order_Status]]="Delivered",Table1[[#This Row],[Delivery_Date]]&lt;&gt;"Not Yet Delivered"),Table1[[#This Row],[Delivery_Date]]-Table1[[#This Row],[Order_Date]],"Not Applicable")</f>
        <v>Not Applicable</v>
      </c>
      <c r="M888" s="14">
        <f>Table1[[#This Row],[Unit_Cost]]-Table1[[#This Row],[Negotiated_Cost]]</f>
        <v>434.32999999999993</v>
      </c>
      <c r="N888" s="18">
        <f>Table1[[#This Row],[Defective_Units]]/Table1[[#This Row],[Quantity]]</f>
        <v>9.4786729857819912E-3</v>
      </c>
      <c r="O888" s="26">
        <f>(Table1[[#This Row],[Unit_Cost]]-Table1[[#This Row],[Negotiated_Cost]])/Table1[[#This Row],[Unit_Cost]]</f>
        <v>4.9523498947570049E-2</v>
      </c>
    </row>
    <row r="889" spans="1:15" x14ac:dyDescent="0.25">
      <c r="A889" t="s">
        <v>924</v>
      </c>
      <c r="B889" t="s">
        <v>12</v>
      </c>
      <c r="C889" s="14" t="s">
        <v>18</v>
      </c>
      <c r="D889" s="1">
        <v>45080</v>
      </c>
      <c r="E889" s="13">
        <v>45094</v>
      </c>
      <c r="F889" s="14" t="s">
        <v>14</v>
      </c>
      <c r="G889">
        <v>14</v>
      </c>
      <c r="H889">
        <v>5623.35</v>
      </c>
      <c r="I889">
        <v>5611.44</v>
      </c>
      <c r="J889">
        <v>0</v>
      </c>
      <c r="K889" s="14" t="s">
        <v>15</v>
      </c>
      <c r="L889" s="14">
        <f>IF(OR(Table1[[#This Row],[Order_Status]]="Delivered",Table1[[#This Row],[Delivery_Date]]&lt;&gt;"Not Yet Delivered"),Table1[[#This Row],[Delivery_Date]]-Table1[[#This Row],[Order_Date]],"Not Applicable")</f>
        <v>14</v>
      </c>
      <c r="M889" s="14">
        <f>Table1[[#This Row],[Unit_Cost]]-Table1[[#This Row],[Negotiated_Cost]]</f>
        <v>11.910000000000764</v>
      </c>
      <c r="N889" s="18">
        <f>Table1[[#This Row],[Defective_Units]]/Table1[[#This Row],[Quantity]]</f>
        <v>0</v>
      </c>
      <c r="O889" s="26">
        <f>(Table1[[#This Row],[Unit_Cost]]-Table1[[#This Row],[Negotiated_Cost]])/Table1[[#This Row],[Unit_Cost]]</f>
        <v>2.1179546000161405E-3</v>
      </c>
    </row>
    <row r="890" spans="1:15" x14ac:dyDescent="0.25">
      <c r="A890" t="s">
        <v>925</v>
      </c>
      <c r="B890" t="s">
        <v>17</v>
      </c>
      <c r="C890" s="14" t="s">
        <v>18</v>
      </c>
      <c r="D890" s="1">
        <v>45468</v>
      </c>
      <c r="E890" s="13">
        <v>45497</v>
      </c>
      <c r="F890" s="14" t="s">
        <v>14</v>
      </c>
      <c r="G890">
        <v>363</v>
      </c>
      <c r="H890">
        <v>4754.43</v>
      </c>
      <c r="I890">
        <v>4517.49</v>
      </c>
      <c r="J890">
        <v>3</v>
      </c>
      <c r="K890" s="14" t="s">
        <v>15</v>
      </c>
      <c r="L890" s="14">
        <f>IF(OR(Table1[[#This Row],[Order_Status]]="Delivered",Table1[[#This Row],[Delivery_Date]]&lt;&gt;"Not Yet Delivered"),Table1[[#This Row],[Delivery_Date]]-Table1[[#This Row],[Order_Date]],"Not Applicable")</f>
        <v>29</v>
      </c>
      <c r="M890" s="14">
        <f>Table1[[#This Row],[Unit_Cost]]-Table1[[#This Row],[Negotiated_Cost]]</f>
        <v>236.94000000000051</v>
      </c>
      <c r="N890" s="18">
        <f>Table1[[#This Row],[Defective_Units]]/Table1[[#This Row],[Quantity]]</f>
        <v>8.2644628099173556E-3</v>
      </c>
      <c r="O890" s="26">
        <f>(Table1[[#This Row],[Unit_Cost]]-Table1[[#This Row],[Negotiated_Cost]])/Table1[[#This Row],[Unit_Cost]]</f>
        <v>4.9835626983676377E-2</v>
      </c>
    </row>
    <row r="891" spans="1:15" x14ac:dyDescent="0.25">
      <c r="A891" t="s">
        <v>926</v>
      </c>
      <c r="B891" t="s">
        <v>17</v>
      </c>
      <c r="C891" s="14" t="s">
        <v>24</v>
      </c>
      <c r="D891" s="1">
        <v>45218</v>
      </c>
      <c r="E891" s="14" t="s">
        <v>2057</v>
      </c>
      <c r="F891" s="14" t="s">
        <v>33</v>
      </c>
      <c r="G891">
        <v>303</v>
      </c>
      <c r="H891">
        <v>12364.75</v>
      </c>
      <c r="I891">
        <v>12125.95</v>
      </c>
      <c r="J891">
        <v>2</v>
      </c>
      <c r="K891" s="14" t="s">
        <v>15</v>
      </c>
      <c r="L891" s="14" t="str">
        <f>IF(OR(Table1[[#This Row],[Order_Status]]="Delivered",Table1[[#This Row],[Delivery_Date]]&lt;&gt;"Not Yet Delivered"),Table1[[#This Row],[Delivery_Date]]-Table1[[#This Row],[Order_Date]],"Not Applicable")</f>
        <v>Not Applicable</v>
      </c>
      <c r="M891" s="14">
        <f>Table1[[#This Row],[Unit_Cost]]-Table1[[#This Row],[Negotiated_Cost]]</f>
        <v>238.79999999999927</v>
      </c>
      <c r="N891" s="18">
        <f>Table1[[#This Row],[Defective_Units]]/Table1[[#This Row],[Quantity]]</f>
        <v>6.6006600660066007E-3</v>
      </c>
      <c r="O891" s="26">
        <f>(Table1[[#This Row],[Unit_Cost]]-Table1[[#This Row],[Negotiated_Cost]])/Table1[[#This Row],[Unit_Cost]]</f>
        <v>1.9312966295315252E-2</v>
      </c>
    </row>
    <row r="892" spans="1:15" x14ac:dyDescent="0.25">
      <c r="A892" t="s">
        <v>927</v>
      </c>
      <c r="B892" t="s">
        <v>12</v>
      </c>
      <c r="C892" s="14" t="s">
        <v>50</v>
      </c>
      <c r="D892" s="1">
        <v>45003</v>
      </c>
      <c r="E892" s="13">
        <v>45027</v>
      </c>
      <c r="F892" s="14" t="s">
        <v>14</v>
      </c>
      <c r="G892">
        <v>165</v>
      </c>
      <c r="H892">
        <v>51979.1</v>
      </c>
      <c r="I892">
        <v>48964.98</v>
      </c>
      <c r="J892">
        <v>0</v>
      </c>
      <c r="K892" s="14" t="s">
        <v>15</v>
      </c>
      <c r="L892" s="14">
        <f>IF(OR(Table1[[#This Row],[Order_Status]]="Delivered",Table1[[#This Row],[Delivery_Date]]&lt;&gt;"Not Yet Delivered"),Table1[[#This Row],[Delivery_Date]]-Table1[[#This Row],[Order_Date]],"Not Applicable")</f>
        <v>24</v>
      </c>
      <c r="M892" s="14">
        <f>Table1[[#This Row],[Unit_Cost]]-Table1[[#This Row],[Negotiated_Cost]]</f>
        <v>3014.1199999999953</v>
      </c>
      <c r="N892" s="18">
        <f>Table1[[#This Row],[Defective_Units]]/Table1[[#This Row],[Quantity]]</f>
        <v>0</v>
      </c>
      <c r="O892" s="26">
        <f>(Table1[[#This Row],[Unit_Cost]]-Table1[[#This Row],[Negotiated_Cost]])/Table1[[#This Row],[Unit_Cost]]</f>
        <v>5.7987152528612376E-2</v>
      </c>
    </row>
    <row r="893" spans="1:15" x14ac:dyDescent="0.25">
      <c r="A893" t="s">
        <v>928</v>
      </c>
      <c r="B893" t="s">
        <v>32</v>
      </c>
      <c r="C893" s="14" t="s">
        <v>30</v>
      </c>
      <c r="D893" s="1">
        <v>45649</v>
      </c>
      <c r="E893" s="13">
        <v>45664</v>
      </c>
      <c r="F893" s="14" t="s">
        <v>14</v>
      </c>
      <c r="G893">
        <v>99</v>
      </c>
      <c r="H893">
        <v>861.86</v>
      </c>
      <c r="I893">
        <v>811.88</v>
      </c>
      <c r="J893">
        <v>1</v>
      </c>
      <c r="K893" s="14" t="s">
        <v>15</v>
      </c>
      <c r="L893" s="14">
        <f>IF(OR(Table1[[#This Row],[Order_Status]]="Delivered",Table1[[#This Row],[Delivery_Date]]&lt;&gt;"Not Yet Delivered"),Table1[[#This Row],[Delivery_Date]]-Table1[[#This Row],[Order_Date]],"Not Applicable")</f>
        <v>15</v>
      </c>
      <c r="M893" s="14">
        <f>Table1[[#This Row],[Unit_Cost]]-Table1[[#This Row],[Negotiated_Cost]]</f>
        <v>49.980000000000018</v>
      </c>
      <c r="N893" s="18">
        <f>Table1[[#This Row],[Defective_Units]]/Table1[[#This Row],[Quantity]]</f>
        <v>1.0101010101010102E-2</v>
      </c>
      <c r="O893" s="26">
        <f>(Table1[[#This Row],[Unit_Cost]]-Table1[[#This Row],[Negotiated_Cost]])/Table1[[#This Row],[Unit_Cost]]</f>
        <v>5.799085698373288E-2</v>
      </c>
    </row>
    <row r="894" spans="1:15" x14ac:dyDescent="0.25">
      <c r="A894" t="s">
        <v>929</v>
      </c>
      <c r="B894" t="s">
        <v>17</v>
      </c>
      <c r="C894" s="14" t="s">
        <v>13</v>
      </c>
      <c r="D894" s="1">
        <v>44996</v>
      </c>
      <c r="E894" s="13">
        <v>45016</v>
      </c>
      <c r="F894" s="14" t="s">
        <v>14</v>
      </c>
      <c r="G894">
        <v>222</v>
      </c>
      <c r="H894">
        <v>3778.46</v>
      </c>
      <c r="I894">
        <v>3696.79</v>
      </c>
      <c r="J894">
        <v>0</v>
      </c>
      <c r="K894" s="14" t="s">
        <v>15</v>
      </c>
      <c r="L894" s="14">
        <f>IF(OR(Table1[[#This Row],[Order_Status]]="Delivered",Table1[[#This Row],[Delivery_Date]]&lt;&gt;"Not Yet Delivered"),Table1[[#This Row],[Delivery_Date]]-Table1[[#This Row],[Order_Date]],"Not Applicable")</f>
        <v>20</v>
      </c>
      <c r="M894" s="14">
        <f>Table1[[#This Row],[Unit_Cost]]-Table1[[#This Row],[Negotiated_Cost]]</f>
        <v>81.670000000000073</v>
      </c>
      <c r="N894" s="18">
        <f>Table1[[#This Row],[Defective_Units]]/Table1[[#This Row],[Quantity]]</f>
        <v>0</v>
      </c>
      <c r="O894" s="26">
        <f>(Table1[[#This Row],[Unit_Cost]]-Table1[[#This Row],[Negotiated_Cost]])/Table1[[#This Row],[Unit_Cost]]</f>
        <v>2.1614626064587177E-2</v>
      </c>
    </row>
    <row r="895" spans="1:15" x14ac:dyDescent="0.25">
      <c r="A895" t="s">
        <v>930</v>
      </c>
      <c r="B895" t="s">
        <v>35</v>
      </c>
      <c r="C895" s="14" t="s">
        <v>28</v>
      </c>
      <c r="D895" s="1">
        <v>45476</v>
      </c>
      <c r="E895" s="13">
        <v>45496</v>
      </c>
      <c r="F895" s="14" t="s">
        <v>14</v>
      </c>
      <c r="G895">
        <v>52</v>
      </c>
      <c r="H895">
        <v>47548.15</v>
      </c>
      <c r="I895">
        <v>46713.78</v>
      </c>
      <c r="J895">
        <v>0</v>
      </c>
      <c r="K895" s="14" t="s">
        <v>15</v>
      </c>
      <c r="L895" s="14">
        <f>IF(OR(Table1[[#This Row],[Order_Status]]="Delivered",Table1[[#This Row],[Delivery_Date]]&lt;&gt;"Not Yet Delivered"),Table1[[#This Row],[Delivery_Date]]-Table1[[#This Row],[Order_Date]],"Not Applicable")</f>
        <v>20</v>
      </c>
      <c r="M895" s="14">
        <f>Table1[[#This Row],[Unit_Cost]]-Table1[[#This Row],[Negotiated_Cost]]</f>
        <v>834.37000000000262</v>
      </c>
      <c r="N895" s="18">
        <f>Table1[[#This Row],[Defective_Units]]/Table1[[#This Row],[Quantity]]</f>
        <v>0</v>
      </c>
      <c r="O895" s="26">
        <f>(Table1[[#This Row],[Unit_Cost]]-Table1[[#This Row],[Negotiated_Cost]])/Table1[[#This Row],[Unit_Cost]]</f>
        <v>1.7547896185235442E-2</v>
      </c>
    </row>
    <row r="896" spans="1:15" x14ac:dyDescent="0.25">
      <c r="A896" t="s">
        <v>931</v>
      </c>
      <c r="B896" t="s">
        <v>27</v>
      </c>
      <c r="C896" s="14" t="s">
        <v>44</v>
      </c>
      <c r="D896" s="1">
        <v>45262</v>
      </c>
      <c r="E896" s="13">
        <v>45290</v>
      </c>
      <c r="F896" s="14" t="s">
        <v>37</v>
      </c>
      <c r="G896">
        <v>99</v>
      </c>
      <c r="H896">
        <v>8809.26</v>
      </c>
      <c r="I896">
        <v>8764.1299999999992</v>
      </c>
      <c r="J896">
        <v>0</v>
      </c>
      <c r="K896" s="14" t="s">
        <v>15</v>
      </c>
      <c r="L896" s="14">
        <f>IF(OR(Table1[[#This Row],[Order_Status]]="Delivered",Table1[[#This Row],[Delivery_Date]]&lt;&gt;"Not Yet Delivered"),Table1[[#This Row],[Delivery_Date]]-Table1[[#This Row],[Order_Date]],"Not Applicable")</f>
        <v>28</v>
      </c>
      <c r="M896" s="14">
        <f>Table1[[#This Row],[Unit_Cost]]-Table1[[#This Row],[Negotiated_Cost]]</f>
        <v>45.130000000001019</v>
      </c>
      <c r="N896" s="18">
        <f>Table1[[#This Row],[Defective_Units]]/Table1[[#This Row],[Quantity]]</f>
        <v>0</v>
      </c>
      <c r="O896" s="26">
        <f>(Table1[[#This Row],[Unit_Cost]]-Table1[[#This Row],[Negotiated_Cost]])/Table1[[#This Row],[Unit_Cost]]</f>
        <v>5.123018278493428E-3</v>
      </c>
    </row>
    <row r="897" spans="1:15" x14ac:dyDescent="0.25">
      <c r="A897" t="s">
        <v>932</v>
      </c>
      <c r="B897" t="s">
        <v>27</v>
      </c>
      <c r="C897" s="14" t="s">
        <v>18</v>
      </c>
      <c r="D897" s="1">
        <v>45149</v>
      </c>
      <c r="E897" s="13">
        <v>45152</v>
      </c>
      <c r="F897" s="14" t="s">
        <v>14</v>
      </c>
      <c r="G897">
        <v>124</v>
      </c>
      <c r="H897">
        <v>5615.71</v>
      </c>
      <c r="I897">
        <v>5405.93</v>
      </c>
      <c r="J897">
        <v>1</v>
      </c>
      <c r="K897" s="14" t="s">
        <v>15</v>
      </c>
      <c r="L897" s="14">
        <f>IF(OR(Table1[[#This Row],[Order_Status]]="Delivered",Table1[[#This Row],[Delivery_Date]]&lt;&gt;"Not Yet Delivered"),Table1[[#This Row],[Delivery_Date]]-Table1[[#This Row],[Order_Date]],"Not Applicable")</f>
        <v>3</v>
      </c>
      <c r="M897" s="14">
        <f>Table1[[#This Row],[Unit_Cost]]-Table1[[#This Row],[Negotiated_Cost]]</f>
        <v>209.77999999999975</v>
      </c>
      <c r="N897" s="18">
        <f>Table1[[#This Row],[Defective_Units]]/Table1[[#This Row],[Quantity]]</f>
        <v>8.0645161290322578E-3</v>
      </c>
      <c r="O897" s="26">
        <f>(Table1[[#This Row],[Unit_Cost]]-Table1[[#This Row],[Negotiated_Cost]])/Table1[[#This Row],[Unit_Cost]]</f>
        <v>3.7355917595459837E-2</v>
      </c>
    </row>
    <row r="898" spans="1:15" x14ac:dyDescent="0.25">
      <c r="A898" t="s">
        <v>933</v>
      </c>
      <c r="B898" t="s">
        <v>12</v>
      </c>
      <c r="C898" s="14" t="s">
        <v>48</v>
      </c>
      <c r="D898" s="1">
        <v>45575</v>
      </c>
      <c r="E898" s="13">
        <v>45577</v>
      </c>
      <c r="F898" s="14" t="s">
        <v>14</v>
      </c>
      <c r="G898">
        <v>168</v>
      </c>
      <c r="H898">
        <v>6520.49</v>
      </c>
      <c r="I898">
        <v>6295.67</v>
      </c>
      <c r="J898">
        <v>5</v>
      </c>
      <c r="K898" s="14" t="s">
        <v>15</v>
      </c>
      <c r="L898" s="14">
        <f>IF(OR(Table1[[#This Row],[Order_Status]]="Delivered",Table1[[#This Row],[Delivery_Date]]&lt;&gt;"Not Yet Delivered"),Table1[[#This Row],[Delivery_Date]]-Table1[[#This Row],[Order_Date]],"Not Applicable")</f>
        <v>2</v>
      </c>
      <c r="M898" s="14">
        <f>Table1[[#This Row],[Unit_Cost]]-Table1[[#This Row],[Negotiated_Cost]]</f>
        <v>224.81999999999971</v>
      </c>
      <c r="N898" s="18">
        <f>Table1[[#This Row],[Defective_Units]]/Table1[[#This Row],[Quantity]]</f>
        <v>2.976190476190476E-2</v>
      </c>
      <c r="O898" s="26">
        <f>(Table1[[#This Row],[Unit_Cost]]-Table1[[#This Row],[Negotiated_Cost]])/Table1[[#This Row],[Unit_Cost]]</f>
        <v>3.447900387854283E-2</v>
      </c>
    </row>
    <row r="899" spans="1:15" x14ac:dyDescent="0.25">
      <c r="A899" t="s">
        <v>934</v>
      </c>
      <c r="B899" t="s">
        <v>12</v>
      </c>
      <c r="C899" s="14" t="s">
        <v>28</v>
      </c>
      <c r="D899" s="1">
        <v>45518</v>
      </c>
      <c r="E899" s="13">
        <v>45530</v>
      </c>
      <c r="F899" s="14" t="s">
        <v>14</v>
      </c>
      <c r="G899">
        <v>19</v>
      </c>
      <c r="H899">
        <v>47865.58</v>
      </c>
      <c r="I899">
        <v>46651.24</v>
      </c>
      <c r="J899">
        <v>0</v>
      </c>
      <c r="K899" s="14" t="s">
        <v>15</v>
      </c>
      <c r="L899" s="14">
        <f>IF(OR(Table1[[#This Row],[Order_Status]]="Delivered",Table1[[#This Row],[Delivery_Date]]&lt;&gt;"Not Yet Delivered"),Table1[[#This Row],[Delivery_Date]]-Table1[[#This Row],[Order_Date]],"Not Applicable")</f>
        <v>12</v>
      </c>
      <c r="M899" s="14">
        <f>Table1[[#This Row],[Unit_Cost]]-Table1[[#This Row],[Negotiated_Cost]]</f>
        <v>1214.3400000000038</v>
      </c>
      <c r="N899" s="18">
        <f>Table1[[#This Row],[Defective_Units]]/Table1[[#This Row],[Quantity]]</f>
        <v>0</v>
      </c>
      <c r="O899" s="26">
        <f>(Table1[[#This Row],[Unit_Cost]]-Table1[[#This Row],[Negotiated_Cost]])/Table1[[#This Row],[Unit_Cost]]</f>
        <v>2.5369795999547144E-2</v>
      </c>
    </row>
    <row r="900" spans="1:15" x14ac:dyDescent="0.25">
      <c r="A900" t="s">
        <v>935</v>
      </c>
      <c r="B900" t="s">
        <v>17</v>
      </c>
      <c r="C900" s="14" t="s">
        <v>13</v>
      </c>
      <c r="D900" s="1">
        <v>45367</v>
      </c>
      <c r="E900" s="14" t="s">
        <v>2057</v>
      </c>
      <c r="F900" s="14" t="s">
        <v>33</v>
      </c>
      <c r="G900">
        <v>273</v>
      </c>
      <c r="H900">
        <v>4051.76</v>
      </c>
      <c r="I900">
        <v>3931.15</v>
      </c>
      <c r="J900">
        <v>2</v>
      </c>
      <c r="K900" s="14" t="s">
        <v>15</v>
      </c>
      <c r="L900" s="14" t="str">
        <f>IF(OR(Table1[[#This Row],[Order_Status]]="Delivered",Table1[[#This Row],[Delivery_Date]]&lt;&gt;"Not Yet Delivered"),Table1[[#This Row],[Delivery_Date]]-Table1[[#This Row],[Order_Date]],"Not Applicable")</f>
        <v>Not Applicable</v>
      </c>
      <c r="M900" s="14">
        <f>Table1[[#This Row],[Unit_Cost]]-Table1[[#This Row],[Negotiated_Cost]]</f>
        <v>120.61000000000013</v>
      </c>
      <c r="N900" s="18">
        <f>Table1[[#This Row],[Defective_Units]]/Table1[[#This Row],[Quantity]]</f>
        <v>7.326007326007326E-3</v>
      </c>
      <c r="O900" s="26">
        <f>(Table1[[#This Row],[Unit_Cost]]-Table1[[#This Row],[Negotiated_Cost]])/Table1[[#This Row],[Unit_Cost]]</f>
        <v>2.9767310995715474E-2</v>
      </c>
    </row>
    <row r="901" spans="1:15" x14ac:dyDescent="0.25">
      <c r="A901" t="s">
        <v>936</v>
      </c>
      <c r="B901" t="s">
        <v>27</v>
      </c>
      <c r="C901" s="14" t="s">
        <v>36</v>
      </c>
      <c r="D901" s="1">
        <v>45601</v>
      </c>
      <c r="E901" s="13">
        <v>45605</v>
      </c>
      <c r="F901" s="14" t="s">
        <v>14</v>
      </c>
      <c r="G901">
        <v>206</v>
      </c>
      <c r="H901">
        <v>550.29999999999995</v>
      </c>
      <c r="I901">
        <v>543.80999999999995</v>
      </c>
      <c r="J901">
        <v>4</v>
      </c>
      <c r="K901" s="14" t="s">
        <v>15</v>
      </c>
      <c r="L901" s="14">
        <f>IF(OR(Table1[[#This Row],[Order_Status]]="Delivered",Table1[[#This Row],[Delivery_Date]]&lt;&gt;"Not Yet Delivered"),Table1[[#This Row],[Delivery_Date]]-Table1[[#This Row],[Order_Date]],"Not Applicable")</f>
        <v>4</v>
      </c>
      <c r="M901" s="14">
        <f>Table1[[#This Row],[Unit_Cost]]-Table1[[#This Row],[Negotiated_Cost]]</f>
        <v>6.4900000000000091</v>
      </c>
      <c r="N901" s="18">
        <f>Table1[[#This Row],[Defective_Units]]/Table1[[#This Row],[Quantity]]</f>
        <v>1.9417475728155338E-2</v>
      </c>
      <c r="O901" s="26">
        <f>(Table1[[#This Row],[Unit_Cost]]-Table1[[#This Row],[Negotiated_Cost]])/Table1[[#This Row],[Unit_Cost]]</f>
        <v>1.1793567145193548E-2</v>
      </c>
    </row>
    <row r="902" spans="1:15" x14ac:dyDescent="0.25">
      <c r="A902" t="s">
        <v>937</v>
      </c>
      <c r="B902" t="s">
        <v>12</v>
      </c>
      <c r="C902" s="14" t="s">
        <v>21</v>
      </c>
      <c r="D902" s="1">
        <v>45357</v>
      </c>
      <c r="E902" s="14" t="s">
        <v>2057</v>
      </c>
      <c r="F902" s="14" t="s">
        <v>33</v>
      </c>
      <c r="G902">
        <v>44</v>
      </c>
      <c r="H902">
        <v>122.88</v>
      </c>
      <c r="I902">
        <v>118.45</v>
      </c>
      <c r="J902">
        <v>2</v>
      </c>
      <c r="K902" s="14" t="s">
        <v>15</v>
      </c>
      <c r="L902" s="14" t="str">
        <f>IF(OR(Table1[[#This Row],[Order_Status]]="Delivered",Table1[[#This Row],[Delivery_Date]]&lt;&gt;"Not Yet Delivered"),Table1[[#This Row],[Delivery_Date]]-Table1[[#This Row],[Order_Date]],"Not Applicable")</f>
        <v>Not Applicable</v>
      </c>
      <c r="M902" s="14">
        <f>Table1[[#This Row],[Unit_Cost]]-Table1[[#This Row],[Negotiated_Cost]]</f>
        <v>4.4299999999999926</v>
      </c>
      <c r="N902" s="18">
        <f>Table1[[#This Row],[Defective_Units]]/Table1[[#This Row],[Quantity]]</f>
        <v>4.5454545454545456E-2</v>
      </c>
      <c r="O902" s="26">
        <f>(Table1[[#This Row],[Unit_Cost]]-Table1[[#This Row],[Negotiated_Cost]])/Table1[[#This Row],[Unit_Cost]]</f>
        <v>3.6051432291666609E-2</v>
      </c>
    </row>
    <row r="903" spans="1:15" x14ac:dyDescent="0.25">
      <c r="A903" t="s">
        <v>938</v>
      </c>
      <c r="B903" t="s">
        <v>17</v>
      </c>
      <c r="C903" s="14" t="s">
        <v>50</v>
      </c>
      <c r="D903" s="1">
        <v>45307</v>
      </c>
      <c r="E903" s="13">
        <v>45335</v>
      </c>
      <c r="F903" s="14" t="s">
        <v>37</v>
      </c>
      <c r="G903">
        <v>448</v>
      </c>
      <c r="H903">
        <v>51546.74</v>
      </c>
      <c r="I903">
        <v>50320.69</v>
      </c>
      <c r="J903">
        <v>2</v>
      </c>
      <c r="K903" s="14" t="s">
        <v>15</v>
      </c>
      <c r="L903" s="14">
        <f>IF(OR(Table1[[#This Row],[Order_Status]]="Delivered",Table1[[#This Row],[Delivery_Date]]&lt;&gt;"Not Yet Delivered"),Table1[[#This Row],[Delivery_Date]]-Table1[[#This Row],[Order_Date]],"Not Applicable")</f>
        <v>28</v>
      </c>
      <c r="M903" s="14">
        <f>Table1[[#This Row],[Unit_Cost]]-Table1[[#This Row],[Negotiated_Cost]]</f>
        <v>1226.0499999999956</v>
      </c>
      <c r="N903" s="18">
        <f>Table1[[#This Row],[Defective_Units]]/Table1[[#This Row],[Quantity]]</f>
        <v>4.464285714285714E-3</v>
      </c>
      <c r="O903" s="26">
        <f>(Table1[[#This Row],[Unit_Cost]]-Table1[[#This Row],[Negotiated_Cost]])/Table1[[#This Row],[Unit_Cost]]</f>
        <v>2.3785209307125837E-2</v>
      </c>
    </row>
    <row r="904" spans="1:15" x14ac:dyDescent="0.25">
      <c r="A904" t="s">
        <v>939</v>
      </c>
      <c r="B904" t="s">
        <v>40</v>
      </c>
      <c r="C904" s="14" t="s">
        <v>21</v>
      </c>
      <c r="D904" s="1">
        <v>45407</v>
      </c>
      <c r="E904" s="13">
        <v>45418</v>
      </c>
      <c r="F904" s="14" t="s">
        <v>14</v>
      </c>
      <c r="G904">
        <v>148</v>
      </c>
      <c r="H904">
        <v>134.28</v>
      </c>
      <c r="I904">
        <v>129.88</v>
      </c>
      <c r="J904">
        <v>0</v>
      </c>
      <c r="K904" s="14" t="s">
        <v>15</v>
      </c>
      <c r="L904" s="14">
        <f>IF(OR(Table1[[#This Row],[Order_Status]]="Delivered",Table1[[#This Row],[Delivery_Date]]&lt;&gt;"Not Yet Delivered"),Table1[[#This Row],[Delivery_Date]]-Table1[[#This Row],[Order_Date]],"Not Applicable")</f>
        <v>11</v>
      </c>
      <c r="M904" s="14">
        <f>Table1[[#This Row],[Unit_Cost]]-Table1[[#This Row],[Negotiated_Cost]]</f>
        <v>4.4000000000000057</v>
      </c>
      <c r="N904" s="18">
        <f>Table1[[#This Row],[Defective_Units]]/Table1[[#This Row],[Quantity]]</f>
        <v>0</v>
      </c>
      <c r="O904" s="26">
        <f>(Table1[[#This Row],[Unit_Cost]]-Table1[[#This Row],[Negotiated_Cost]])/Table1[[#This Row],[Unit_Cost]]</f>
        <v>3.2767351802204393E-2</v>
      </c>
    </row>
    <row r="905" spans="1:15" x14ac:dyDescent="0.25">
      <c r="A905" t="s">
        <v>940</v>
      </c>
      <c r="B905" t="s">
        <v>12</v>
      </c>
      <c r="C905" s="14" t="s">
        <v>28</v>
      </c>
      <c r="D905" s="1">
        <v>45081</v>
      </c>
      <c r="E905" s="13">
        <v>45101</v>
      </c>
      <c r="F905" s="14" t="s">
        <v>14</v>
      </c>
      <c r="G905">
        <v>359</v>
      </c>
      <c r="H905">
        <v>48822.82</v>
      </c>
      <c r="I905">
        <v>47109.77</v>
      </c>
      <c r="J905">
        <v>2</v>
      </c>
      <c r="K905" s="14" t="s">
        <v>15</v>
      </c>
      <c r="L905" s="14">
        <f>IF(OR(Table1[[#This Row],[Order_Status]]="Delivered",Table1[[#This Row],[Delivery_Date]]&lt;&gt;"Not Yet Delivered"),Table1[[#This Row],[Delivery_Date]]-Table1[[#This Row],[Order_Date]],"Not Applicable")</f>
        <v>20</v>
      </c>
      <c r="M905" s="14">
        <f>Table1[[#This Row],[Unit_Cost]]-Table1[[#This Row],[Negotiated_Cost]]</f>
        <v>1713.0500000000029</v>
      </c>
      <c r="N905" s="18">
        <f>Table1[[#This Row],[Defective_Units]]/Table1[[#This Row],[Quantity]]</f>
        <v>5.5710306406685237E-3</v>
      </c>
      <c r="O905" s="26">
        <f>(Table1[[#This Row],[Unit_Cost]]-Table1[[#This Row],[Negotiated_Cost]])/Table1[[#This Row],[Unit_Cost]]</f>
        <v>3.508707608450317E-2</v>
      </c>
    </row>
    <row r="906" spans="1:15" x14ac:dyDescent="0.25">
      <c r="A906" t="s">
        <v>941</v>
      </c>
      <c r="B906" t="s">
        <v>27</v>
      </c>
      <c r="C906" s="14" t="s">
        <v>21</v>
      </c>
      <c r="D906" s="1">
        <v>45279</v>
      </c>
      <c r="E906" s="13">
        <v>45298</v>
      </c>
      <c r="F906" s="14" t="s">
        <v>14</v>
      </c>
      <c r="G906">
        <v>427</v>
      </c>
      <c r="H906">
        <v>128.36000000000001</v>
      </c>
      <c r="I906">
        <v>125.02</v>
      </c>
      <c r="J906">
        <v>5</v>
      </c>
      <c r="K906" s="14" t="s">
        <v>15</v>
      </c>
      <c r="L906" s="14">
        <f>IF(OR(Table1[[#This Row],[Order_Status]]="Delivered",Table1[[#This Row],[Delivery_Date]]&lt;&gt;"Not Yet Delivered"),Table1[[#This Row],[Delivery_Date]]-Table1[[#This Row],[Order_Date]],"Not Applicable")</f>
        <v>19</v>
      </c>
      <c r="M906" s="14">
        <f>Table1[[#This Row],[Unit_Cost]]-Table1[[#This Row],[Negotiated_Cost]]</f>
        <v>3.3400000000000176</v>
      </c>
      <c r="N906" s="18">
        <f>Table1[[#This Row],[Defective_Units]]/Table1[[#This Row],[Quantity]]</f>
        <v>1.1709601873536301E-2</v>
      </c>
      <c r="O906" s="26">
        <f>(Table1[[#This Row],[Unit_Cost]]-Table1[[#This Row],[Negotiated_Cost]])/Table1[[#This Row],[Unit_Cost]]</f>
        <v>2.6020567154877043E-2</v>
      </c>
    </row>
    <row r="907" spans="1:15" x14ac:dyDescent="0.25">
      <c r="A907" t="s">
        <v>942</v>
      </c>
      <c r="B907" t="s">
        <v>17</v>
      </c>
      <c r="C907" s="14" t="s">
        <v>21</v>
      </c>
      <c r="D907" s="1">
        <v>45193</v>
      </c>
      <c r="E907" s="13">
        <v>45210</v>
      </c>
      <c r="F907" s="14" t="s">
        <v>14</v>
      </c>
      <c r="G907">
        <v>321</v>
      </c>
      <c r="H907">
        <v>111.95</v>
      </c>
      <c r="I907">
        <v>107.87</v>
      </c>
      <c r="J907">
        <v>1</v>
      </c>
      <c r="K907" s="14" t="s">
        <v>15</v>
      </c>
      <c r="L907" s="14">
        <f>IF(OR(Table1[[#This Row],[Order_Status]]="Delivered",Table1[[#This Row],[Delivery_Date]]&lt;&gt;"Not Yet Delivered"),Table1[[#This Row],[Delivery_Date]]-Table1[[#This Row],[Order_Date]],"Not Applicable")</f>
        <v>17</v>
      </c>
      <c r="M907" s="14">
        <f>Table1[[#This Row],[Unit_Cost]]-Table1[[#This Row],[Negotiated_Cost]]</f>
        <v>4.0799999999999983</v>
      </c>
      <c r="N907" s="18">
        <f>Table1[[#This Row],[Defective_Units]]/Table1[[#This Row],[Quantity]]</f>
        <v>3.1152647975077881E-3</v>
      </c>
      <c r="O907" s="26">
        <f>(Table1[[#This Row],[Unit_Cost]]-Table1[[#This Row],[Negotiated_Cost]])/Table1[[#This Row],[Unit_Cost]]</f>
        <v>3.644484144707457E-2</v>
      </c>
    </row>
    <row r="908" spans="1:15" x14ac:dyDescent="0.25">
      <c r="A908" t="s">
        <v>943</v>
      </c>
      <c r="B908" t="s">
        <v>17</v>
      </c>
      <c r="C908" s="14" t="s">
        <v>50</v>
      </c>
      <c r="D908" s="1">
        <v>45012</v>
      </c>
      <c r="E908" s="13">
        <v>45022</v>
      </c>
      <c r="F908" s="14" t="s">
        <v>14</v>
      </c>
      <c r="G908">
        <v>66</v>
      </c>
      <c r="H908">
        <v>50865.79</v>
      </c>
      <c r="I908">
        <v>49251.57</v>
      </c>
      <c r="J908">
        <v>0</v>
      </c>
      <c r="K908" s="14" t="s">
        <v>15</v>
      </c>
      <c r="L908" s="14">
        <f>IF(OR(Table1[[#This Row],[Order_Status]]="Delivered",Table1[[#This Row],[Delivery_Date]]&lt;&gt;"Not Yet Delivered"),Table1[[#This Row],[Delivery_Date]]-Table1[[#This Row],[Order_Date]],"Not Applicable")</f>
        <v>10</v>
      </c>
      <c r="M908" s="14">
        <f>Table1[[#This Row],[Unit_Cost]]-Table1[[#This Row],[Negotiated_Cost]]</f>
        <v>1614.2200000000012</v>
      </c>
      <c r="N908" s="18">
        <f>Table1[[#This Row],[Defective_Units]]/Table1[[#This Row],[Quantity]]</f>
        <v>0</v>
      </c>
      <c r="O908" s="26">
        <f>(Table1[[#This Row],[Unit_Cost]]-Table1[[#This Row],[Negotiated_Cost]])/Table1[[#This Row],[Unit_Cost]]</f>
        <v>3.1734885076983986E-2</v>
      </c>
    </row>
    <row r="909" spans="1:15" x14ac:dyDescent="0.25">
      <c r="A909" t="s">
        <v>944</v>
      </c>
      <c r="B909" t="s">
        <v>32</v>
      </c>
      <c r="C909" s="14" t="s">
        <v>24</v>
      </c>
      <c r="D909" s="1">
        <v>45070</v>
      </c>
      <c r="E909" s="13">
        <v>45081</v>
      </c>
      <c r="F909" s="14" t="s">
        <v>14</v>
      </c>
      <c r="G909">
        <v>150</v>
      </c>
      <c r="H909">
        <v>10973.48</v>
      </c>
      <c r="I909">
        <v>10324.049999999999</v>
      </c>
      <c r="J909">
        <v>1</v>
      </c>
      <c r="K909" s="14" t="s">
        <v>15</v>
      </c>
      <c r="L909" s="14">
        <f>IF(OR(Table1[[#This Row],[Order_Status]]="Delivered",Table1[[#This Row],[Delivery_Date]]&lt;&gt;"Not Yet Delivered"),Table1[[#This Row],[Delivery_Date]]-Table1[[#This Row],[Order_Date]],"Not Applicable")</f>
        <v>11</v>
      </c>
      <c r="M909" s="14">
        <f>Table1[[#This Row],[Unit_Cost]]-Table1[[#This Row],[Negotiated_Cost]]</f>
        <v>649.43000000000029</v>
      </c>
      <c r="N909" s="18">
        <f>Table1[[#This Row],[Defective_Units]]/Table1[[#This Row],[Quantity]]</f>
        <v>6.6666666666666671E-3</v>
      </c>
      <c r="O909" s="26">
        <f>(Table1[[#This Row],[Unit_Cost]]-Table1[[#This Row],[Negotiated_Cost]])/Table1[[#This Row],[Unit_Cost]]</f>
        <v>5.9181772783109855E-2</v>
      </c>
    </row>
    <row r="910" spans="1:15" x14ac:dyDescent="0.25">
      <c r="A910" t="s">
        <v>945</v>
      </c>
      <c r="B910" t="s">
        <v>27</v>
      </c>
      <c r="C910" s="14" t="s">
        <v>28</v>
      </c>
      <c r="D910" s="1">
        <v>45294</v>
      </c>
      <c r="E910" s="13">
        <v>45306</v>
      </c>
      <c r="F910" s="14" t="s">
        <v>14</v>
      </c>
      <c r="G910">
        <v>187</v>
      </c>
      <c r="H910">
        <v>47381.62</v>
      </c>
      <c r="I910">
        <v>44926.41</v>
      </c>
      <c r="J910">
        <v>0</v>
      </c>
      <c r="K910" s="14" t="s">
        <v>15</v>
      </c>
      <c r="L910" s="14">
        <f>IF(OR(Table1[[#This Row],[Order_Status]]="Delivered",Table1[[#This Row],[Delivery_Date]]&lt;&gt;"Not Yet Delivered"),Table1[[#This Row],[Delivery_Date]]-Table1[[#This Row],[Order_Date]],"Not Applicable")</f>
        <v>12</v>
      </c>
      <c r="M910" s="14">
        <f>Table1[[#This Row],[Unit_Cost]]-Table1[[#This Row],[Negotiated_Cost]]</f>
        <v>2455.2099999999991</v>
      </c>
      <c r="N910" s="18">
        <f>Table1[[#This Row],[Defective_Units]]/Table1[[#This Row],[Quantity]]</f>
        <v>0</v>
      </c>
      <c r="O910" s="26">
        <f>(Table1[[#This Row],[Unit_Cost]]-Table1[[#This Row],[Negotiated_Cost]])/Table1[[#This Row],[Unit_Cost]]</f>
        <v>5.1817772376714831E-2</v>
      </c>
    </row>
    <row r="911" spans="1:15" x14ac:dyDescent="0.25">
      <c r="A911" t="s">
        <v>946</v>
      </c>
      <c r="B911" t="s">
        <v>32</v>
      </c>
      <c r="C911" s="14" t="s">
        <v>48</v>
      </c>
      <c r="D911" s="1">
        <v>45290</v>
      </c>
      <c r="E911" s="13">
        <v>45300</v>
      </c>
      <c r="F911" s="14" t="s">
        <v>14</v>
      </c>
      <c r="G911">
        <v>206</v>
      </c>
      <c r="H911">
        <v>5929.81</v>
      </c>
      <c r="I911">
        <v>5924.27</v>
      </c>
      <c r="J911">
        <v>1</v>
      </c>
      <c r="K911" s="14" t="s">
        <v>25</v>
      </c>
      <c r="L911" s="14">
        <f>IF(OR(Table1[[#This Row],[Order_Status]]="Delivered",Table1[[#This Row],[Delivery_Date]]&lt;&gt;"Not Yet Delivered"),Table1[[#This Row],[Delivery_Date]]-Table1[[#This Row],[Order_Date]],"Not Applicable")</f>
        <v>10</v>
      </c>
      <c r="M911" s="14">
        <f>Table1[[#This Row],[Unit_Cost]]-Table1[[#This Row],[Negotiated_Cost]]</f>
        <v>5.5399999999999636</v>
      </c>
      <c r="N911" s="18">
        <f>Table1[[#This Row],[Defective_Units]]/Table1[[#This Row],[Quantity]]</f>
        <v>4.8543689320388345E-3</v>
      </c>
      <c r="O911" s="26">
        <f>(Table1[[#This Row],[Unit_Cost]]-Table1[[#This Row],[Negotiated_Cost]])/Table1[[#This Row],[Unit_Cost]]</f>
        <v>9.3426264922484245E-4</v>
      </c>
    </row>
    <row r="912" spans="1:15" x14ac:dyDescent="0.25">
      <c r="A912" t="s">
        <v>947</v>
      </c>
      <c r="B912" t="s">
        <v>20</v>
      </c>
      <c r="C912" s="14" t="s">
        <v>24</v>
      </c>
      <c r="D912" s="1">
        <v>45632</v>
      </c>
      <c r="E912" s="13">
        <v>45653</v>
      </c>
      <c r="F912" s="14" t="s">
        <v>14</v>
      </c>
      <c r="G912">
        <v>467</v>
      </c>
      <c r="H912">
        <v>12062.78</v>
      </c>
      <c r="J912">
        <v>3</v>
      </c>
      <c r="K912" s="14" t="s">
        <v>15</v>
      </c>
      <c r="L912" s="14">
        <f>IF(OR(Table1[[#This Row],[Order_Status]]="Delivered",Table1[[#This Row],[Delivery_Date]]&lt;&gt;"Not Yet Delivered"),Table1[[#This Row],[Delivery_Date]]-Table1[[#This Row],[Order_Date]],"Not Applicable")</f>
        <v>21</v>
      </c>
      <c r="M912" s="14">
        <f>Table1[[#This Row],[Unit_Cost]]-Table1[[#This Row],[Negotiated_Cost]]</f>
        <v>12062.78</v>
      </c>
      <c r="N912" s="18">
        <f>Table1[[#This Row],[Defective_Units]]/Table1[[#This Row],[Quantity]]</f>
        <v>6.4239828693790149E-3</v>
      </c>
      <c r="O912" s="26">
        <f>(Table1[[#This Row],[Unit_Cost]]-Table1[[#This Row],[Negotiated_Cost]])/Table1[[#This Row],[Unit_Cost]]</f>
        <v>1</v>
      </c>
    </row>
    <row r="913" spans="1:15" x14ac:dyDescent="0.25">
      <c r="A913" t="s">
        <v>948</v>
      </c>
      <c r="B913" t="s">
        <v>20</v>
      </c>
      <c r="C913" s="14" t="s">
        <v>44</v>
      </c>
      <c r="D913" s="1">
        <v>45654</v>
      </c>
      <c r="E913" s="13">
        <v>45658</v>
      </c>
      <c r="F913" s="14" t="s">
        <v>14</v>
      </c>
      <c r="G913">
        <v>96</v>
      </c>
      <c r="H913">
        <v>8222.86</v>
      </c>
      <c r="I913">
        <v>7973.29</v>
      </c>
      <c r="J913">
        <v>0</v>
      </c>
      <c r="K913" s="14" t="s">
        <v>15</v>
      </c>
      <c r="L913" s="14">
        <f>IF(OR(Table1[[#This Row],[Order_Status]]="Delivered",Table1[[#This Row],[Delivery_Date]]&lt;&gt;"Not Yet Delivered"),Table1[[#This Row],[Delivery_Date]]-Table1[[#This Row],[Order_Date]],"Not Applicable")</f>
        <v>4</v>
      </c>
      <c r="M913" s="14">
        <f>Table1[[#This Row],[Unit_Cost]]-Table1[[#This Row],[Negotiated_Cost]]</f>
        <v>249.57000000000062</v>
      </c>
      <c r="N913" s="18">
        <f>Table1[[#This Row],[Defective_Units]]/Table1[[#This Row],[Quantity]]</f>
        <v>0</v>
      </c>
      <c r="O913" s="26">
        <f>(Table1[[#This Row],[Unit_Cost]]-Table1[[#This Row],[Negotiated_Cost]])/Table1[[#This Row],[Unit_Cost]]</f>
        <v>3.0350753873956336E-2</v>
      </c>
    </row>
    <row r="914" spans="1:15" x14ac:dyDescent="0.25">
      <c r="A914" t="s">
        <v>949</v>
      </c>
      <c r="B914" t="s">
        <v>20</v>
      </c>
      <c r="C914" s="14" t="s">
        <v>50</v>
      </c>
      <c r="D914" s="1">
        <v>45089</v>
      </c>
      <c r="E914" s="13">
        <v>45097</v>
      </c>
      <c r="F914" s="14" t="s">
        <v>14</v>
      </c>
      <c r="G914">
        <v>376</v>
      </c>
      <c r="H914">
        <v>51164.71</v>
      </c>
      <c r="I914">
        <v>49577.62</v>
      </c>
      <c r="J914">
        <v>3</v>
      </c>
      <c r="K914" s="14" t="s">
        <v>15</v>
      </c>
      <c r="L914" s="14">
        <f>IF(OR(Table1[[#This Row],[Order_Status]]="Delivered",Table1[[#This Row],[Delivery_Date]]&lt;&gt;"Not Yet Delivered"),Table1[[#This Row],[Delivery_Date]]-Table1[[#This Row],[Order_Date]],"Not Applicable")</f>
        <v>8</v>
      </c>
      <c r="M914" s="14">
        <f>Table1[[#This Row],[Unit_Cost]]-Table1[[#This Row],[Negotiated_Cost]]</f>
        <v>1587.0899999999965</v>
      </c>
      <c r="N914" s="18">
        <f>Table1[[#This Row],[Defective_Units]]/Table1[[#This Row],[Quantity]]</f>
        <v>7.9787234042553185E-3</v>
      </c>
      <c r="O914" s="26">
        <f>(Table1[[#This Row],[Unit_Cost]]-Table1[[#This Row],[Negotiated_Cost]])/Table1[[#This Row],[Unit_Cost]]</f>
        <v>3.1019231810362972E-2</v>
      </c>
    </row>
    <row r="915" spans="1:15" x14ac:dyDescent="0.25">
      <c r="A915" t="s">
        <v>950</v>
      </c>
      <c r="B915" t="s">
        <v>20</v>
      </c>
      <c r="C915" s="14" t="s">
        <v>44</v>
      </c>
      <c r="D915" s="1">
        <v>45233</v>
      </c>
      <c r="E915" s="13">
        <v>45246</v>
      </c>
      <c r="F915" s="14" t="s">
        <v>14</v>
      </c>
      <c r="G915">
        <v>343</v>
      </c>
      <c r="H915">
        <v>7933.92</v>
      </c>
      <c r="I915">
        <v>7840.2</v>
      </c>
      <c r="J915">
        <v>1</v>
      </c>
      <c r="K915" s="14" t="s">
        <v>15</v>
      </c>
      <c r="L915" s="14">
        <f>IF(OR(Table1[[#This Row],[Order_Status]]="Delivered",Table1[[#This Row],[Delivery_Date]]&lt;&gt;"Not Yet Delivered"),Table1[[#This Row],[Delivery_Date]]-Table1[[#This Row],[Order_Date]],"Not Applicable")</f>
        <v>13</v>
      </c>
      <c r="M915" s="14">
        <f>Table1[[#This Row],[Unit_Cost]]-Table1[[#This Row],[Negotiated_Cost]]</f>
        <v>93.720000000000255</v>
      </c>
      <c r="N915" s="18">
        <f>Table1[[#This Row],[Defective_Units]]/Table1[[#This Row],[Quantity]]</f>
        <v>2.9154518950437317E-3</v>
      </c>
      <c r="O915" s="26">
        <f>(Table1[[#This Row],[Unit_Cost]]-Table1[[#This Row],[Negotiated_Cost]])/Table1[[#This Row],[Unit_Cost]]</f>
        <v>1.1812571843426737E-2</v>
      </c>
    </row>
    <row r="916" spans="1:15" x14ac:dyDescent="0.25">
      <c r="A916" t="s">
        <v>951</v>
      </c>
      <c r="B916" t="s">
        <v>40</v>
      </c>
      <c r="C916" s="14" t="s">
        <v>21</v>
      </c>
      <c r="D916" s="1">
        <v>45390</v>
      </c>
      <c r="E916" s="13">
        <v>45406</v>
      </c>
      <c r="F916" s="14" t="s">
        <v>14</v>
      </c>
      <c r="G916">
        <v>239</v>
      </c>
      <c r="H916">
        <v>132.22999999999999</v>
      </c>
      <c r="I916">
        <v>130.11000000000001</v>
      </c>
      <c r="J916">
        <v>0</v>
      </c>
      <c r="K916" s="14" t="s">
        <v>15</v>
      </c>
      <c r="L916" s="14">
        <f>IF(OR(Table1[[#This Row],[Order_Status]]="Delivered",Table1[[#This Row],[Delivery_Date]]&lt;&gt;"Not Yet Delivered"),Table1[[#This Row],[Delivery_Date]]-Table1[[#This Row],[Order_Date]],"Not Applicable")</f>
        <v>16</v>
      </c>
      <c r="M916" s="14">
        <f>Table1[[#This Row],[Unit_Cost]]-Table1[[#This Row],[Negotiated_Cost]]</f>
        <v>2.1199999999999761</v>
      </c>
      <c r="N916" s="18">
        <f>Table1[[#This Row],[Defective_Units]]/Table1[[#This Row],[Quantity]]</f>
        <v>0</v>
      </c>
      <c r="O916" s="26">
        <f>(Table1[[#This Row],[Unit_Cost]]-Table1[[#This Row],[Negotiated_Cost]])/Table1[[#This Row],[Unit_Cost]]</f>
        <v>1.603267034712226E-2</v>
      </c>
    </row>
    <row r="917" spans="1:15" x14ac:dyDescent="0.25">
      <c r="A917" t="s">
        <v>952</v>
      </c>
      <c r="B917" t="s">
        <v>46</v>
      </c>
      <c r="C917" s="14" t="s">
        <v>13</v>
      </c>
      <c r="D917" s="1">
        <v>45161</v>
      </c>
      <c r="E917" s="14" t="s">
        <v>2057</v>
      </c>
      <c r="F917" s="14" t="s">
        <v>22</v>
      </c>
      <c r="G917">
        <v>353</v>
      </c>
      <c r="H917">
        <v>4113.57</v>
      </c>
      <c r="I917">
        <v>4026.65</v>
      </c>
      <c r="J917">
        <v>2</v>
      </c>
      <c r="K917" s="14" t="s">
        <v>15</v>
      </c>
      <c r="L917" s="14" t="str">
        <f>IF(OR(Table1[[#This Row],[Order_Status]]="Delivered",Table1[[#This Row],[Delivery_Date]]&lt;&gt;"Not Yet Delivered"),Table1[[#This Row],[Delivery_Date]]-Table1[[#This Row],[Order_Date]],"Not Applicable")</f>
        <v>Not Applicable</v>
      </c>
      <c r="M917" s="14">
        <f>Table1[[#This Row],[Unit_Cost]]-Table1[[#This Row],[Negotiated_Cost]]</f>
        <v>86.919999999999618</v>
      </c>
      <c r="N917" s="18">
        <f>Table1[[#This Row],[Defective_Units]]/Table1[[#This Row],[Quantity]]</f>
        <v>5.6657223796033997E-3</v>
      </c>
      <c r="O917" s="26">
        <f>(Table1[[#This Row],[Unit_Cost]]-Table1[[#This Row],[Negotiated_Cost]])/Table1[[#This Row],[Unit_Cost]]</f>
        <v>2.1130064639716749E-2</v>
      </c>
    </row>
    <row r="918" spans="1:15" x14ac:dyDescent="0.25">
      <c r="A918" t="s">
        <v>953</v>
      </c>
      <c r="B918" t="s">
        <v>17</v>
      </c>
      <c r="C918" s="14" t="s">
        <v>13</v>
      </c>
      <c r="D918" s="1">
        <v>45007</v>
      </c>
      <c r="E918" s="13">
        <v>45029</v>
      </c>
      <c r="F918" s="14" t="s">
        <v>37</v>
      </c>
      <c r="G918">
        <v>40</v>
      </c>
      <c r="H918">
        <v>4011.23</v>
      </c>
      <c r="I918">
        <v>3796.02</v>
      </c>
      <c r="J918">
        <v>0</v>
      </c>
      <c r="K918" s="14" t="s">
        <v>15</v>
      </c>
      <c r="L918" s="14">
        <f>IF(OR(Table1[[#This Row],[Order_Status]]="Delivered",Table1[[#This Row],[Delivery_Date]]&lt;&gt;"Not Yet Delivered"),Table1[[#This Row],[Delivery_Date]]-Table1[[#This Row],[Order_Date]],"Not Applicable")</f>
        <v>22</v>
      </c>
      <c r="M918" s="14">
        <f>Table1[[#This Row],[Unit_Cost]]-Table1[[#This Row],[Negotiated_Cost]]</f>
        <v>215.21000000000004</v>
      </c>
      <c r="N918" s="18">
        <f>Table1[[#This Row],[Defective_Units]]/Table1[[#This Row],[Quantity]]</f>
        <v>0</v>
      </c>
      <c r="O918" s="26">
        <f>(Table1[[#This Row],[Unit_Cost]]-Table1[[#This Row],[Negotiated_Cost]])/Table1[[#This Row],[Unit_Cost]]</f>
        <v>5.3651872368325935E-2</v>
      </c>
    </row>
    <row r="919" spans="1:15" x14ac:dyDescent="0.25">
      <c r="A919" t="s">
        <v>954</v>
      </c>
      <c r="B919" t="s">
        <v>35</v>
      </c>
      <c r="C919" s="14" t="s">
        <v>21</v>
      </c>
      <c r="D919" s="1">
        <v>45517</v>
      </c>
      <c r="E919" s="13">
        <v>45531</v>
      </c>
      <c r="F919" s="14" t="s">
        <v>14</v>
      </c>
      <c r="G919">
        <v>394</v>
      </c>
      <c r="H919">
        <v>119.21</v>
      </c>
      <c r="I919">
        <v>112.87</v>
      </c>
      <c r="J919">
        <v>3</v>
      </c>
      <c r="K919" s="14" t="s">
        <v>15</v>
      </c>
      <c r="L919" s="14">
        <f>IF(OR(Table1[[#This Row],[Order_Status]]="Delivered",Table1[[#This Row],[Delivery_Date]]&lt;&gt;"Not Yet Delivered"),Table1[[#This Row],[Delivery_Date]]-Table1[[#This Row],[Order_Date]],"Not Applicable")</f>
        <v>14</v>
      </c>
      <c r="M919" s="14">
        <f>Table1[[#This Row],[Unit_Cost]]-Table1[[#This Row],[Negotiated_Cost]]</f>
        <v>6.3399999999999892</v>
      </c>
      <c r="N919" s="18">
        <f>Table1[[#This Row],[Defective_Units]]/Table1[[#This Row],[Quantity]]</f>
        <v>7.6142131979695434E-3</v>
      </c>
      <c r="O919" s="26">
        <f>(Table1[[#This Row],[Unit_Cost]]-Table1[[#This Row],[Negotiated_Cost]])/Table1[[#This Row],[Unit_Cost]]</f>
        <v>5.3183457763610345E-2</v>
      </c>
    </row>
    <row r="920" spans="1:15" x14ac:dyDescent="0.25">
      <c r="A920" t="s">
        <v>955</v>
      </c>
      <c r="B920" t="s">
        <v>32</v>
      </c>
      <c r="C920" s="14" t="s">
        <v>44</v>
      </c>
      <c r="D920" s="1">
        <v>45031</v>
      </c>
      <c r="E920" s="14" t="s">
        <v>2057</v>
      </c>
      <c r="F920" s="14" t="s">
        <v>22</v>
      </c>
      <c r="G920">
        <v>429</v>
      </c>
      <c r="H920">
        <v>7504.62</v>
      </c>
      <c r="I920">
        <v>7226.08</v>
      </c>
      <c r="J920">
        <v>2</v>
      </c>
      <c r="K920" s="14" t="s">
        <v>25</v>
      </c>
      <c r="L920" s="14" t="str">
        <f>IF(OR(Table1[[#This Row],[Order_Status]]="Delivered",Table1[[#This Row],[Delivery_Date]]&lt;&gt;"Not Yet Delivered"),Table1[[#This Row],[Delivery_Date]]-Table1[[#This Row],[Order_Date]],"Not Applicable")</f>
        <v>Not Applicable</v>
      </c>
      <c r="M920" s="14">
        <f>Table1[[#This Row],[Unit_Cost]]-Table1[[#This Row],[Negotiated_Cost]]</f>
        <v>278.53999999999996</v>
      </c>
      <c r="N920" s="18">
        <f>Table1[[#This Row],[Defective_Units]]/Table1[[#This Row],[Quantity]]</f>
        <v>4.662004662004662E-3</v>
      </c>
      <c r="O920" s="26">
        <f>(Table1[[#This Row],[Unit_Cost]]-Table1[[#This Row],[Negotiated_Cost]])/Table1[[#This Row],[Unit_Cost]]</f>
        <v>3.7115803331814266E-2</v>
      </c>
    </row>
    <row r="921" spans="1:15" x14ac:dyDescent="0.25">
      <c r="A921" t="s">
        <v>956</v>
      </c>
      <c r="B921" t="s">
        <v>40</v>
      </c>
      <c r="C921" s="14" t="s">
        <v>44</v>
      </c>
      <c r="D921" s="1">
        <v>45329</v>
      </c>
      <c r="E921" s="13">
        <v>45356</v>
      </c>
      <c r="F921" s="14" t="s">
        <v>14</v>
      </c>
      <c r="G921">
        <v>161</v>
      </c>
      <c r="H921">
        <v>9010.06</v>
      </c>
      <c r="I921">
        <v>8562.11</v>
      </c>
      <c r="J921">
        <v>1</v>
      </c>
      <c r="K921" s="14" t="s">
        <v>15</v>
      </c>
      <c r="L921" s="14">
        <f>IF(OR(Table1[[#This Row],[Order_Status]]="Delivered",Table1[[#This Row],[Delivery_Date]]&lt;&gt;"Not Yet Delivered"),Table1[[#This Row],[Delivery_Date]]-Table1[[#This Row],[Order_Date]],"Not Applicable")</f>
        <v>27</v>
      </c>
      <c r="M921" s="14">
        <f>Table1[[#This Row],[Unit_Cost]]-Table1[[#This Row],[Negotiated_Cost]]</f>
        <v>447.94999999999891</v>
      </c>
      <c r="N921" s="18">
        <f>Table1[[#This Row],[Defective_Units]]/Table1[[#This Row],[Quantity]]</f>
        <v>6.2111801242236021E-3</v>
      </c>
      <c r="O921" s="26">
        <f>(Table1[[#This Row],[Unit_Cost]]-Table1[[#This Row],[Negotiated_Cost]])/Table1[[#This Row],[Unit_Cost]]</f>
        <v>4.9716650055604397E-2</v>
      </c>
    </row>
    <row r="922" spans="1:15" x14ac:dyDescent="0.25">
      <c r="A922" t="s">
        <v>957</v>
      </c>
      <c r="B922" t="s">
        <v>40</v>
      </c>
      <c r="C922" s="14" t="s">
        <v>28</v>
      </c>
      <c r="D922" s="1">
        <v>45404</v>
      </c>
      <c r="E922" s="13">
        <v>45434</v>
      </c>
      <c r="F922" s="14" t="s">
        <v>14</v>
      </c>
      <c r="G922">
        <v>175</v>
      </c>
      <c r="H922">
        <v>48969.67</v>
      </c>
      <c r="I922">
        <v>48613.8</v>
      </c>
      <c r="J922">
        <v>6</v>
      </c>
      <c r="K922" s="14" t="s">
        <v>15</v>
      </c>
      <c r="L922" s="14">
        <f>IF(OR(Table1[[#This Row],[Order_Status]]="Delivered",Table1[[#This Row],[Delivery_Date]]&lt;&gt;"Not Yet Delivered"),Table1[[#This Row],[Delivery_Date]]-Table1[[#This Row],[Order_Date]],"Not Applicable")</f>
        <v>30</v>
      </c>
      <c r="M922" s="14">
        <f>Table1[[#This Row],[Unit_Cost]]-Table1[[#This Row],[Negotiated_Cost]]</f>
        <v>355.86999999999534</v>
      </c>
      <c r="N922" s="18">
        <f>Table1[[#This Row],[Defective_Units]]/Table1[[#This Row],[Quantity]]</f>
        <v>3.4285714285714287E-2</v>
      </c>
      <c r="O922" s="26">
        <f>(Table1[[#This Row],[Unit_Cost]]-Table1[[#This Row],[Negotiated_Cost]])/Table1[[#This Row],[Unit_Cost]]</f>
        <v>7.267151279557231E-3</v>
      </c>
    </row>
    <row r="923" spans="1:15" x14ac:dyDescent="0.25">
      <c r="A923" t="s">
        <v>958</v>
      </c>
      <c r="B923" t="s">
        <v>46</v>
      </c>
      <c r="C923" s="14" t="s">
        <v>13</v>
      </c>
      <c r="D923" s="1">
        <v>45436</v>
      </c>
      <c r="E923" s="14" t="s">
        <v>2057</v>
      </c>
      <c r="F923" s="14" t="s">
        <v>22</v>
      </c>
      <c r="G923">
        <v>162</v>
      </c>
      <c r="H923">
        <v>4209.96</v>
      </c>
      <c r="J923">
        <v>2</v>
      </c>
      <c r="K923" s="14" t="s">
        <v>15</v>
      </c>
      <c r="L923" s="14" t="str">
        <f>IF(OR(Table1[[#This Row],[Order_Status]]="Delivered",Table1[[#This Row],[Delivery_Date]]&lt;&gt;"Not Yet Delivered"),Table1[[#This Row],[Delivery_Date]]-Table1[[#This Row],[Order_Date]],"Not Applicable")</f>
        <v>Not Applicable</v>
      </c>
      <c r="M923" s="14">
        <f>Table1[[#This Row],[Unit_Cost]]-Table1[[#This Row],[Negotiated_Cost]]</f>
        <v>4209.96</v>
      </c>
      <c r="N923" s="18">
        <f>Table1[[#This Row],[Defective_Units]]/Table1[[#This Row],[Quantity]]</f>
        <v>1.2345679012345678E-2</v>
      </c>
      <c r="O923" s="26">
        <f>(Table1[[#This Row],[Unit_Cost]]-Table1[[#This Row],[Negotiated_Cost]])/Table1[[#This Row],[Unit_Cost]]</f>
        <v>1</v>
      </c>
    </row>
    <row r="924" spans="1:15" x14ac:dyDescent="0.25">
      <c r="A924" t="s">
        <v>959</v>
      </c>
      <c r="B924" t="s">
        <v>17</v>
      </c>
      <c r="C924" s="14" t="s">
        <v>24</v>
      </c>
      <c r="D924" s="1">
        <v>45048</v>
      </c>
      <c r="E924" s="13">
        <v>45058</v>
      </c>
      <c r="F924" s="14" t="s">
        <v>37</v>
      </c>
      <c r="G924">
        <v>303</v>
      </c>
      <c r="H924">
        <v>12334.95</v>
      </c>
      <c r="I924">
        <v>11855.38</v>
      </c>
      <c r="J924">
        <v>6</v>
      </c>
      <c r="K924" s="14" t="s">
        <v>15</v>
      </c>
      <c r="L924" s="14">
        <f>IF(OR(Table1[[#This Row],[Order_Status]]="Delivered",Table1[[#This Row],[Delivery_Date]]&lt;&gt;"Not Yet Delivered"),Table1[[#This Row],[Delivery_Date]]-Table1[[#This Row],[Order_Date]],"Not Applicable")</f>
        <v>10</v>
      </c>
      <c r="M924" s="14">
        <f>Table1[[#This Row],[Unit_Cost]]-Table1[[#This Row],[Negotiated_Cost]]</f>
        <v>479.57000000000153</v>
      </c>
      <c r="N924" s="18">
        <f>Table1[[#This Row],[Defective_Units]]/Table1[[#This Row],[Quantity]]</f>
        <v>1.9801980198019802E-2</v>
      </c>
      <c r="O924" s="26">
        <f>(Table1[[#This Row],[Unit_Cost]]-Table1[[#This Row],[Negotiated_Cost]])/Table1[[#This Row],[Unit_Cost]]</f>
        <v>3.8878957758239921E-2</v>
      </c>
    </row>
    <row r="925" spans="1:15" x14ac:dyDescent="0.25">
      <c r="A925" t="s">
        <v>960</v>
      </c>
      <c r="B925" t="s">
        <v>17</v>
      </c>
      <c r="C925" s="14" t="s">
        <v>24</v>
      </c>
      <c r="D925" s="1">
        <v>45337</v>
      </c>
      <c r="E925" s="13">
        <v>45351</v>
      </c>
      <c r="F925" s="14" t="s">
        <v>37</v>
      </c>
      <c r="G925">
        <v>12</v>
      </c>
      <c r="H925">
        <v>11481.72</v>
      </c>
      <c r="I925">
        <v>11125.43</v>
      </c>
      <c r="J925">
        <v>0</v>
      </c>
      <c r="K925" s="14" t="s">
        <v>15</v>
      </c>
      <c r="L925" s="14">
        <f>IF(OR(Table1[[#This Row],[Order_Status]]="Delivered",Table1[[#This Row],[Delivery_Date]]&lt;&gt;"Not Yet Delivered"),Table1[[#This Row],[Delivery_Date]]-Table1[[#This Row],[Order_Date]],"Not Applicable")</f>
        <v>14</v>
      </c>
      <c r="M925" s="14">
        <f>Table1[[#This Row],[Unit_Cost]]-Table1[[#This Row],[Negotiated_Cost]]</f>
        <v>356.28999999999905</v>
      </c>
      <c r="N925" s="18">
        <f>Table1[[#This Row],[Defective_Units]]/Table1[[#This Row],[Quantity]]</f>
        <v>0</v>
      </c>
      <c r="O925" s="26">
        <f>(Table1[[#This Row],[Unit_Cost]]-Table1[[#This Row],[Negotiated_Cost]])/Table1[[#This Row],[Unit_Cost]]</f>
        <v>3.1031065032068286E-2</v>
      </c>
    </row>
    <row r="926" spans="1:15" x14ac:dyDescent="0.25">
      <c r="A926" t="s">
        <v>961</v>
      </c>
      <c r="B926" t="s">
        <v>32</v>
      </c>
      <c r="C926" s="14" t="s">
        <v>48</v>
      </c>
      <c r="D926" s="1">
        <v>45396</v>
      </c>
      <c r="E926" s="14" t="s">
        <v>2057</v>
      </c>
      <c r="F926" s="14" t="s">
        <v>22</v>
      </c>
      <c r="G926">
        <v>153</v>
      </c>
      <c r="H926">
        <v>5817.83</v>
      </c>
      <c r="I926">
        <v>5578.66</v>
      </c>
      <c r="J926">
        <v>2</v>
      </c>
      <c r="K926" s="14" t="s">
        <v>15</v>
      </c>
      <c r="L926" s="14" t="str">
        <f>IF(OR(Table1[[#This Row],[Order_Status]]="Delivered",Table1[[#This Row],[Delivery_Date]]&lt;&gt;"Not Yet Delivered"),Table1[[#This Row],[Delivery_Date]]-Table1[[#This Row],[Order_Date]],"Not Applicable")</f>
        <v>Not Applicable</v>
      </c>
      <c r="M926" s="14">
        <f>Table1[[#This Row],[Unit_Cost]]-Table1[[#This Row],[Negotiated_Cost]]</f>
        <v>239.17000000000007</v>
      </c>
      <c r="N926" s="18">
        <f>Table1[[#This Row],[Defective_Units]]/Table1[[#This Row],[Quantity]]</f>
        <v>1.3071895424836602E-2</v>
      </c>
      <c r="O926" s="26">
        <f>(Table1[[#This Row],[Unit_Cost]]-Table1[[#This Row],[Negotiated_Cost]])/Table1[[#This Row],[Unit_Cost]]</f>
        <v>4.1109829610009245E-2</v>
      </c>
    </row>
    <row r="927" spans="1:15" x14ac:dyDescent="0.25">
      <c r="A927" t="s">
        <v>962</v>
      </c>
      <c r="B927" t="s">
        <v>12</v>
      </c>
      <c r="C927" s="14" t="s">
        <v>24</v>
      </c>
      <c r="D927" s="1">
        <v>45175</v>
      </c>
      <c r="E927" s="13">
        <v>45187</v>
      </c>
      <c r="F927" s="14" t="s">
        <v>14</v>
      </c>
      <c r="G927">
        <v>216</v>
      </c>
      <c r="H927">
        <v>13495.81</v>
      </c>
      <c r="I927">
        <v>12931.82</v>
      </c>
      <c r="J927">
        <v>4</v>
      </c>
      <c r="K927" s="14" t="s">
        <v>15</v>
      </c>
      <c r="L927" s="14">
        <f>IF(OR(Table1[[#This Row],[Order_Status]]="Delivered",Table1[[#This Row],[Delivery_Date]]&lt;&gt;"Not Yet Delivered"),Table1[[#This Row],[Delivery_Date]]-Table1[[#This Row],[Order_Date]],"Not Applicable")</f>
        <v>12</v>
      </c>
      <c r="M927" s="14">
        <f>Table1[[#This Row],[Unit_Cost]]-Table1[[#This Row],[Negotiated_Cost]]</f>
        <v>563.98999999999978</v>
      </c>
      <c r="N927" s="18">
        <f>Table1[[#This Row],[Defective_Units]]/Table1[[#This Row],[Quantity]]</f>
        <v>1.8518518518518517E-2</v>
      </c>
      <c r="O927" s="26">
        <f>(Table1[[#This Row],[Unit_Cost]]-Table1[[#This Row],[Negotiated_Cost]])/Table1[[#This Row],[Unit_Cost]]</f>
        <v>4.1790007417116852E-2</v>
      </c>
    </row>
    <row r="928" spans="1:15" x14ac:dyDescent="0.25">
      <c r="A928" t="s">
        <v>963</v>
      </c>
      <c r="B928" t="s">
        <v>46</v>
      </c>
      <c r="C928" s="14" t="s">
        <v>30</v>
      </c>
      <c r="D928" s="1">
        <v>45440</v>
      </c>
      <c r="E928" s="13">
        <v>45455</v>
      </c>
      <c r="F928" s="14" t="s">
        <v>14</v>
      </c>
      <c r="G928">
        <v>92</v>
      </c>
      <c r="H928">
        <v>909.6</v>
      </c>
      <c r="I928">
        <v>858.11</v>
      </c>
      <c r="J928">
        <v>0</v>
      </c>
      <c r="K928" s="14" t="s">
        <v>15</v>
      </c>
      <c r="L928" s="14">
        <f>IF(OR(Table1[[#This Row],[Order_Status]]="Delivered",Table1[[#This Row],[Delivery_Date]]&lt;&gt;"Not Yet Delivered"),Table1[[#This Row],[Delivery_Date]]-Table1[[#This Row],[Order_Date]],"Not Applicable")</f>
        <v>15</v>
      </c>
      <c r="M928" s="14">
        <f>Table1[[#This Row],[Unit_Cost]]-Table1[[#This Row],[Negotiated_Cost]]</f>
        <v>51.490000000000009</v>
      </c>
      <c r="N928" s="18">
        <f>Table1[[#This Row],[Defective_Units]]/Table1[[#This Row],[Quantity]]</f>
        <v>0</v>
      </c>
      <c r="O928" s="26">
        <f>(Table1[[#This Row],[Unit_Cost]]-Table1[[#This Row],[Negotiated_Cost]])/Table1[[#This Row],[Unit_Cost]]</f>
        <v>5.6607299912049262E-2</v>
      </c>
    </row>
    <row r="929" spans="1:15" x14ac:dyDescent="0.25">
      <c r="A929" t="s">
        <v>964</v>
      </c>
      <c r="B929" t="s">
        <v>35</v>
      </c>
      <c r="C929" s="14" t="s">
        <v>13</v>
      </c>
      <c r="D929" s="1">
        <v>45469</v>
      </c>
      <c r="E929" s="14" t="s">
        <v>2057</v>
      </c>
      <c r="F929" s="14" t="s">
        <v>33</v>
      </c>
      <c r="G929">
        <v>142</v>
      </c>
      <c r="H929">
        <v>4312.3599999999997</v>
      </c>
      <c r="I929">
        <v>4106.97</v>
      </c>
      <c r="J929">
        <v>2</v>
      </c>
      <c r="K929" s="14" t="s">
        <v>15</v>
      </c>
      <c r="L929" s="14" t="str">
        <f>IF(OR(Table1[[#This Row],[Order_Status]]="Delivered",Table1[[#This Row],[Delivery_Date]]&lt;&gt;"Not Yet Delivered"),Table1[[#This Row],[Delivery_Date]]-Table1[[#This Row],[Order_Date]],"Not Applicable")</f>
        <v>Not Applicable</v>
      </c>
      <c r="M929" s="14">
        <f>Table1[[#This Row],[Unit_Cost]]-Table1[[#This Row],[Negotiated_Cost]]</f>
        <v>205.38999999999942</v>
      </c>
      <c r="N929" s="18">
        <f>Table1[[#This Row],[Defective_Units]]/Table1[[#This Row],[Quantity]]</f>
        <v>1.4084507042253521E-2</v>
      </c>
      <c r="O929" s="26">
        <f>(Table1[[#This Row],[Unit_Cost]]-Table1[[#This Row],[Negotiated_Cost]])/Table1[[#This Row],[Unit_Cost]]</f>
        <v>4.7628212857924533E-2</v>
      </c>
    </row>
    <row r="930" spans="1:15" x14ac:dyDescent="0.25">
      <c r="A930" t="s">
        <v>965</v>
      </c>
      <c r="B930" t="s">
        <v>12</v>
      </c>
      <c r="C930" s="14" t="s">
        <v>48</v>
      </c>
      <c r="D930" s="1">
        <v>45088</v>
      </c>
      <c r="E930" s="13">
        <v>45096</v>
      </c>
      <c r="F930" s="14" t="s">
        <v>37</v>
      </c>
      <c r="G930">
        <v>361</v>
      </c>
      <c r="H930">
        <v>6424.24</v>
      </c>
      <c r="I930">
        <v>6338.11</v>
      </c>
      <c r="J930">
        <v>3</v>
      </c>
      <c r="K930" s="14" t="s">
        <v>15</v>
      </c>
      <c r="L930" s="14">
        <f>IF(OR(Table1[[#This Row],[Order_Status]]="Delivered",Table1[[#This Row],[Delivery_Date]]&lt;&gt;"Not Yet Delivered"),Table1[[#This Row],[Delivery_Date]]-Table1[[#This Row],[Order_Date]],"Not Applicable")</f>
        <v>8</v>
      </c>
      <c r="M930" s="14">
        <f>Table1[[#This Row],[Unit_Cost]]-Table1[[#This Row],[Negotiated_Cost]]</f>
        <v>86.130000000000109</v>
      </c>
      <c r="N930" s="18">
        <f>Table1[[#This Row],[Defective_Units]]/Table1[[#This Row],[Quantity]]</f>
        <v>8.3102493074792248E-3</v>
      </c>
      <c r="O930" s="26">
        <f>(Table1[[#This Row],[Unit_Cost]]-Table1[[#This Row],[Negotiated_Cost]])/Table1[[#This Row],[Unit_Cost]]</f>
        <v>1.3407033361144682E-2</v>
      </c>
    </row>
    <row r="931" spans="1:15" x14ac:dyDescent="0.25">
      <c r="A931" t="s">
        <v>966</v>
      </c>
      <c r="B931" t="s">
        <v>40</v>
      </c>
      <c r="C931" s="14" t="s">
        <v>48</v>
      </c>
      <c r="D931" s="1">
        <v>45459</v>
      </c>
      <c r="E931" s="13">
        <v>45466</v>
      </c>
      <c r="F931" s="14" t="s">
        <v>14</v>
      </c>
      <c r="G931">
        <v>498</v>
      </c>
      <c r="H931">
        <v>7253.52</v>
      </c>
      <c r="I931">
        <v>6935.4</v>
      </c>
      <c r="J931">
        <v>16</v>
      </c>
      <c r="K931" s="14" t="s">
        <v>15</v>
      </c>
      <c r="L931" s="14">
        <f>IF(OR(Table1[[#This Row],[Order_Status]]="Delivered",Table1[[#This Row],[Delivery_Date]]&lt;&gt;"Not Yet Delivered"),Table1[[#This Row],[Delivery_Date]]-Table1[[#This Row],[Order_Date]],"Not Applicable")</f>
        <v>7</v>
      </c>
      <c r="M931" s="14">
        <f>Table1[[#This Row],[Unit_Cost]]-Table1[[#This Row],[Negotiated_Cost]]</f>
        <v>318.1200000000008</v>
      </c>
      <c r="N931" s="18">
        <f>Table1[[#This Row],[Defective_Units]]/Table1[[#This Row],[Quantity]]</f>
        <v>3.2128514056224897E-2</v>
      </c>
      <c r="O931" s="26">
        <f>(Table1[[#This Row],[Unit_Cost]]-Table1[[#This Row],[Negotiated_Cost]])/Table1[[#This Row],[Unit_Cost]]</f>
        <v>4.3857327201138316E-2</v>
      </c>
    </row>
    <row r="932" spans="1:15" x14ac:dyDescent="0.25">
      <c r="A932" t="s">
        <v>967</v>
      </c>
      <c r="B932" t="s">
        <v>27</v>
      </c>
      <c r="C932" s="14" t="s">
        <v>28</v>
      </c>
      <c r="D932" s="1">
        <v>45425</v>
      </c>
      <c r="E932" s="13">
        <v>45429</v>
      </c>
      <c r="F932" s="14" t="s">
        <v>14</v>
      </c>
      <c r="G932">
        <v>37</v>
      </c>
      <c r="H932">
        <v>46614.34</v>
      </c>
      <c r="I932">
        <v>45796.32</v>
      </c>
      <c r="J932">
        <v>0</v>
      </c>
      <c r="K932" s="14" t="s">
        <v>15</v>
      </c>
      <c r="L932" s="14">
        <f>IF(OR(Table1[[#This Row],[Order_Status]]="Delivered",Table1[[#This Row],[Delivery_Date]]&lt;&gt;"Not Yet Delivered"),Table1[[#This Row],[Delivery_Date]]-Table1[[#This Row],[Order_Date]],"Not Applicable")</f>
        <v>4</v>
      </c>
      <c r="M932" s="14">
        <f>Table1[[#This Row],[Unit_Cost]]-Table1[[#This Row],[Negotiated_Cost]]</f>
        <v>818.0199999999968</v>
      </c>
      <c r="N932" s="18">
        <f>Table1[[#This Row],[Defective_Units]]/Table1[[#This Row],[Quantity]]</f>
        <v>0</v>
      </c>
      <c r="O932" s="26">
        <f>(Table1[[#This Row],[Unit_Cost]]-Table1[[#This Row],[Negotiated_Cost]])/Table1[[#This Row],[Unit_Cost]]</f>
        <v>1.7548677080915377E-2</v>
      </c>
    </row>
    <row r="933" spans="1:15" x14ac:dyDescent="0.25">
      <c r="A933" t="s">
        <v>968</v>
      </c>
      <c r="B933" t="s">
        <v>35</v>
      </c>
      <c r="C933" s="14" t="s">
        <v>48</v>
      </c>
      <c r="D933" s="1">
        <v>44938</v>
      </c>
      <c r="E933" s="13">
        <v>44945</v>
      </c>
      <c r="F933" s="14" t="s">
        <v>14</v>
      </c>
      <c r="G933">
        <v>323</v>
      </c>
      <c r="H933">
        <v>6735.07</v>
      </c>
      <c r="I933">
        <v>6491.65</v>
      </c>
      <c r="J933">
        <v>3</v>
      </c>
      <c r="K933" s="14" t="s">
        <v>15</v>
      </c>
      <c r="L933" s="14">
        <f>IF(OR(Table1[[#This Row],[Order_Status]]="Delivered",Table1[[#This Row],[Delivery_Date]]&lt;&gt;"Not Yet Delivered"),Table1[[#This Row],[Delivery_Date]]-Table1[[#This Row],[Order_Date]],"Not Applicable")</f>
        <v>7</v>
      </c>
      <c r="M933" s="14">
        <f>Table1[[#This Row],[Unit_Cost]]-Table1[[#This Row],[Negotiated_Cost]]</f>
        <v>243.42000000000007</v>
      </c>
      <c r="N933" s="18">
        <f>Table1[[#This Row],[Defective_Units]]/Table1[[#This Row],[Quantity]]</f>
        <v>9.2879256965944269E-3</v>
      </c>
      <c r="O933" s="26">
        <f>(Table1[[#This Row],[Unit_Cost]]-Table1[[#This Row],[Negotiated_Cost]])/Table1[[#This Row],[Unit_Cost]]</f>
        <v>3.6142163333120529E-2</v>
      </c>
    </row>
    <row r="934" spans="1:15" x14ac:dyDescent="0.25">
      <c r="A934" t="s">
        <v>969</v>
      </c>
      <c r="B934" t="s">
        <v>12</v>
      </c>
      <c r="C934" s="14" t="s">
        <v>30</v>
      </c>
      <c r="D934" s="1">
        <v>45442</v>
      </c>
      <c r="E934" s="13">
        <v>45467</v>
      </c>
      <c r="F934" s="14" t="s">
        <v>14</v>
      </c>
      <c r="G934">
        <v>130</v>
      </c>
      <c r="H934">
        <v>933.29</v>
      </c>
      <c r="I934">
        <v>929.82</v>
      </c>
      <c r="J934">
        <v>1</v>
      </c>
      <c r="K934" s="14" t="s">
        <v>15</v>
      </c>
      <c r="L934" s="14">
        <f>IF(OR(Table1[[#This Row],[Order_Status]]="Delivered",Table1[[#This Row],[Delivery_Date]]&lt;&gt;"Not Yet Delivered"),Table1[[#This Row],[Delivery_Date]]-Table1[[#This Row],[Order_Date]],"Not Applicable")</f>
        <v>25</v>
      </c>
      <c r="M934" s="14">
        <f>Table1[[#This Row],[Unit_Cost]]-Table1[[#This Row],[Negotiated_Cost]]</f>
        <v>3.4699999999999136</v>
      </c>
      <c r="N934" s="18">
        <f>Table1[[#This Row],[Defective_Units]]/Table1[[#This Row],[Quantity]]</f>
        <v>7.6923076923076927E-3</v>
      </c>
      <c r="O934" s="26">
        <f>(Table1[[#This Row],[Unit_Cost]]-Table1[[#This Row],[Negotiated_Cost]])/Table1[[#This Row],[Unit_Cost]]</f>
        <v>3.7180297656675991E-3</v>
      </c>
    </row>
    <row r="935" spans="1:15" x14ac:dyDescent="0.25">
      <c r="A935" t="s">
        <v>970</v>
      </c>
      <c r="B935" t="s">
        <v>40</v>
      </c>
      <c r="C935" s="14" t="s">
        <v>44</v>
      </c>
      <c r="D935" s="1">
        <v>45280</v>
      </c>
      <c r="E935" s="13">
        <v>45310</v>
      </c>
      <c r="F935" s="14" t="s">
        <v>14</v>
      </c>
      <c r="G935">
        <v>79</v>
      </c>
      <c r="H935">
        <v>9086.2000000000007</v>
      </c>
      <c r="I935">
        <v>8940.49</v>
      </c>
      <c r="J935">
        <v>0</v>
      </c>
      <c r="K935" s="14" t="s">
        <v>15</v>
      </c>
      <c r="L935" s="14">
        <f>IF(OR(Table1[[#This Row],[Order_Status]]="Delivered",Table1[[#This Row],[Delivery_Date]]&lt;&gt;"Not Yet Delivered"),Table1[[#This Row],[Delivery_Date]]-Table1[[#This Row],[Order_Date]],"Not Applicable")</f>
        <v>30</v>
      </c>
      <c r="M935" s="14">
        <f>Table1[[#This Row],[Unit_Cost]]-Table1[[#This Row],[Negotiated_Cost]]</f>
        <v>145.71000000000095</v>
      </c>
      <c r="N935" s="18">
        <f>Table1[[#This Row],[Defective_Units]]/Table1[[#This Row],[Quantity]]</f>
        <v>0</v>
      </c>
      <c r="O935" s="26">
        <f>(Table1[[#This Row],[Unit_Cost]]-Table1[[#This Row],[Negotiated_Cost]])/Table1[[#This Row],[Unit_Cost]]</f>
        <v>1.6036406858752936E-2</v>
      </c>
    </row>
    <row r="936" spans="1:15" x14ac:dyDescent="0.25">
      <c r="A936" t="s">
        <v>971</v>
      </c>
      <c r="B936" t="s">
        <v>40</v>
      </c>
      <c r="C936" s="14" t="s">
        <v>44</v>
      </c>
      <c r="D936" s="1">
        <v>44968</v>
      </c>
      <c r="E936" s="13">
        <v>44997</v>
      </c>
      <c r="F936" s="14" t="s">
        <v>14</v>
      </c>
      <c r="G936">
        <v>97</v>
      </c>
      <c r="H936">
        <v>9677.31</v>
      </c>
      <c r="I936">
        <v>9306.5499999999993</v>
      </c>
      <c r="J936">
        <v>0</v>
      </c>
      <c r="K936" s="14" t="s">
        <v>15</v>
      </c>
      <c r="L936" s="14">
        <f>IF(OR(Table1[[#This Row],[Order_Status]]="Delivered",Table1[[#This Row],[Delivery_Date]]&lt;&gt;"Not Yet Delivered"),Table1[[#This Row],[Delivery_Date]]-Table1[[#This Row],[Order_Date]],"Not Applicable")</f>
        <v>29</v>
      </c>
      <c r="M936" s="14">
        <f>Table1[[#This Row],[Unit_Cost]]-Table1[[#This Row],[Negotiated_Cost]]</f>
        <v>370.76000000000022</v>
      </c>
      <c r="N936" s="18">
        <f>Table1[[#This Row],[Defective_Units]]/Table1[[#This Row],[Quantity]]</f>
        <v>0</v>
      </c>
      <c r="O936" s="26">
        <f>(Table1[[#This Row],[Unit_Cost]]-Table1[[#This Row],[Negotiated_Cost]])/Table1[[#This Row],[Unit_Cost]]</f>
        <v>3.8312299595652119E-2</v>
      </c>
    </row>
    <row r="937" spans="1:15" x14ac:dyDescent="0.25">
      <c r="A937" t="s">
        <v>972</v>
      </c>
      <c r="B937" t="s">
        <v>40</v>
      </c>
      <c r="C937" s="14" t="s">
        <v>50</v>
      </c>
      <c r="D937" s="1">
        <v>45021</v>
      </c>
      <c r="E937" s="13">
        <v>45044</v>
      </c>
      <c r="F937" s="14" t="s">
        <v>14</v>
      </c>
      <c r="G937">
        <v>330</v>
      </c>
      <c r="H937">
        <v>53141.15</v>
      </c>
      <c r="I937">
        <v>52772.07</v>
      </c>
      <c r="J937">
        <v>2</v>
      </c>
      <c r="K937" s="14" t="s">
        <v>15</v>
      </c>
      <c r="L937" s="14">
        <f>IF(OR(Table1[[#This Row],[Order_Status]]="Delivered",Table1[[#This Row],[Delivery_Date]]&lt;&gt;"Not Yet Delivered"),Table1[[#This Row],[Delivery_Date]]-Table1[[#This Row],[Order_Date]],"Not Applicable")</f>
        <v>23</v>
      </c>
      <c r="M937" s="14">
        <f>Table1[[#This Row],[Unit_Cost]]-Table1[[#This Row],[Negotiated_Cost]]</f>
        <v>369.08000000000175</v>
      </c>
      <c r="N937" s="18">
        <f>Table1[[#This Row],[Defective_Units]]/Table1[[#This Row],[Quantity]]</f>
        <v>6.0606060606060606E-3</v>
      </c>
      <c r="O937" s="26">
        <f>(Table1[[#This Row],[Unit_Cost]]-Table1[[#This Row],[Negotiated_Cost]])/Table1[[#This Row],[Unit_Cost]]</f>
        <v>6.9452768711253283E-3</v>
      </c>
    </row>
    <row r="938" spans="1:15" x14ac:dyDescent="0.25">
      <c r="A938" t="s">
        <v>973</v>
      </c>
      <c r="B938" t="s">
        <v>46</v>
      </c>
      <c r="C938" s="14" t="s">
        <v>18</v>
      </c>
      <c r="D938" s="1">
        <v>45000</v>
      </c>
      <c r="E938" s="13">
        <v>45021</v>
      </c>
      <c r="F938" s="14" t="s">
        <v>37</v>
      </c>
      <c r="G938">
        <v>129</v>
      </c>
      <c r="H938">
        <v>5301.35</v>
      </c>
      <c r="I938">
        <v>5019.3599999999997</v>
      </c>
      <c r="J938">
        <v>2</v>
      </c>
      <c r="K938" s="14" t="s">
        <v>15</v>
      </c>
      <c r="L938" s="14">
        <f>IF(OR(Table1[[#This Row],[Order_Status]]="Delivered",Table1[[#This Row],[Delivery_Date]]&lt;&gt;"Not Yet Delivered"),Table1[[#This Row],[Delivery_Date]]-Table1[[#This Row],[Order_Date]],"Not Applicable")</f>
        <v>21</v>
      </c>
      <c r="M938" s="14">
        <f>Table1[[#This Row],[Unit_Cost]]-Table1[[#This Row],[Negotiated_Cost]]</f>
        <v>281.99000000000069</v>
      </c>
      <c r="N938" s="18">
        <f>Table1[[#This Row],[Defective_Units]]/Table1[[#This Row],[Quantity]]</f>
        <v>1.5503875968992248E-2</v>
      </c>
      <c r="O938" s="26">
        <f>(Table1[[#This Row],[Unit_Cost]]-Table1[[#This Row],[Negotiated_Cost]])/Table1[[#This Row],[Unit_Cost]]</f>
        <v>5.3192111443311735E-2</v>
      </c>
    </row>
    <row r="939" spans="1:15" x14ac:dyDescent="0.25">
      <c r="A939" t="s">
        <v>974</v>
      </c>
      <c r="B939" t="s">
        <v>12</v>
      </c>
      <c r="C939" s="14" t="s">
        <v>30</v>
      </c>
      <c r="D939" s="1">
        <v>45381</v>
      </c>
      <c r="E939" s="13">
        <v>45384</v>
      </c>
      <c r="F939" s="14" t="s">
        <v>14</v>
      </c>
      <c r="G939">
        <v>398</v>
      </c>
      <c r="H939">
        <v>910.81</v>
      </c>
      <c r="I939">
        <v>883.2</v>
      </c>
      <c r="J939">
        <v>3</v>
      </c>
      <c r="K939" s="14" t="s">
        <v>15</v>
      </c>
      <c r="L939" s="14">
        <f>IF(OR(Table1[[#This Row],[Order_Status]]="Delivered",Table1[[#This Row],[Delivery_Date]]&lt;&gt;"Not Yet Delivered"),Table1[[#This Row],[Delivery_Date]]-Table1[[#This Row],[Order_Date]],"Not Applicable")</f>
        <v>3</v>
      </c>
      <c r="M939" s="14">
        <f>Table1[[#This Row],[Unit_Cost]]-Table1[[#This Row],[Negotiated_Cost]]</f>
        <v>27.6099999999999</v>
      </c>
      <c r="N939" s="18">
        <f>Table1[[#This Row],[Defective_Units]]/Table1[[#This Row],[Quantity]]</f>
        <v>7.537688442211055E-3</v>
      </c>
      <c r="O939" s="26">
        <f>(Table1[[#This Row],[Unit_Cost]]-Table1[[#This Row],[Negotiated_Cost]])/Table1[[#This Row],[Unit_Cost]]</f>
        <v>3.0313676837100935E-2</v>
      </c>
    </row>
    <row r="940" spans="1:15" x14ac:dyDescent="0.25">
      <c r="A940" t="s">
        <v>975</v>
      </c>
      <c r="B940" t="s">
        <v>20</v>
      </c>
      <c r="C940" s="14" t="s">
        <v>44</v>
      </c>
      <c r="D940" s="1">
        <v>45548</v>
      </c>
      <c r="E940" s="13">
        <v>45558</v>
      </c>
      <c r="F940" s="14" t="s">
        <v>14</v>
      </c>
      <c r="G940">
        <v>282</v>
      </c>
      <c r="H940">
        <v>7994.53</v>
      </c>
      <c r="I940">
        <v>7869.96</v>
      </c>
      <c r="J940">
        <v>1</v>
      </c>
      <c r="K940" s="14" t="s">
        <v>15</v>
      </c>
      <c r="L940" s="14">
        <f>IF(OR(Table1[[#This Row],[Order_Status]]="Delivered",Table1[[#This Row],[Delivery_Date]]&lt;&gt;"Not Yet Delivered"),Table1[[#This Row],[Delivery_Date]]-Table1[[#This Row],[Order_Date]],"Not Applicable")</f>
        <v>10</v>
      </c>
      <c r="M940" s="14">
        <f>Table1[[#This Row],[Unit_Cost]]-Table1[[#This Row],[Negotiated_Cost]]</f>
        <v>124.56999999999971</v>
      </c>
      <c r="N940" s="18">
        <f>Table1[[#This Row],[Defective_Units]]/Table1[[#This Row],[Quantity]]</f>
        <v>3.5460992907801418E-3</v>
      </c>
      <c r="O940" s="26">
        <f>(Table1[[#This Row],[Unit_Cost]]-Table1[[#This Row],[Negotiated_Cost]])/Table1[[#This Row],[Unit_Cost]]</f>
        <v>1.5581904126946764E-2</v>
      </c>
    </row>
    <row r="941" spans="1:15" x14ac:dyDescent="0.25">
      <c r="A941" t="s">
        <v>976</v>
      </c>
      <c r="B941" t="s">
        <v>46</v>
      </c>
      <c r="C941" s="14" t="s">
        <v>36</v>
      </c>
      <c r="D941" s="1">
        <v>45577</v>
      </c>
      <c r="E941" s="13">
        <v>45591</v>
      </c>
      <c r="F941" s="14" t="s">
        <v>14</v>
      </c>
      <c r="G941">
        <v>43</v>
      </c>
      <c r="H941">
        <v>554.62</v>
      </c>
      <c r="I941">
        <v>530.77</v>
      </c>
      <c r="J941">
        <v>0</v>
      </c>
      <c r="K941" s="14" t="s">
        <v>15</v>
      </c>
      <c r="L941" s="14">
        <f>IF(OR(Table1[[#This Row],[Order_Status]]="Delivered",Table1[[#This Row],[Delivery_Date]]&lt;&gt;"Not Yet Delivered"),Table1[[#This Row],[Delivery_Date]]-Table1[[#This Row],[Order_Date]],"Not Applicable")</f>
        <v>14</v>
      </c>
      <c r="M941" s="14">
        <f>Table1[[#This Row],[Unit_Cost]]-Table1[[#This Row],[Negotiated_Cost]]</f>
        <v>23.850000000000023</v>
      </c>
      <c r="N941" s="18">
        <f>Table1[[#This Row],[Defective_Units]]/Table1[[#This Row],[Quantity]]</f>
        <v>0</v>
      </c>
      <c r="O941" s="26">
        <f>(Table1[[#This Row],[Unit_Cost]]-Table1[[#This Row],[Negotiated_Cost]])/Table1[[#This Row],[Unit_Cost]]</f>
        <v>4.3002416068659663E-2</v>
      </c>
    </row>
    <row r="942" spans="1:15" x14ac:dyDescent="0.25">
      <c r="A942" t="s">
        <v>977</v>
      </c>
      <c r="B942" t="s">
        <v>27</v>
      </c>
      <c r="C942" s="14" t="s">
        <v>21</v>
      </c>
      <c r="D942" s="1">
        <v>45412</v>
      </c>
      <c r="E942" s="13">
        <v>45435</v>
      </c>
      <c r="F942" s="14" t="s">
        <v>14</v>
      </c>
      <c r="G942">
        <v>9</v>
      </c>
      <c r="H942">
        <v>122.04</v>
      </c>
      <c r="I942">
        <v>120.51</v>
      </c>
      <c r="J942">
        <v>1</v>
      </c>
      <c r="K942" s="14" t="s">
        <v>15</v>
      </c>
      <c r="L942" s="14">
        <f>IF(OR(Table1[[#This Row],[Order_Status]]="Delivered",Table1[[#This Row],[Delivery_Date]]&lt;&gt;"Not Yet Delivered"),Table1[[#This Row],[Delivery_Date]]-Table1[[#This Row],[Order_Date]],"Not Applicable")</f>
        <v>23</v>
      </c>
      <c r="M942" s="14">
        <f>Table1[[#This Row],[Unit_Cost]]-Table1[[#This Row],[Negotiated_Cost]]</f>
        <v>1.5300000000000011</v>
      </c>
      <c r="N942" s="18">
        <f>Table1[[#This Row],[Defective_Units]]/Table1[[#This Row],[Quantity]]</f>
        <v>0.1111111111111111</v>
      </c>
      <c r="O942" s="26">
        <f>(Table1[[#This Row],[Unit_Cost]]-Table1[[#This Row],[Negotiated_Cost]])/Table1[[#This Row],[Unit_Cost]]</f>
        <v>1.2536873156342191E-2</v>
      </c>
    </row>
    <row r="943" spans="1:15" x14ac:dyDescent="0.25">
      <c r="A943" t="s">
        <v>978</v>
      </c>
      <c r="B943" t="s">
        <v>35</v>
      </c>
      <c r="C943" s="14" t="s">
        <v>44</v>
      </c>
      <c r="D943" s="1">
        <v>45563</v>
      </c>
      <c r="E943" s="13">
        <v>45581</v>
      </c>
      <c r="F943" s="14" t="s">
        <v>14</v>
      </c>
      <c r="G943">
        <v>238</v>
      </c>
      <c r="H943">
        <v>8400.83</v>
      </c>
      <c r="I943">
        <v>7915.03</v>
      </c>
      <c r="J943">
        <v>0</v>
      </c>
      <c r="K943" s="14" t="s">
        <v>15</v>
      </c>
      <c r="L943" s="14">
        <f>IF(OR(Table1[[#This Row],[Order_Status]]="Delivered",Table1[[#This Row],[Delivery_Date]]&lt;&gt;"Not Yet Delivered"),Table1[[#This Row],[Delivery_Date]]-Table1[[#This Row],[Order_Date]],"Not Applicable")</f>
        <v>18</v>
      </c>
      <c r="M943" s="14">
        <f>Table1[[#This Row],[Unit_Cost]]-Table1[[#This Row],[Negotiated_Cost]]</f>
        <v>485.80000000000018</v>
      </c>
      <c r="N943" s="18">
        <f>Table1[[#This Row],[Defective_Units]]/Table1[[#This Row],[Quantity]]</f>
        <v>0</v>
      </c>
      <c r="O943" s="26">
        <f>(Table1[[#This Row],[Unit_Cost]]-Table1[[#This Row],[Negotiated_Cost]])/Table1[[#This Row],[Unit_Cost]]</f>
        <v>5.7827619413796043E-2</v>
      </c>
    </row>
    <row r="944" spans="1:15" x14ac:dyDescent="0.25">
      <c r="A944" t="s">
        <v>979</v>
      </c>
      <c r="B944" t="s">
        <v>17</v>
      </c>
      <c r="C944" s="14" t="s">
        <v>48</v>
      </c>
      <c r="D944" s="1">
        <v>45058</v>
      </c>
      <c r="E944" s="13">
        <v>45078</v>
      </c>
      <c r="F944" s="14" t="s">
        <v>14</v>
      </c>
      <c r="G944">
        <v>364</v>
      </c>
      <c r="H944">
        <v>6400.09</v>
      </c>
      <c r="I944">
        <v>6056.63</v>
      </c>
      <c r="J944">
        <v>4</v>
      </c>
      <c r="K944" s="14" t="s">
        <v>15</v>
      </c>
      <c r="L944" s="14">
        <f>IF(OR(Table1[[#This Row],[Order_Status]]="Delivered",Table1[[#This Row],[Delivery_Date]]&lt;&gt;"Not Yet Delivered"),Table1[[#This Row],[Delivery_Date]]-Table1[[#This Row],[Order_Date]],"Not Applicable")</f>
        <v>20</v>
      </c>
      <c r="M944" s="14">
        <f>Table1[[#This Row],[Unit_Cost]]-Table1[[#This Row],[Negotiated_Cost]]</f>
        <v>343.46000000000004</v>
      </c>
      <c r="N944" s="18">
        <f>Table1[[#This Row],[Defective_Units]]/Table1[[#This Row],[Quantity]]</f>
        <v>1.098901098901099E-2</v>
      </c>
      <c r="O944" s="26">
        <f>(Table1[[#This Row],[Unit_Cost]]-Table1[[#This Row],[Negotiated_Cost]])/Table1[[#This Row],[Unit_Cost]]</f>
        <v>5.3664870337760878E-2</v>
      </c>
    </row>
    <row r="945" spans="1:15" x14ac:dyDescent="0.25">
      <c r="A945" t="s">
        <v>980</v>
      </c>
      <c r="B945" t="s">
        <v>46</v>
      </c>
      <c r="C945" s="14" t="s">
        <v>42</v>
      </c>
      <c r="D945" s="1">
        <v>44945</v>
      </c>
      <c r="E945" s="13">
        <v>44963</v>
      </c>
      <c r="F945" s="14" t="s">
        <v>14</v>
      </c>
      <c r="G945">
        <v>230</v>
      </c>
      <c r="H945">
        <v>11867.75</v>
      </c>
      <c r="I945">
        <v>11669.78</v>
      </c>
      <c r="J945">
        <v>0</v>
      </c>
      <c r="K945" s="14" t="s">
        <v>15</v>
      </c>
      <c r="L945" s="14">
        <f>IF(OR(Table1[[#This Row],[Order_Status]]="Delivered",Table1[[#This Row],[Delivery_Date]]&lt;&gt;"Not Yet Delivered"),Table1[[#This Row],[Delivery_Date]]-Table1[[#This Row],[Order_Date]],"Not Applicable")</f>
        <v>18</v>
      </c>
      <c r="M945" s="14">
        <f>Table1[[#This Row],[Unit_Cost]]-Table1[[#This Row],[Negotiated_Cost]]</f>
        <v>197.96999999999935</v>
      </c>
      <c r="N945" s="18">
        <f>Table1[[#This Row],[Defective_Units]]/Table1[[#This Row],[Quantity]]</f>
        <v>0</v>
      </c>
      <c r="O945" s="26">
        <f>(Table1[[#This Row],[Unit_Cost]]-Table1[[#This Row],[Negotiated_Cost]])/Table1[[#This Row],[Unit_Cost]]</f>
        <v>1.6681342293189471E-2</v>
      </c>
    </row>
    <row r="946" spans="1:15" x14ac:dyDescent="0.25">
      <c r="A946" t="s">
        <v>981</v>
      </c>
      <c r="B946" t="s">
        <v>46</v>
      </c>
      <c r="C946" s="14" t="s">
        <v>24</v>
      </c>
      <c r="D946" s="1">
        <v>45369</v>
      </c>
      <c r="E946" s="13">
        <v>45378</v>
      </c>
      <c r="F946" s="14" t="s">
        <v>14</v>
      </c>
      <c r="G946">
        <v>325</v>
      </c>
      <c r="H946">
        <v>12844.31</v>
      </c>
      <c r="I946">
        <v>12692.15</v>
      </c>
      <c r="J946">
        <v>7</v>
      </c>
      <c r="K946" s="14" t="s">
        <v>25</v>
      </c>
      <c r="L946" s="14">
        <f>IF(OR(Table1[[#This Row],[Order_Status]]="Delivered",Table1[[#This Row],[Delivery_Date]]&lt;&gt;"Not Yet Delivered"),Table1[[#This Row],[Delivery_Date]]-Table1[[#This Row],[Order_Date]],"Not Applicable")</f>
        <v>9</v>
      </c>
      <c r="M946" s="14">
        <f>Table1[[#This Row],[Unit_Cost]]-Table1[[#This Row],[Negotiated_Cost]]</f>
        <v>152.15999999999985</v>
      </c>
      <c r="N946" s="18">
        <f>Table1[[#This Row],[Defective_Units]]/Table1[[#This Row],[Quantity]]</f>
        <v>2.1538461538461538E-2</v>
      </c>
      <c r="O946" s="26">
        <f>(Table1[[#This Row],[Unit_Cost]]-Table1[[#This Row],[Negotiated_Cost]])/Table1[[#This Row],[Unit_Cost]]</f>
        <v>1.184649078074259E-2</v>
      </c>
    </row>
    <row r="947" spans="1:15" x14ac:dyDescent="0.25">
      <c r="A947" t="s">
        <v>982</v>
      </c>
      <c r="B947" t="s">
        <v>17</v>
      </c>
      <c r="C947" s="14" t="s">
        <v>50</v>
      </c>
      <c r="D947" s="1">
        <v>45417</v>
      </c>
      <c r="E947" s="13">
        <v>45443</v>
      </c>
      <c r="F947" s="14" t="s">
        <v>14</v>
      </c>
      <c r="G947">
        <v>345</v>
      </c>
      <c r="H947">
        <v>46278.03</v>
      </c>
      <c r="I947">
        <v>45912.33</v>
      </c>
      <c r="J947">
        <v>1</v>
      </c>
      <c r="K947" s="14" t="s">
        <v>25</v>
      </c>
      <c r="L947" s="14">
        <f>IF(OR(Table1[[#This Row],[Order_Status]]="Delivered",Table1[[#This Row],[Delivery_Date]]&lt;&gt;"Not Yet Delivered"),Table1[[#This Row],[Delivery_Date]]-Table1[[#This Row],[Order_Date]],"Not Applicable")</f>
        <v>26</v>
      </c>
      <c r="M947" s="14">
        <f>Table1[[#This Row],[Unit_Cost]]-Table1[[#This Row],[Negotiated_Cost]]</f>
        <v>365.69999999999709</v>
      </c>
      <c r="N947" s="18">
        <f>Table1[[#This Row],[Defective_Units]]/Table1[[#This Row],[Quantity]]</f>
        <v>2.8985507246376812E-3</v>
      </c>
      <c r="O947" s="26">
        <f>(Table1[[#This Row],[Unit_Cost]]-Table1[[#This Row],[Negotiated_Cost]])/Table1[[#This Row],[Unit_Cost]]</f>
        <v>7.9022378437456631E-3</v>
      </c>
    </row>
    <row r="948" spans="1:15" x14ac:dyDescent="0.25">
      <c r="A948" t="s">
        <v>983</v>
      </c>
      <c r="B948" t="s">
        <v>40</v>
      </c>
      <c r="C948" s="14" t="s">
        <v>18</v>
      </c>
      <c r="D948" s="1">
        <v>45455</v>
      </c>
      <c r="E948" s="13">
        <v>45484</v>
      </c>
      <c r="F948" s="14" t="s">
        <v>14</v>
      </c>
      <c r="G948">
        <v>257</v>
      </c>
      <c r="H948">
        <v>5504.68</v>
      </c>
      <c r="I948">
        <v>5283.49</v>
      </c>
      <c r="J948">
        <v>2</v>
      </c>
      <c r="K948" s="14" t="s">
        <v>15</v>
      </c>
      <c r="L948" s="14">
        <f>IF(OR(Table1[[#This Row],[Order_Status]]="Delivered",Table1[[#This Row],[Delivery_Date]]&lt;&gt;"Not Yet Delivered"),Table1[[#This Row],[Delivery_Date]]-Table1[[#This Row],[Order_Date]],"Not Applicable")</f>
        <v>29</v>
      </c>
      <c r="M948" s="14">
        <f>Table1[[#This Row],[Unit_Cost]]-Table1[[#This Row],[Negotiated_Cost]]</f>
        <v>221.19000000000051</v>
      </c>
      <c r="N948" s="18">
        <f>Table1[[#This Row],[Defective_Units]]/Table1[[#This Row],[Quantity]]</f>
        <v>7.7821011673151752E-3</v>
      </c>
      <c r="O948" s="26">
        <f>(Table1[[#This Row],[Unit_Cost]]-Table1[[#This Row],[Negotiated_Cost]])/Table1[[#This Row],[Unit_Cost]]</f>
        <v>4.0182172260694628E-2</v>
      </c>
    </row>
    <row r="949" spans="1:15" x14ac:dyDescent="0.25">
      <c r="A949" t="s">
        <v>984</v>
      </c>
      <c r="B949" t="s">
        <v>35</v>
      </c>
      <c r="C949" s="14" t="s">
        <v>55</v>
      </c>
      <c r="D949" s="1">
        <v>45638</v>
      </c>
      <c r="E949" s="13">
        <v>45655</v>
      </c>
      <c r="F949" s="14" t="s">
        <v>14</v>
      </c>
      <c r="G949">
        <v>220</v>
      </c>
      <c r="H949">
        <v>14643.38</v>
      </c>
      <c r="I949">
        <v>14370.13</v>
      </c>
      <c r="J949">
        <v>1</v>
      </c>
      <c r="K949" s="14" t="s">
        <v>25</v>
      </c>
      <c r="L949" s="14">
        <f>IF(OR(Table1[[#This Row],[Order_Status]]="Delivered",Table1[[#This Row],[Delivery_Date]]&lt;&gt;"Not Yet Delivered"),Table1[[#This Row],[Delivery_Date]]-Table1[[#This Row],[Order_Date]],"Not Applicable")</f>
        <v>17</v>
      </c>
      <c r="M949" s="14">
        <f>Table1[[#This Row],[Unit_Cost]]-Table1[[#This Row],[Negotiated_Cost]]</f>
        <v>273.25</v>
      </c>
      <c r="N949" s="18">
        <f>Table1[[#This Row],[Defective_Units]]/Table1[[#This Row],[Quantity]]</f>
        <v>4.5454545454545452E-3</v>
      </c>
      <c r="O949" s="26">
        <f>(Table1[[#This Row],[Unit_Cost]]-Table1[[#This Row],[Negotiated_Cost]])/Table1[[#This Row],[Unit_Cost]]</f>
        <v>1.8660309300175235E-2</v>
      </c>
    </row>
    <row r="950" spans="1:15" x14ac:dyDescent="0.25">
      <c r="A950" t="s">
        <v>985</v>
      </c>
      <c r="B950" t="s">
        <v>46</v>
      </c>
      <c r="C950" s="14" t="s">
        <v>44</v>
      </c>
      <c r="D950" s="1">
        <v>45272</v>
      </c>
      <c r="E950" s="13">
        <v>45298</v>
      </c>
      <c r="F950" s="14" t="s">
        <v>14</v>
      </c>
      <c r="G950">
        <v>370</v>
      </c>
      <c r="H950">
        <v>8349.6</v>
      </c>
      <c r="I950">
        <v>8322.9699999999993</v>
      </c>
      <c r="J950">
        <v>0</v>
      </c>
      <c r="K950" s="14" t="s">
        <v>15</v>
      </c>
      <c r="L950" s="14">
        <f>IF(OR(Table1[[#This Row],[Order_Status]]="Delivered",Table1[[#This Row],[Delivery_Date]]&lt;&gt;"Not Yet Delivered"),Table1[[#This Row],[Delivery_Date]]-Table1[[#This Row],[Order_Date]],"Not Applicable")</f>
        <v>26</v>
      </c>
      <c r="M950" s="14">
        <f>Table1[[#This Row],[Unit_Cost]]-Table1[[#This Row],[Negotiated_Cost]]</f>
        <v>26.630000000001019</v>
      </c>
      <c r="N950" s="18">
        <f>Table1[[#This Row],[Defective_Units]]/Table1[[#This Row],[Quantity]]</f>
        <v>0</v>
      </c>
      <c r="O950" s="26">
        <f>(Table1[[#This Row],[Unit_Cost]]-Table1[[#This Row],[Negotiated_Cost]])/Table1[[#This Row],[Unit_Cost]]</f>
        <v>3.1893743412859318E-3</v>
      </c>
    </row>
    <row r="951" spans="1:15" x14ac:dyDescent="0.25">
      <c r="A951" t="s">
        <v>986</v>
      </c>
      <c r="B951" t="s">
        <v>46</v>
      </c>
      <c r="C951" s="14" t="s">
        <v>36</v>
      </c>
      <c r="D951" s="1">
        <v>45178</v>
      </c>
      <c r="E951" s="13">
        <v>45195</v>
      </c>
      <c r="F951" s="14" t="s">
        <v>14</v>
      </c>
      <c r="G951">
        <v>16</v>
      </c>
      <c r="H951">
        <v>536.62</v>
      </c>
      <c r="I951">
        <v>520.73</v>
      </c>
      <c r="J951">
        <v>0</v>
      </c>
      <c r="K951" s="14" t="s">
        <v>15</v>
      </c>
      <c r="L951" s="14">
        <f>IF(OR(Table1[[#This Row],[Order_Status]]="Delivered",Table1[[#This Row],[Delivery_Date]]&lt;&gt;"Not Yet Delivered"),Table1[[#This Row],[Delivery_Date]]-Table1[[#This Row],[Order_Date]],"Not Applicable")</f>
        <v>17</v>
      </c>
      <c r="M951" s="14">
        <f>Table1[[#This Row],[Unit_Cost]]-Table1[[#This Row],[Negotiated_Cost]]</f>
        <v>15.889999999999986</v>
      </c>
      <c r="N951" s="18">
        <f>Table1[[#This Row],[Defective_Units]]/Table1[[#This Row],[Quantity]]</f>
        <v>0</v>
      </c>
      <c r="O951" s="26">
        <f>(Table1[[#This Row],[Unit_Cost]]-Table1[[#This Row],[Negotiated_Cost]])/Table1[[#This Row],[Unit_Cost]]</f>
        <v>2.961127054526478E-2</v>
      </c>
    </row>
    <row r="952" spans="1:15" x14ac:dyDescent="0.25">
      <c r="A952" t="s">
        <v>987</v>
      </c>
      <c r="B952" t="s">
        <v>27</v>
      </c>
      <c r="C952" s="14" t="s">
        <v>55</v>
      </c>
      <c r="D952" s="1">
        <v>45291</v>
      </c>
      <c r="E952" s="13">
        <v>45317</v>
      </c>
      <c r="F952" s="14" t="s">
        <v>14</v>
      </c>
      <c r="G952">
        <v>39</v>
      </c>
      <c r="H952">
        <v>14509.34</v>
      </c>
      <c r="I952">
        <v>13785.26</v>
      </c>
      <c r="J952">
        <v>0</v>
      </c>
      <c r="K952" s="14" t="s">
        <v>15</v>
      </c>
      <c r="L952" s="14">
        <f>IF(OR(Table1[[#This Row],[Order_Status]]="Delivered",Table1[[#This Row],[Delivery_Date]]&lt;&gt;"Not Yet Delivered"),Table1[[#This Row],[Delivery_Date]]-Table1[[#This Row],[Order_Date]],"Not Applicable")</f>
        <v>26</v>
      </c>
      <c r="M952" s="14">
        <f>Table1[[#This Row],[Unit_Cost]]-Table1[[#This Row],[Negotiated_Cost]]</f>
        <v>724.07999999999993</v>
      </c>
      <c r="N952" s="18">
        <f>Table1[[#This Row],[Defective_Units]]/Table1[[#This Row],[Quantity]]</f>
        <v>0</v>
      </c>
      <c r="O952" s="26">
        <f>(Table1[[#This Row],[Unit_Cost]]-Table1[[#This Row],[Negotiated_Cost]])/Table1[[#This Row],[Unit_Cost]]</f>
        <v>4.9904406403047961E-2</v>
      </c>
    </row>
    <row r="953" spans="1:15" x14ac:dyDescent="0.25">
      <c r="A953" t="s">
        <v>988</v>
      </c>
      <c r="B953" t="s">
        <v>46</v>
      </c>
      <c r="C953" s="14" t="s">
        <v>18</v>
      </c>
      <c r="D953" s="1">
        <v>45509</v>
      </c>
      <c r="E953" s="13">
        <v>45531</v>
      </c>
      <c r="F953" s="14" t="s">
        <v>14</v>
      </c>
      <c r="G953">
        <v>125</v>
      </c>
      <c r="H953">
        <v>5039.43</v>
      </c>
      <c r="I953">
        <v>4770.6400000000003</v>
      </c>
      <c r="J953">
        <v>2</v>
      </c>
      <c r="K953" s="14" t="s">
        <v>15</v>
      </c>
      <c r="L953" s="14">
        <f>IF(OR(Table1[[#This Row],[Order_Status]]="Delivered",Table1[[#This Row],[Delivery_Date]]&lt;&gt;"Not Yet Delivered"),Table1[[#This Row],[Delivery_Date]]-Table1[[#This Row],[Order_Date]],"Not Applicable")</f>
        <v>22</v>
      </c>
      <c r="M953" s="14">
        <f>Table1[[#This Row],[Unit_Cost]]-Table1[[#This Row],[Negotiated_Cost]]</f>
        <v>268.78999999999996</v>
      </c>
      <c r="N953" s="18">
        <f>Table1[[#This Row],[Defective_Units]]/Table1[[#This Row],[Quantity]]</f>
        <v>1.6E-2</v>
      </c>
      <c r="O953" s="26">
        <f>(Table1[[#This Row],[Unit_Cost]]-Table1[[#This Row],[Negotiated_Cost]])/Table1[[#This Row],[Unit_Cost]]</f>
        <v>5.3337381410199163E-2</v>
      </c>
    </row>
    <row r="954" spans="1:15" x14ac:dyDescent="0.25">
      <c r="A954" t="s">
        <v>989</v>
      </c>
      <c r="B954" t="s">
        <v>27</v>
      </c>
      <c r="C954" s="14" t="s">
        <v>50</v>
      </c>
      <c r="D954" s="1">
        <v>45552</v>
      </c>
      <c r="E954" s="13">
        <v>45575</v>
      </c>
      <c r="F954" s="14" t="s">
        <v>14</v>
      </c>
      <c r="G954">
        <v>188</v>
      </c>
      <c r="H954">
        <v>50013.07</v>
      </c>
      <c r="I954">
        <v>48247.85</v>
      </c>
      <c r="J954">
        <v>2</v>
      </c>
      <c r="K954" s="14" t="s">
        <v>15</v>
      </c>
      <c r="L954" s="14">
        <f>IF(OR(Table1[[#This Row],[Order_Status]]="Delivered",Table1[[#This Row],[Delivery_Date]]&lt;&gt;"Not Yet Delivered"),Table1[[#This Row],[Delivery_Date]]-Table1[[#This Row],[Order_Date]],"Not Applicable")</f>
        <v>23</v>
      </c>
      <c r="M954" s="14">
        <f>Table1[[#This Row],[Unit_Cost]]-Table1[[#This Row],[Negotiated_Cost]]</f>
        <v>1765.2200000000012</v>
      </c>
      <c r="N954" s="18">
        <f>Table1[[#This Row],[Defective_Units]]/Table1[[#This Row],[Quantity]]</f>
        <v>1.0638297872340425E-2</v>
      </c>
      <c r="O954" s="26">
        <f>(Table1[[#This Row],[Unit_Cost]]-Table1[[#This Row],[Negotiated_Cost]])/Table1[[#This Row],[Unit_Cost]]</f>
        <v>3.5295173841557843E-2</v>
      </c>
    </row>
    <row r="955" spans="1:15" x14ac:dyDescent="0.25">
      <c r="A955" t="s">
        <v>990</v>
      </c>
      <c r="B955" t="s">
        <v>12</v>
      </c>
      <c r="C955" s="14" t="s">
        <v>24</v>
      </c>
      <c r="D955" s="1">
        <v>45338</v>
      </c>
      <c r="E955" s="14" t="s">
        <v>2057</v>
      </c>
      <c r="F955" s="14" t="s">
        <v>22</v>
      </c>
      <c r="G955">
        <v>226</v>
      </c>
      <c r="H955">
        <v>12354.31</v>
      </c>
      <c r="I955">
        <v>12074.66</v>
      </c>
      <c r="J955">
        <v>2</v>
      </c>
      <c r="K955" s="14" t="s">
        <v>15</v>
      </c>
      <c r="L955" s="14" t="str">
        <f>IF(OR(Table1[[#This Row],[Order_Status]]="Delivered",Table1[[#This Row],[Delivery_Date]]&lt;&gt;"Not Yet Delivered"),Table1[[#This Row],[Delivery_Date]]-Table1[[#This Row],[Order_Date]],"Not Applicable")</f>
        <v>Not Applicable</v>
      </c>
      <c r="M955" s="14">
        <f>Table1[[#This Row],[Unit_Cost]]-Table1[[#This Row],[Negotiated_Cost]]</f>
        <v>279.64999999999964</v>
      </c>
      <c r="N955" s="18">
        <f>Table1[[#This Row],[Defective_Units]]/Table1[[#This Row],[Quantity]]</f>
        <v>8.8495575221238937E-3</v>
      </c>
      <c r="O955" s="26">
        <f>(Table1[[#This Row],[Unit_Cost]]-Table1[[#This Row],[Negotiated_Cost]])/Table1[[#This Row],[Unit_Cost]]</f>
        <v>2.2635825068336446E-2</v>
      </c>
    </row>
    <row r="956" spans="1:15" x14ac:dyDescent="0.25">
      <c r="A956" t="s">
        <v>991</v>
      </c>
      <c r="B956" t="s">
        <v>35</v>
      </c>
      <c r="C956" s="14" t="s">
        <v>50</v>
      </c>
      <c r="D956" s="1">
        <v>45573</v>
      </c>
      <c r="E956" s="13">
        <v>45601</v>
      </c>
      <c r="F956" s="14" t="s">
        <v>37</v>
      </c>
      <c r="G956">
        <v>317</v>
      </c>
      <c r="H956">
        <v>50924.57</v>
      </c>
      <c r="I956">
        <v>48511.28</v>
      </c>
      <c r="J956">
        <v>1</v>
      </c>
      <c r="K956" s="14" t="s">
        <v>15</v>
      </c>
      <c r="L956" s="14">
        <f>IF(OR(Table1[[#This Row],[Order_Status]]="Delivered",Table1[[#This Row],[Delivery_Date]]&lt;&gt;"Not Yet Delivered"),Table1[[#This Row],[Delivery_Date]]-Table1[[#This Row],[Order_Date]],"Not Applicable")</f>
        <v>28</v>
      </c>
      <c r="M956" s="14">
        <f>Table1[[#This Row],[Unit_Cost]]-Table1[[#This Row],[Negotiated_Cost]]</f>
        <v>2413.2900000000009</v>
      </c>
      <c r="N956" s="18">
        <f>Table1[[#This Row],[Defective_Units]]/Table1[[#This Row],[Quantity]]</f>
        <v>3.1545741324921135E-3</v>
      </c>
      <c r="O956" s="26">
        <f>(Table1[[#This Row],[Unit_Cost]]-Table1[[#This Row],[Negotiated_Cost]])/Table1[[#This Row],[Unit_Cost]]</f>
        <v>4.7389501767025249E-2</v>
      </c>
    </row>
    <row r="957" spans="1:15" x14ac:dyDescent="0.25">
      <c r="A957" t="s">
        <v>992</v>
      </c>
      <c r="B957" t="s">
        <v>12</v>
      </c>
      <c r="C957" s="14" t="s">
        <v>13</v>
      </c>
      <c r="D957" s="1">
        <v>45283</v>
      </c>
      <c r="E957" s="13">
        <v>45310</v>
      </c>
      <c r="F957" s="14" t="s">
        <v>14</v>
      </c>
      <c r="G957">
        <v>308</v>
      </c>
      <c r="H957">
        <v>4577.05</v>
      </c>
      <c r="I957">
        <v>4319.6499999999996</v>
      </c>
      <c r="J957">
        <v>1</v>
      </c>
      <c r="K957" s="14" t="s">
        <v>15</v>
      </c>
      <c r="L957" s="14">
        <f>IF(OR(Table1[[#This Row],[Order_Status]]="Delivered",Table1[[#This Row],[Delivery_Date]]&lt;&gt;"Not Yet Delivered"),Table1[[#This Row],[Delivery_Date]]-Table1[[#This Row],[Order_Date]],"Not Applicable")</f>
        <v>27</v>
      </c>
      <c r="M957" s="14">
        <f>Table1[[#This Row],[Unit_Cost]]-Table1[[#This Row],[Negotiated_Cost]]</f>
        <v>257.40000000000055</v>
      </c>
      <c r="N957" s="18">
        <f>Table1[[#This Row],[Defective_Units]]/Table1[[#This Row],[Quantity]]</f>
        <v>3.246753246753247E-3</v>
      </c>
      <c r="O957" s="26">
        <f>(Table1[[#This Row],[Unit_Cost]]-Table1[[#This Row],[Negotiated_Cost]])/Table1[[#This Row],[Unit_Cost]]</f>
        <v>5.6237095946078924E-2</v>
      </c>
    </row>
    <row r="958" spans="1:15" x14ac:dyDescent="0.25">
      <c r="A958" t="s">
        <v>993</v>
      </c>
      <c r="B958" t="s">
        <v>17</v>
      </c>
      <c r="C958" s="14" t="s">
        <v>44</v>
      </c>
      <c r="D958" s="1">
        <v>45110</v>
      </c>
      <c r="E958" s="13">
        <v>45113</v>
      </c>
      <c r="F958" s="14" t="s">
        <v>14</v>
      </c>
      <c r="G958">
        <v>99</v>
      </c>
      <c r="H958">
        <v>7645.9</v>
      </c>
      <c r="I958">
        <v>7466.43</v>
      </c>
      <c r="J958">
        <v>4</v>
      </c>
      <c r="K958" s="14" t="s">
        <v>15</v>
      </c>
      <c r="L958" s="14">
        <f>IF(OR(Table1[[#This Row],[Order_Status]]="Delivered",Table1[[#This Row],[Delivery_Date]]&lt;&gt;"Not Yet Delivered"),Table1[[#This Row],[Delivery_Date]]-Table1[[#This Row],[Order_Date]],"Not Applicable")</f>
        <v>3</v>
      </c>
      <c r="M958" s="14">
        <f>Table1[[#This Row],[Unit_Cost]]-Table1[[#This Row],[Negotiated_Cost]]</f>
        <v>179.46999999999935</v>
      </c>
      <c r="N958" s="18">
        <f>Table1[[#This Row],[Defective_Units]]/Table1[[#This Row],[Quantity]]</f>
        <v>4.0404040404040407E-2</v>
      </c>
      <c r="O958" s="26">
        <f>(Table1[[#This Row],[Unit_Cost]]-Table1[[#This Row],[Negotiated_Cost]])/Table1[[#This Row],[Unit_Cost]]</f>
        <v>2.3472710864646328E-2</v>
      </c>
    </row>
    <row r="959" spans="1:15" x14ac:dyDescent="0.25">
      <c r="A959" t="s">
        <v>994</v>
      </c>
      <c r="B959" t="s">
        <v>17</v>
      </c>
      <c r="C959" s="14" t="s">
        <v>28</v>
      </c>
      <c r="D959" s="1">
        <v>45065</v>
      </c>
      <c r="E959" s="14" t="s">
        <v>2057</v>
      </c>
      <c r="F959" s="14" t="s">
        <v>33</v>
      </c>
      <c r="G959">
        <v>129</v>
      </c>
      <c r="H959">
        <v>44802.04</v>
      </c>
      <c r="I959">
        <v>42162.19</v>
      </c>
      <c r="J959">
        <v>2</v>
      </c>
      <c r="K959" s="14" t="s">
        <v>15</v>
      </c>
      <c r="L959" s="14" t="str">
        <f>IF(OR(Table1[[#This Row],[Order_Status]]="Delivered",Table1[[#This Row],[Delivery_Date]]&lt;&gt;"Not Yet Delivered"),Table1[[#This Row],[Delivery_Date]]-Table1[[#This Row],[Order_Date]],"Not Applicable")</f>
        <v>Not Applicable</v>
      </c>
      <c r="M959" s="14">
        <f>Table1[[#This Row],[Unit_Cost]]-Table1[[#This Row],[Negotiated_Cost]]</f>
        <v>2639.8499999999985</v>
      </c>
      <c r="N959" s="18">
        <f>Table1[[#This Row],[Defective_Units]]/Table1[[#This Row],[Quantity]]</f>
        <v>1.5503875968992248E-2</v>
      </c>
      <c r="O959" s="26">
        <f>(Table1[[#This Row],[Unit_Cost]]-Table1[[#This Row],[Negotiated_Cost]])/Table1[[#This Row],[Unit_Cost]]</f>
        <v>5.8922540134333137E-2</v>
      </c>
    </row>
    <row r="960" spans="1:15" x14ac:dyDescent="0.25">
      <c r="A960" t="s">
        <v>995</v>
      </c>
      <c r="B960" t="s">
        <v>27</v>
      </c>
      <c r="C960" s="14" t="s">
        <v>30</v>
      </c>
      <c r="D960" s="1">
        <v>45602</v>
      </c>
      <c r="E960" s="14" t="s">
        <v>2057</v>
      </c>
      <c r="F960" s="14" t="s">
        <v>33</v>
      </c>
      <c r="G960">
        <v>96</v>
      </c>
      <c r="H960">
        <v>873.2</v>
      </c>
      <c r="I960">
        <v>848.1</v>
      </c>
      <c r="J960">
        <v>2</v>
      </c>
      <c r="K960" s="14" t="s">
        <v>15</v>
      </c>
      <c r="L960" s="14" t="str">
        <f>IF(OR(Table1[[#This Row],[Order_Status]]="Delivered",Table1[[#This Row],[Delivery_Date]]&lt;&gt;"Not Yet Delivered"),Table1[[#This Row],[Delivery_Date]]-Table1[[#This Row],[Order_Date]],"Not Applicable")</f>
        <v>Not Applicable</v>
      </c>
      <c r="M960" s="14">
        <f>Table1[[#This Row],[Unit_Cost]]-Table1[[#This Row],[Negotiated_Cost]]</f>
        <v>25.100000000000023</v>
      </c>
      <c r="N960" s="18">
        <f>Table1[[#This Row],[Defective_Units]]/Table1[[#This Row],[Quantity]]</f>
        <v>2.0833333333333332E-2</v>
      </c>
      <c r="O960" s="26">
        <f>(Table1[[#This Row],[Unit_Cost]]-Table1[[#This Row],[Negotiated_Cost]])/Table1[[#This Row],[Unit_Cost]]</f>
        <v>2.8744846541456735E-2</v>
      </c>
    </row>
    <row r="961" spans="1:15" x14ac:dyDescent="0.25">
      <c r="A961" t="s">
        <v>996</v>
      </c>
      <c r="B961" t="s">
        <v>32</v>
      </c>
      <c r="C961" s="14" t="s">
        <v>18</v>
      </c>
      <c r="D961" s="1">
        <v>45104</v>
      </c>
      <c r="E961" s="13">
        <v>45127</v>
      </c>
      <c r="F961" s="14" t="s">
        <v>14</v>
      </c>
      <c r="G961">
        <v>301</v>
      </c>
      <c r="H961">
        <v>4508.6000000000004</v>
      </c>
      <c r="I961">
        <v>4367.7700000000004</v>
      </c>
      <c r="J961">
        <v>0</v>
      </c>
      <c r="K961" s="14" t="s">
        <v>15</v>
      </c>
      <c r="L961" s="14">
        <f>IF(OR(Table1[[#This Row],[Order_Status]]="Delivered",Table1[[#This Row],[Delivery_Date]]&lt;&gt;"Not Yet Delivered"),Table1[[#This Row],[Delivery_Date]]-Table1[[#This Row],[Order_Date]],"Not Applicable")</f>
        <v>23</v>
      </c>
      <c r="M961" s="14">
        <f>Table1[[#This Row],[Unit_Cost]]-Table1[[#This Row],[Negotiated_Cost]]</f>
        <v>140.82999999999993</v>
      </c>
      <c r="N961" s="18">
        <f>Table1[[#This Row],[Defective_Units]]/Table1[[#This Row],[Quantity]]</f>
        <v>0</v>
      </c>
      <c r="O961" s="26">
        <f>(Table1[[#This Row],[Unit_Cost]]-Table1[[#This Row],[Negotiated_Cost]])/Table1[[#This Row],[Unit_Cost]]</f>
        <v>3.1235860355764519E-2</v>
      </c>
    </row>
    <row r="962" spans="1:15" x14ac:dyDescent="0.25">
      <c r="A962" t="s">
        <v>997</v>
      </c>
      <c r="B962" t="s">
        <v>35</v>
      </c>
      <c r="C962" s="14" t="s">
        <v>24</v>
      </c>
      <c r="D962" s="1">
        <v>45341</v>
      </c>
      <c r="E962" s="13">
        <v>45360</v>
      </c>
      <c r="F962" s="14" t="s">
        <v>14</v>
      </c>
      <c r="G962">
        <v>119</v>
      </c>
      <c r="H962">
        <v>12512.81</v>
      </c>
      <c r="I962">
        <v>12119.97</v>
      </c>
      <c r="J962">
        <v>5</v>
      </c>
      <c r="K962" s="14" t="s">
        <v>15</v>
      </c>
      <c r="L962" s="14">
        <f>IF(OR(Table1[[#This Row],[Order_Status]]="Delivered",Table1[[#This Row],[Delivery_Date]]&lt;&gt;"Not Yet Delivered"),Table1[[#This Row],[Delivery_Date]]-Table1[[#This Row],[Order_Date]],"Not Applicable")</f>
        <v>19</v>
      </c>
      <c r="M962" s="14">
        <f>Table1[[#This Row],[Unit_Cost]]-Table1[[#This Row],[Negotiated_Cost]]</f>
        <v>392.84000000000015</v>
      </c>
      <c r="N962" s="18">
        <f>Table1[[#This Row],[Defective_Units]]/Table1[[#This Row],[Quantity]]</f>
        <v>4.2016806722689079E-2</v>
      </c>
      <c r="O962" s="26">
        <f>(Table1[[#This Row],[Unit_Cost]]-Table1[[#This Row],[Negotiated_Cost]])/Table1[[#This Row],[Unit_Cost]]</f>
        <v>3.1395026376968893E-2</v>
      </c>
    </row>
    <row r="963" spans="1:15" x14ac:dyDescent="0.25">
      <c r="A963" t="s">
        <v>998</v>
      </c>
      <c r="B963" t="s">
        <v>40</v>
      </c>
      <c r="C963" s="14" t="s">
        <v>24</v>
      </c>
      <c r="D963" s="1">
        <v>45527</v>
      </c>
      <c r="E963" s="13">
        <v>45548</v>
      </c>
      <c r="F963" s="14" t="s">
        <v>14</v>
      </c>
      <c r="G963">
        <v>479</v>
      </c>
      <c r="H963">
        <v>12968.44</v>
      </c>
      <c r="I963">
        <v>12236.42</v>
      </c>
      <c r="J963">
        <v>5</v>
      </c>
      <c r="K963" s="14" t="s">
        <v>15</v>
      </c>
      <c r="L963" s="14">
        <f>IF(OR(Table1[[#This Row],[Order_Status]]="Delivered",Table1[[#This Row],[Delivery_Date]]&lt;&gt;"Not Yet Delivered"),Table1[[#This Row],[Delivery_Date]]-Table1[[#This Row],[Order_Date]],"Not Applicable")</f>
        <v>21</v>
      </c>
      <c r="M963" s="14">
        <f>Table1[[#This Row],[Unit_Cost]]-Table1[[#This Row],[Negotiated_Cost]]</f>
        <v>732.02000000000044</v>
      </c>
      <c r="N963" s="18">
        <f>Table1[[#This Row],[Defective_Units]]/Table1[[#This Row],[Quantity]]</f>
        <v>1.0438413361169102E-2</v>
      </c>
      <c r="O963" s="26">
        <f>(Table1[[#This Row],[Unit_Cost]]-Table1[[#This Row],[Negotiated_Cost]])/Table1[[#This Row],[Unit_Cost]]</f>
        <v>5.6446264932405163E-2</v>
      </c>
    </row>
    <row r="964" spans="1:15" x14ac:dyDescent="0.25">
      <c r="A964" t="s">
        <v>999</v>
      </c>
      <c r="B964" t="s">
        <v>17</v>
      </c>
      <c r="C964" s="14" t="s">
        <v>36</v>
      </c>
      <c r="D964" s="1">
        <v>45363</v>
      </c>
      <c r="E964" s="13">
        <v>45372</v>
      </c>
      <c r="F964" s="14" t="s">
        <v>14</v>
      </c>
      <c r="G964">
        <v>340</v>
      </c>
      <c r="H964">
        <v>529.66999999999996</v>
      </c>
      <c r="I964">
        <v>515.64</v>
      </c>
      <c r="J964">
        <v>6</v>
      </c>
      <c r="K964" s="14" t="s">
        <v>15</v>
      </c>
      <c r="L964" s="14">
        <f>IF(OR(Table1[[#This Row],[Order_Status]]="Delivered",Table1[[#This Row],[Delivery_Date]]&lt;&gt;"Not Yet Delivered"),Table1[[#This Row],[Delivery_Date]]-Table1[[#This Row],[Order_Date]],"Not Applicable")</f>
        <v>9</v>
      </c>
      <c r="M964" s="14">
        <f>Table1[[#This Row],[Unit_Cost]]-Table1[[#This Row],[Negotiated_Cost]]</f>
        <v>14.029999999999973</v>
      </c>
      <c r="N964" s="18">
        <f>Table1[[#This Row],[Defective_Units]]/Table1[[#This Row],[Quantity]]</f>
        <v>1.7647058823529412E-2</v>
      </c>
      <c r="O964" s="26">
        <f>(Table1[[#This Row],[Unit_Cost]]-Table1[[#This Row],[Negotiated_Cost]])/Table1[[#This Row],[Unit_Cost]]</f>
        <v>2.6488190760284656E-2</v>
      </c>
    </row>
    <row r="965" spans="1:15" x14ac:dyDescent="0.25">
      <c r="A965" t="s">
        <v>1000</v>
      </c>
      <c r="B965" t="s">
        <v>27</v>
      </c>
      <c r="C965" s="14" t="s">
        <v>44</v>
      </c>
      <c r="D965" s="1">
        <v>45627</v>
      </c>
      <c r="E965" s="13">
        <v>45646</v>
      </c>
      <c r="F965" s="14" t="s">
        <v>14</v>
      </c>
      <c r="G965">
        <v>264</v>
      </c>
      <c r="H965">
        <v>9128.7800000000007</v>
      </c>
      <c r="I965">
        <v>8847.4500000000007</v>
      </c>
      <c r="J965">
        <v>1</v>
      </c>
      <c r="K965" s="14" t="s">
        <v>15</v>
      </c>
      <c r="L965" s="14">
        <f>IF(OR(Table1[[#This Row],[Order_Status]]="Delivered",Table1[[#This Row],[Delivery_Date]]&lt;&gt;"Not Yet Delivered"),Table1[[#This Row],[Delivery_Date]]-Table1[[#This Row],[Order_Date]],"Not Applicable")</f>
        <v>19</v>
      </c>
      <c r="M965" s="14">
        <f>Table1[[#This Row],[Unit_Cost]]-Table1[[#This Row],[Negotiated_Cost]]</f>
        <v>281.32999999999993</v>
      </c>
      <c r="N965" s="18">
        <f>Table1[[#This Row],[Defective_Units]]/Table1[[#This Row],[Quantity]]</f>
        <v>3.787878787878788E-3</v>
      </c>
      <c r="O965" s="26">
        <f>(Table1[[#This Row],[Unit_Cost]]-Table1[[#This Row],[Negotiated_Cost]])/Table1[[#This Row],[Unit_Cost]]</f>
        <v>3.081791871422029E-2</v>
      </c>
    </row>
    <row r="966" spans="1:15" x14ac:dyDescent="0.25">
      <c r="A966" t="s">
        <v>1001</v>
      </c>
      <c r="B966" t="s">
        <v>27</v>
      </c>
      <c r="C966" s="14" t="s">
        <v>13</v>
      </c>
      <c r="D966" s="1">
        <v>45299</v>
      </c>
      <c r="E966" s="14" t="s">
        <v>2057</v>
      </c>
      <c r="F966" s="14" t="s">
        <v>33</v>
      </c>
      <c r="G966">
        <v>421</v>
      </c>
      <c r="H966">
        <v>4414.0600000000004</v>
      </c>
      <c r="I966">
        <v>4364.05</v>
      </c>
      <c r="J966">
        <v>2</v>
      </c>
      <c r="K966" s="14" t="s">
        <v>15</v>
      </c>
      <c r="L966" s="14" t="str">
        <f>IF(OR(Table1[[#This Row],[Order_Status]]="Delivered",Table1[[#This Row],[Delivery_Date]]&lt;&gt;"Not Yet Delivered"),Table1[[#This Row],[Delivery_Date]]-Table1[[#This Row],[Order_Date]],"Not Applicable")</f>
        <v>Not Applicable</v>
      </c>
      <c r="M966" s="14">
        <f>Table1[[#This Row],[Unit_Cost]]-Table1[[#This Row],[Negotiated_Cost]]</f>
        <v>50.010000000000218</v>
      </c>
      <c r="N966" s="18">
        <f>Table1[[#This Row],[Defective_Units]]/Table1[[#This Row],[Quantity]]</f>
        <v>4.7505938242280287E-3</v>
      </c>
      <c r="O966" s="26">
        <f>(Table1[[#This Row],[Unit_Cost]]-Table1[[#This Row],[Negotiated_Cost]])/Table1[[#This Row],[Unit_Cost]]</f>
        <v>1.1329705531868668E-2</v>
      </c>
    </row>
    <row r="967" spans="1:15" x14ac:dyDescent="0.25">
      <c r="A967" t="s">
        <v>1002</v>
      </c>
      <c r="B967" t="s">
        <v>32</v>
      </c>
      <c r="C967" s="14" t="s">
        <v>36</v>
      </c>
      <c r="D967" s="1">
        <v>45198</v>
      </c>
      <c r="E967" s="13">
        <v>45216</v>
      </c>
      <c r="F967" s="14" t="s">
        <v>14</v>
      </c>
      <c r="G967">
        <v>175</v>
      </c>
      <c r="H967">
        <v>526.29</v>
      </c>
      <c r="I967">
        <v>510.18</v>
      </c>
      <c r="J967">
        <v>0</v>
      </c>
      <c r="K967" s="14" t="s">
        <v>15</v>
      </c>
      <c r="L967" s="14">
        <f>IF(OR(Table1[[#This Row],[Order_Status]]="Delivered",Table1[[#This Row],[Delivery_Date]]&lt;&gt;"Not Yet Delivered"),Table1[[#This Row],[Delivery_Date]]-Table1[[#This Row],[Order_Date]],"Not Applicable")</f>
        <v>18</v>
      </c>
      <c r="M967" s="14">
        <f>Table1[[#This Row],[Unit_Cost]]-Table1[[#This Row],[Negotiated_Cost]]</f>
        <v>16.109999999999957</v>
      </c>
      <c r="N967" s="18">
        <f>Table1[[#This Row],[Defective_Units]]/Table1[[#This Row],[Quantity]]</f>
        <v>0</v>
      </c>
      <c r="O967" s="26">
        <f>(Table1[[#This Row],[Unit_Cost]]-Table1[[#This Row],[Negotiated_Cost]])/Table1[[#This Row],[Unit_Cost]]</f>
        <v>3.0610499914495732E-2</v>
      </c>
    </row>
    <row r="968" spans="1:15" x14ac:dyDescent="0.25">
      <c r="A968" t="s">
        <v>1003</v>
      </c>
      <c r="B968" t="s">
        <v>17</v>
      </c>
      <c r="C968" s="14" t="s">
        <v>55</v>
      </c>
      <c r="D968" s="1">
        <v>45630</v>
      </c>
      <c r="E968" s="13">
        <v>45637</v>
      </c>
      <c r="F968" s="14" t="s">
        <v>14</v>
      </c>
      <c r="G968">
        <v>28</v>
      </c>
      <c r="H968">
        <v>13029.09</v>
      </c>
      <c r="I968">
        <v>12429.8</v>
      </c>
      <c r="J968">
        <v>0</v>
      </c>
      <c r="K968" s="14" t="s">
        <v>25</v>
      </c>
      <c r="L968" s="14">
        <f>IF(OR(Table1[[#This Row],[Order_Status]]="Delivered",Table1[[#This Row],[Delivery_Date]]&lt;&gt;"Not Yet Delivered"),Table1[[#This Row],[Delivery_Date]]-Table1[[#This Row],[Order_Date]],"Not Applicable")</f>
        <v>7</v>
      </c>
      <c r="M968" s="14">
        <f>Table1[[#This Row],[Unit_Cost]]-Table1[[#This Row],[Negotiated_Cost]]</f>
        <v>599.29000000000087</v>
      </c>
      <c r="N968" s="18">
        <f>Table1[[#This Row],[Defective_Units]]/Table1[[#This Row],[Quantity]]</f>
        <v>0</v>
      </c>
      <c r="O968" s="26">
        <f>(Table1[[#This Row],[Unit_Cost]]-Table1[[#This Row],[Negotiated_Cost]])/Table1[[#This Row],[Unit_Cost]]</f>
        <v>4.5996305190922841E-2</v>
      </c>
    </row>
    <row r="969" spans="1:15" x14ac:dyDescent="0.25">
      <c r="A969" t="s">
        <v>1004</v>
      </c>
      <c r="B969" t="s">
        <v>32</v>
      </c>
      <c r="C969" s="14" t="s">
        <v>50</v>
      </c>
      <c r="D969" s="1">
        <v>45509</v>
      </c>
      <c r="E969" s="13">
        <v>45535</v>
      </c>
      <c r="F969" s="14" t="s">
        <v>37</v>
      </c>
      <c r="G969">
        <v>218</v>
      </c>
      <c r="H969">
        <v>45330.45</v>
      </c>
      <c r="I969">
        <v>43905.42</v>
      </c>
      <c r="J969">
        <v>2</v>
      </c>
      <c r="K969" s="14" t="s">
        <v>15</v>
      </c>
      <c r="L969" s="14">
        <f>IF(OR(Table1[[#This Row],[Order_Status]]="Delivered",Table1[[#This Row],[Delivery_Date]]&lt;&gt;"Not Yet Delivered"),Table1[[#This Row],[Delivery_Date]]-Table1[[#This Row],[Order_Date]],"Not Applicable")</f>
        <v>26</v>
      </c>
      <c r="M969" s="14">
        <f>Table1[[#This Row],[Unit_Cost]]-Table1[[#This Row],[Negotiated_Cost]]</f>
        <v>1425.0299999999988</v>
      </c>
      <c r="N969" s="18">
        <f>Table1[[#This Row],[Defective_Units]]/Table1[[#This Row],[Quantity]]</f>
        <v>9.1743119266055051E-3</v>
      </c>
      <c r="O969" s="26">
        <f>(Table1[[#This Row],[Unit_Cost]]-Table1[[#This Row],[Negotiated_Cost]])/Table1[[#This Row],[Unit_Cost]]</f>
        <v>3.1436484747007783E-2</v>
      </c>
    </row>
    <row r="970" spans="1:15" x14ac:dyDescent="0.25">
      <c r="A970" t="s">
        <v>1005</v>
      </c>
      <c r="B970" t="s">
        <v>35</v>
      </c>
      <c r="C970" s="14" t="s">
        <v>42</v>
      </c>
      <c r="D970" s="1">
        <v>45153</v>
      </c>
      <c r="E970" s="13">
        <v>45167</v>
      </c>
      <c r="F970" s="14" t="s">
        <v>14</v>
      </c>
      <c r="G970">
        <v>427</v>
      </c>
      <c r="H970">
        <v>11889.75</v>
      </c>
      <c r="I970">
        <v>11543.71</v>
      </c>
      <c r="J970">
        <v>2</v>
      </c>
      <c r="K970" s="14" t="s">
        <v>15</v>
      </c>
      <c r="L970" s="14">
        <f>IF(OR(Table1[[#This Row],[Order_Status]]="Delivered",Table1[[#This Row],[Delivery_Date]]&lt;&gt;"Not Yet Delivered"),Table1[[#This Row],[Delivery_Date]]-Table1[[#This Row],[Order_Date]],"Not Applicable")</f>
        <v>14</v>
      </c>
      <c r="M970" s="14">
        <f>Table1[[#This Row],[Unit_Cost]]-Table1[[#This Row],[Negotiated_Cost]]</f>
        <v>346.04000000000087</v>
      </c>
      <c r="N970" s="18">
        <f>Table1[[#This Row],[Defective_Units]]/Table1[[#This Row],[Quantity]]</f>
        <v>4.6838407494145199E-3</v>
      </c>
      <c r="O970" s="26">
        <f>(Table1[[#This Row],[Unit_Cost]]-Table1[[#This Row],[Negotiated_Cost]])/Table1[[#This Row],[Unit_Cost]]</f>
        <v>2.9104060219937413E-2</v>
      </c>
    </row>
    <row r="971" spans="1:15" x14ac:dyDescent="0.25">
      <c r="A971" t="s">
        <v>1006</v>
      </c>
      <c r="B971" t="s">
        <v>12</v>
      </c>
      <c r="C971" s="14" t="s">
        <v>55</v>
      </c>
      <c r="D971" s="1">
        <v>45530</v>
      </c>
      <c r="E971" s="13">
        <v>45545</v>
      </c>
      <c r="F971" s="14" t="s">
        <v>14</v>
      </c>
      <c r="G971">
        <v>196</v>
      </c>
      <c r="H971">
        <v>14844.04</v>
      </c>
      <c r="I971">
        <v>14372.33</v>
      </c>
      <c r="J971">
        <v>2</v>
      </c>
      <c r="K971" s="14" t="s">
        <v>15</v>
      </c>
      <c r="L971" s="14">
        <f>IF(OR(Table1[[#This Row],[Order_Status]]="Delivered",Table1[[#This Row],[Delivery_Date]]&lt;&gt;"Not Yet Delivered"),Table1[[#This Row],[Delivery_Date]]-Table1[[#This Row],[Order_Date]],"Not Applicable")</f>
        <v>15</v>
      </c>
      <c r="M971" s="14">
        <f>Table1[[#This Row],[Unit_Cost]]-Table1[[#This Row],[Negotiated_Cost]]</f>
        <v>471.71000000000095</v>
      </c>
      <c r="N971" s="18">
        <f>Table1[[#This Row],[Defective_Units]]/Table1[[#This Row],[Quantity]]</f>
        <v>1.020408163265306E-2</v>
      </c>
      <c r="O971" s="26">
        <f>(Table1[[#This Row],[Unit_Cost]]-Table1[[#This Row],[Negotiated_Cost]])/Table1[[#This Row],[Unit_Cost]]</f>
        <v>3.1777737058105535E-2</v>
      </c>
    </row>
    <row r="972" spans="1:15" x14ac:dyDescent="0.25">
      <c r="A972" t="s">
        <v>1007</v>
      </c>
      <c r="B972" t="s">
        <v>35</v>
      </c>
      <c r="C972" s="14" t="s">
        <v>48</v>
      </c>
      <c r="D972" s="1">
        <v>45602</v>
      </c>
      <c r="E972" s="14" t="s">
        <v>2057</v>
      </c>
      <c r="F972" s="14" t="s">
        <v>22</v>
      </c>
      <c r="G972">
        <v>362</v>
      </c>
      <c r="H972">
        <v>6389.09</v>
      </c>
      <c r="I972">
        <v>6111.34</v>
      </c>
      <c r="J972">
        <v>2</v>
      </c>
      <c r="K972" s="14" t="s">
        <v>15</v>
      </c>
      <c r="L972" s="14" t="str">
        <f>IF(OR(Table1[[#This Row],[Order_Status]]="Delivered",Table1[[#This Row],[Delivery_Date]]&lt;&gt;"Not Yet Delivered"),Table1[[#This Row],[Delivery_Date]]-Table1[[#This Row],[Order_Date]],"Not Applicable")</f>
        <v>Not Applicable</v>
      </c>
      <c r="M972" s="14">
        <f>Table1[[#This Row],[Unit_Cost]]-Table1[[#This Row],[Negotiated_Cost]]</f>
        <v>277.75</v>
      </c>
      <c r="N972" s="18">
        <f>Table1[[#This Row],[Defective_Units]]/Table1[[#This Row],[Quantity]]</f>
        <v>5.5248618784530384E-3</v>
      </c>
      <c r="O972" s="26">
        <f>(Table1[[#This Row],[Unit_Cost]]-Table1[[#This Row],[Negotiated_Cost]])/Table1[[#This Row],[Unit_Cost]]</f>
        <v>4.3472544603378571E-2</v>
      </c>
    </row>
    <row r="973" spans="1:15" x14ac:dyDescent="0.25">
      <c r="A973" t="s">
        <v>1008</v>
      </c>
      <c r="B973" t="s">
        <v>40</v>
      </c>
      <c r="C973" s="14" t="s">
        <v>44</v>
      </c>
      <c r="D973" s="1">
        <v>45483</v>
      </c>
      <c r="E973" s="14" t="s">
        <v>2057</v>
      </c>
      <c r="F973" s="14" t="s">
        <v>33</v>
      </c>
      <c r="G973">
        <v>385</v>
      </c>
      <c r="H973">
        <v>9222.2800000000007</v>
      </c>
      <c r="I973">
        <v>8920.43</v>
      </c>
      <c r="J973">
        <v>2</v>
      </c>
      <c r="K973" s="14" t="s">
        <v>15</v>
      </c>
      <c r="L973" s="14" t="str">
        <f>IF(OR(Table1[[#This Row],[Order_Status]]="Delivered",Table1[[#This Row],[Delivery_Date]]&lt;&gt;"Not Yet Delivered"),Table1[[#This Row],[Delivery_Date]]-Table1[[#This Row],[Order_Date]],"Not Applicable")</f>
        <v>Not Applicable</v>
      </c>
      <c r="M973" s="14">
        <f>Table1[[#This Row],[Unit_Cost]]-Table1[[#This Row],[Negotiated_Cost]]</f>
        <v>301.85000000000036</v>
      </c>
      <c r="N973" s="18">
        <f>Table1[[#This Row],[Defective_Units]]/Table1[[#This Row],[Quantity]]</f>
        <v>5.1948051948051948E-3</v>
      </c>
      <c r="O973" s="26">
        <f>(Table1[[#This Row],[Unit_Cost]]-Table1[[#This Row],[Negotiated_Cost]])/Table1[[#This Row],[Unit_Cost]]</f>
        <v>3.273051783290036E-2</v>
      </c>
    </row>
    <row r="974" spans="1:15" x14ac:dyDescent="0.25">
      <c r="A974" t="s">
        <v>1009</v>
      </c>
      <c r="B974" t="s">
        <v>40</v>
      </c>
      <c r="C974" s="14" t="s">
        <v>28</v>
      </c>
      <c r="D974" s="1">
        <v>45418</v>
      </c>
      <c r="E974" s="13">
        <v>45431</v>
      </c>
      <c r="F974" s="14" t="s">
        <v>14</v>
      </c>
      <c r="G974">
        <v>42</v>
      </c>
      <c r="H974">
        <v>51984.9</v>
      </c>
      <c r="I974">
        <v>49939.01</v>
      </c>
      <c r="J974">
        <v>0</v>
      </c>
      <c r="K974" s="14" t="s">
        <v>15</v>
      </c>
      <c r="L974" s="14">
        <f>IF(OR(Table1[[#This Row],[Order_Status]]="Delivered",Table1[[#This Row],[Delivery_Date]]&lt;&gt;"Not Yet Delivered"),Table1[[#This Row],[Delivery_Date]]-Table1[[#This Row],[Order_Date]],"Not Applicable")</f>
        <v>13</v>
      </c>
      <c r="M974" s="14">
        <f>Table1[[#This Row],[Unit_Cost]]-Table1[[#This Row],[Negotiated_Cost]]</f>
        <v>2045.8899999999994</v>
      </c>
      <c r="N974" s="18">
        <f>Table1[[#This Row],[Defective_Units]]/Table1[[#This Row],[Quantity]]</f>
        <v>0</v>
      </c>
      <c r="O974" s="26">
        <f>(Table1[[#This Row],[Unit_Cost]]-Table1[[#This Row],[Negotiated_Cost]])/Table1[[#This Row],[Unit_Cost]]</f>
        <v>3.9355466683594645E-2</v>
      </c>
    </row>
    <row r="975" spans="1:15" x14ac:dyDescent="0.25">
      <c r="A975" t="s">
        <v>1010</v>
      </c>
      <c r="B975" t="s">
        <v>35</v>
      </c>
      <c r="C975" s="14" t="s">
        <v>21</v>
      </c>
      <c r="D975" s="1">
        <v>45134</v>
      </c>
      <c r="E975" s="13">
        <v>45149</v>
      </c>
      <c r="F975" s="14" t="s">
        <v>14</v>
      </c>
      <c r="G975">
        <v>429</v>
      </c>
      <c r="H975">
        <v>114.96</v>
      </c>
      <c r="I975">
        <v>112.01</v>
      </c>
      <c r="J975">
        <v>7</v>
      </c>
      <c r="K975" s="14" t="s">
        <v>15</v>
      </c>
      <c r="L975" s="14">
        <f>IF(OR(Table1[[#This Row],[Order_Status]]="Delivered",Table1[[#This Row],[Delivery_Date]]&lt;&gt;"Not Yet Delivered"),Table1[[#This Row],[Delivery_Date]]-Table1[[#This Row],[Order_Date]],"Not Applicable")</f>
        <v>15</v>
      </c>
      <c r="M975" s="14">
        <f>Table1[[#This Row],[Unit_Cost]]-Table1[[#This Row],[Negotiated_Cost]]</f>
        <v>2.9499999999999886</v>
      </c>
      <c r="N975" s="18">
        <f>Table1[[#This Row],[Defective_Units]]/Table1[[#This Row],[Quantity]]</f>
        <v>1.6317016317016316E-2</v>
      </c>
      <c r="O975" s="26">
        <f>(Table1[[#This Row],[Unit_Cost]]-Table1[[#This Row],[Negotiated_Cost]])/Table1[[#This Row],[Unit_Cost]]</f>
        <v>2.5661099512873944E-2</v>
      </c>
    </row>
    <row r="976" spans="1:15" x14ac:dyDescent="0.25">
      <c r="A976" t="s">
        <v>1011</v>
      </c>
      <c r="B976" t="s">
        <v>17</v>
      </c>
      <c r="C976" s="14" t="s">
        <v>18</v>
      </c>
      <c r="D976" s="1">
        <v>44931</v>
      </c>
      <c r="E976" s="13">
        <v>44954</v>
      </c>
      <c r="F976" s="14" t="s">
        <v>14</v>
      </c>
      <c r="G976">
        <v>81</v>
      </c>
      <c r="H976">
        <v>4775.75</v>
      </c>
      <c r="I976">
        <v>4526.55</v>
      </c>
      <c r="J976">
        <v>1</v>
      </c>
      <c r="K976" s="14" t="s">
        <v>25</v>
      </c>
      <c r="L976" s="14">
        <f>IF(OR(Table1[[#This Row],[Order_Status]]="Delivered",Table1[[#This Row],[Delivery_Date]]&lt;&gt;"Not Yet Delivered"),Table1[[#This Row],[Delivery_Date]]-Table1[[#This Row],[Order_Date]],"Not Applicable")</f>
        <v>23</v>
      </c>
      <c r="M976" s="14">
        <f>Table1[[#This Row],[Unit_Cost]]-Table1[[#This Row],[Negotiated_Cost]]</f>
        <v>249.19999999999982</v>
      </c>
      <c r="N976" s="18">
        <f>Table1[[#This Row],[Defective_Units]]/Table1[[#This Row],[Quantity]]</f>
        <v>1.2345679012345678E-2</v>
      </c>
      <c r="O976" s="26">
        <f>(Table1[[#This Row],[Unit_Cost]]-Table1[[#This Row],[Negotiated_Cost]])/Table1[[#This Row],[Unit_Cost]]</f>
        <v>5.2180285818981272E-2</v>
      </c>
    </row>
    <row r="977" spans="1:15" x14ac:dyDescent="0.25">
      <c r="A977" t="s">
        <v>1012</v>
      </c>
      <c r="B977" t="s">
        <v>12</v>
      </c>
      <c r="C977" s="14" t="s">
        <v>24</v>
      </c>
      <c r="D977" s="1">
        <v>45566</v>
      </c>
      <c r="E977" s="13">
        <v>45594</v>
      </c>
      <c r="F977" s="14" t="s">
        <v>14</v>
      </c>
      <c r="G977">
        <v>259</v>
      </c>
      <c r="H977">
        <v>13346.62</v>
      </c>
      <c r="I977">
        <v>12877.29</v>
      </c>
      <c r="J977">
        <v>3</v>
      </c>
      <c r="K977" s="14" t="s">
        <v>15</v>
      </c>
      <c r="L977" s="14">
        <f>IF(OR(Table1[[#This Row],[Order_Status]]="Delivered",Table1[[#This Row],[Delivery_Date]]&lt;&gt;"Not Yet Delivered"),Table1[[#This Row],[Delivery_Date]]-Table1[[#This Row],[Order_Date]],"Not Applicable")</f>
        <v>28</v>
      </c>
      <c r="M977" s="14">
        <f>Table1[[#This Row],[Unit_Cost]]-Table1[[#This Row],[Negotiated_Cost]]</f>
        <v>469.32999999999993</v>
      </c>
      <c r="N977" s="18">
        <f>Table1[[#This Row],[Defective_Units]]/Table1[[#This Row],[Quantity]]</f>
        <v>1.1583011583011582E-2</v>
      </c>
      <c r="O977" s="26">
        <f>(Table1[[#This Row],[Unit_Cost]]-Table1[[#This Row],[Negotiated_Cost]])/Table1[[#This Row],[Unit_Cost]]</f>
        <v>3.5164708368111169E-2</v>
      </c>
    </row>
    <row r="978" spans="1:15" x14ac:dyDescent="0.25">
      <c r="A978" t="s">
        <v>1013</v>
      </c>
      <c r="B978" t="s">
        <v>32</v>
      </c>
      <c r="C978" s="14" t="s">
        <v>50</v>
      </c>
      <c r="D978" s="1">
        <v>45068</v>
      </c>
      <c r="E978" s="13">
        <v>45087</v>
      </c>
      <c r="F978" s="14" t="s">
        <v>14</v>
      </c>
      <c r="G978">
        <v>140</v>
      </c>
      <c r="H978">
        <v>46747.69</v>
      </c>
      <c r="I978">
        <v>44621.49</v>
      </c>
      <c r="J978">
        <v>1</v>
      </c>
      <c r="K978" s="14" t="s">
        <v>15</v>
      </c>
      <c r="L978" s="14">
        <f>IF(OR(Table1[[#This Row],[Order_Status]]="Delivered",Table1[[#This Row],[Delivery_Date]]&lt;&gt;"Not Yet Delivered"),Table1[[#This Row],[Delivery_Date]]-Table1[[#This Row],[Order_Date]],"Not Applicable")</f>
        <v>19</v>
      </c>
      <c r="M978" s="14">
        <f>Table1[[#This Row],[Unit_Cost]]-Table1[[#This Row],[Negotiated_Cost]]</f>
        <v>2126.2000000000044</v>
      </c>
      <c r="N978" s="18">
        <f>Table1[[#This Row],[Defective_Units]]/Table1[[#This Row],[Quantity]]</f>
        <v>7.1428571428571426E-3</v>
      </c>
      <c r="O978" s="26">
        <f>(Table1[[#This Row],[Unit_Cost]]-Table1[[#This Row],[Negotiated_Cost]])/Table1[[#This Row],[Unit_Cost]]</f>
        <v>4.5482461272418041E-2</v>
      </c>
    </row>
    <row r="979" spans="1:15" x14ac:dyDescent="0.25">
      <c r="A979" t="s">
        <v>1014</v>
      </c>
      <c r="B979" t="s">
        <v>35</v>
      </c>
      <c r="C979" s="14" t="s">
        <v>48</v>
      </c>
      <c r="D979" s="1">
        <v>44982</v>
      </c>
      <c r="E979" s="13">
        <v>44984</v>
      </c>
      <c r="F979" s="14" t="s">
        <v>14</v>
      </c>
      <c r="G979">
        <v>19</v>
      </c>
      <c r="H979">
        <v>6611.41</v>
      </c>
      <c r="I979">
        <v>6366.25</v>
      </c>
      <c r="J979">
        <v>0</v>
      </c>
      <c r="K979" s="14" t="s">
        <v>15</v>
      </c>
      <c r="L979" s="14">
        <f>IF(OR(Table1[[#This Row],[Order_Status]]="Delivered",Table1[[#This Row],[Delivery_Date]]&lt;&gt;"Not Yet Delivered"),Table1[[#This Row],[Delivery_Date]]-Table1[[#This Row],[Order_Date]],"Not Applicable")</f>
        <v>2</v>
      </c>
      <c r="M979" s="14">
        <f>Table1[[#This Row],[Unit_Cost]]-Table1[[#This Row],[Negotiated_Cost]]</f>
        <v>245.15999999999985</v>
      </c>
      <c r="N979" s="18">
        <f>Table1[[#This Row],[Defective_Units]]/Table1[[#This Row],[Quantity]]</f>
        <v>0</v>
      </c>
      <c r="O979" s="26">
        <f>(Table1[[#This Row],[Unit_Cost]]-Table1[[#This Row],[Negotiated_Cost]])/Table1[[#This Row],[Unit_Cost]]</f>
        <v>3.708134875919053E-2</v>
      </c>
    </row>
    <row r="980" spans="1:15" x14ac:dyDescent="0.25">
      <c r="A980" t="s">
        <v>1015</v>
      </c>
      <c r="B980" t="s">
        <v>40</v>
      </c>
      <c r="C980" s="14" t="s">
        <v>55</v>
      </c>
      <c r="D980" s="1">
        <v>45625</v>
      </c>
      <c r="E980" s="13">
        <v>45653</v>
      </c>
      <c r="F980" s="14" t="s">
        <v>14</v>
      </c>
      <c r="G980">
        <v>249</v>
      </c>
      <c r="H980">
        <v>15195.2</v>
      </c>
      <c r="I980">
        <v>14681.7</v>
      </c>
      <c r="J980">
        <v>2</v>
      </c>
      <c r="K980" s="14" t="s">
        <v>15</v>
      </c>
      <c r="L980" s="14">
        <f>IF(OR(Table1[[#This Row],[Order_Status]]="Delivered",Table1[[#This Row],[Delivery_Date]]&lt;&gt;"Not Yet Delivered"),Table1[[#This Row],[Delivery_Date]]-Table1[[#This Row],[Order_Date]],"Not Applicable")</f>
        <v>28</v>
      </c>
      <c r="M980" s="14">
        <f>Table1[[#This Row],[Unit_Cost]]-Table1[[#This Row],[Negotiated_Cost]]</f>
        <v>513.5</v>
      </c>
      <c r="N980" s="18">
        <f>Table1[[#This Row],[Defective_Units]]/Table1[[#This Row],[Quantity]]</f>
        <v>8.0321285140562242E-3</v>
      </c>
      <c r="O980" s="26">
        <f>(Table1[[#This Row],[Unit_Cost]]-Table1[[#This Row],[Negotiated_Cost]])/Table1[[#This Row],[Unit_Cost]]</f>
        <v>3.3793566389386118E-2</v>
      </c>
    </row>
    <row r="981" spans="1:15" x14ac:dyDescent="0.25">
      <c r="A981" t="s">
        <v>1016</v>
      </c>
      <c r="B981" t="s">
        <v>12</v>
      </c>
      <c r="C981" s="14" t="s">
        <v>21</v>
      </c>
      <c r="D981" s="1">
        <v>45630</v>
      </c>
      <c r="E981" s="13">
        <v>45653</v>
      </c>
      <c r="F981" s="14" t="s">
        <v>14</v>
      </c>
      <c r="G981">
        <v>236</v>
      </c>
      <c r="H981">
        <v>129.35</v>
      </c>
      <c r="I981">
        <v>126.84</v>
      </c>
      <c r="J981">
        <v>6</v>
      </c>
      <c r="K981" s="14" t="s">
        <v>15</v>
      </c>
      <c r="L981" s="14">
        <f>IF(OR(Table1[[#This Row],[Order_Status]]="Delivered",Table1[[#This Row],[Delivery_Date]]&lt;&gt;"Not Yet Delivered"),Table1[[#This Row],[Delivery_Date]]-Table1[[#This Row],[Order_Date]],"Not Applicable")</f>
        <v>23</v>
      </c>
      <c r="M981" s="14">
        <f>Table1[[#This Row],[Unit_Cost]]-Table1[[#This Row],[Negotiated_Cost]]</f>
        <v>2.5099999999999909</v>
      </c>
      <c r="N981" s="18">
        <f>Table1[[#This Row],[Defective_Units]]/Table1[[#This Row],[Quantity]]</f>
        <v>2.5423728813559324E-2</v>
      </c>
      <c r="O981" s="26">
        <f>(Table1[[#This Row],[Unit_Cost]]-Table1[[#This Row],[Negotiated_Cost]])/Table1[[#This Row],[Unit_Cost]]</f>
        <v>1.9404715887127878E-2</v>
      </c>
    </row>
    <row r="982" spans="1:15" x14ac:dyDescent="0.25">
      <c r="A982" t="s">
        <v>1017</v>
      </c>
      <c r="B982" t="s">
        <v>20</v>
      </c>
      <c r="C982" s="14" t="s">
        <v>21</v>
      </c>
      <c r="D982" s="1">
        <v>44950</v>
      </c>
      <c r="E982" s="13">
        <v>44956</v>
      </c>
      <c r="F982" s="14" t="s">
        <v>14</v>
      </c>
      <c r="G982">
        <v>19</v>
      </c>
      <c r="H982">
        <v>112.66</v>
      </c>
      <c r="I982">
        <v>106.14</v>
      </c>
      <c r="J982">
        <v>0</v>
      </c>
      <c r="K982" s="14" t="s">
        <v>15</v>
      </c>
      <c r="L982" s="14">
        <f>IF(OR(Table1[[#This Row],[Order_Status]]="Delivered",Table1[[#This Row],[Delivery_Date]]&lt;&gt;"Not Yet Delivered"),Table1[[#This Row],[Delivery_Date]]-Table1[[#This Row],[Order_Date]],"Not Applicable")</f>
        <v>6</v>
      </c>
      <c r="M982" s="14">
        <f>Table1[[#This Row],[Unit_Cost]]-Table1[[#This Row],[Negotiated_Cost]]</f>
        <v>6.519999999999996</v>
      </c>
      <c r="N982" s="18">
        <f>Table1[[#This Row],[Defective_Units]]/Table1[[#This Row],[Quantity]]</f>
        <v>0</v>
      </c>
      <c r="O982" s="26">
        <f>(Table1[[#This Row],[Unit_Cost]]-Table1[[#This Row],[Negotiated_Cost]])/Table1[[#This Row],[Unit_Cost]]</f>
        <v>5.787324693768859E-2</v>
      </c>
    </row>
    <row r="983" spans="1:15" x14ac:dyDescent="0.25">
      <c r="A983" t="s">
        <v>1018</v>
      </c>
      <c r="B983" t="s">
        <v>46</v>
      </c>
      <c r="C983" s="14" t="s">
        <v>30</v>
      </c>
      <c r="D983" s="1">
        <v>45350</v>
      </c>
      <c r="E983" s="13">
        <v>45371</v>
      </c>
      <c r="F983" s="14" t="s">
        <v>14</v>
      </c>
      <c r="G983">
        <v>249</v>
      </c>
      <c r="H983">
        <v>937.89</v>
      </c>
      <c r="I983">
        <v>892.07</v>
      </c>
      <c r="J983">
        <v>1</v>
      </c>
      <c r="K983" s="14" t="s">
        <v>15</v>
      </c>
      <c r="L983" s="14">
        <f>IF(OR(Table1[[#This Row],[Order_Status]]="Delivered",Table1[[#This Row],[Delivery_Date]]&lt;&gt;"Not Yet Delivered"),Table1[[#This Row],[Delivery_Date]]-Table1[[#This Row],[Order_Date]],"Not Applicable")</f>
        <v>21</v>
      </c>
      <c r="M983" s="14">
        <f>Table1[[#This Row],[Unit_Cost]]-Table1[[#This Row],[Negotiated_Cost]]</f>
        <v>45.819999999999936</v>
      </c>
      <c r="N983" s="18">
        <f>Table1[[#This Row],[Defective_Units]]/Table1[[#This Row],[Quantity]]</f>
        <v>4.0160642570281121E-3</v>
      </c>
      <c r="O983" s="26">
        <f>(Table1[[#This Row],[Unit_Cost]]-Table1[[#This Row],[Negotiated_Cost]])/Table1[[#This Row],[Unit_Cost]]</f>
        <v>4.8854343259870495E-2</v>
      </c>
    </row>
    <row r="984" spans="1:15" x14ac:dyDescent="0.25">
      <c r="A984" t="s">
        <v>1019</v>
      </c>
      <c r="B984" t="s">
        <v>12</v>
      </c>
      <c r="C984" s="14" t="s">
        <v>24</v>
      </c>
      <c r="D984" s="1">
        <v>45233</v>
      </c>
      <c r="E984" s="13">
        <v>45256</v>
      </c>
      <c r="F984" s="14" t="s">
        <v>14</v>
      </c>
      <c r="G984">
        <v>339</v>
      </c>
      <c r="H984">
        <v>13296.24</v>
      </c>
      <c r="I984">
        <v>13237.99</v>
      </c>
      <c r="J984">
        <v>0</v>
      </c>
      <c r="K984" s="14" t="s">
        <v>15</v>
      </c>
      <c r="L984" s="14">
        <f>IF(OR(Table1[[#This Row],[Order_Status]]="Delivered",Table1[[#This Row],[Delivery_Date]]&lt;&gt;"Not Yet Delivered"),Table1[[#This Row],[Delivery_Date]]-Table1[[#This Row],[Order_Date]],"Not Applicable")</f>
        <v>23</v>
      </c>
      <c r="M984" s="14">
        <f>Table1[[#This Row],[Unit_Cost]]-Table1[[#This Row],[Negotiated_Cost]]</f>
        <v>58.25</v>
      </c>
      <c r="N984" s="18">
        <f>Table1[[#This Row],[Defective_Units]]/Table1[[#This Row],[Quantity]]</f>
        <v>0</v>
      </c>
      <c r="O984" s="26">
        <f>(Table1[[#This Row],[Unit_Cost]]-Table1[[#This Row],[Negotiated_Cost]])/Table1[[#This Row],[Unit_Cost]]</f>
        <v>4.3809377688730049E-3</v>
      </c>
    </row>
    <row r="985" spans="1:15" x14ac:dyDescent="0.25">
      <c r="A985" t="s">
        <v>1020</v>
      </c>
      <c r="B985" t="s">
        <v>35</v>
      </c>
      <c r="C985" s="14" t="s">
        <v>55</v>
      </c>
      <c r="D985" s="1">
        <v>45051</v>
      </c>
      <c r="E985" s="14" t="s">
        <v>2057</v>
      </c>
      <c r="F985" s="14" t="s">
        <v>33</v>
      </c>
      <c r="G985">
        <v>341</v>
      </c>
      <c r="H985">
        <v>13952.82</v>
      </c>
      <c r="I985">
        <v>13661.22</v>
      </c>
      <c r="J985">
        <v>2</v>
      </c>
      <c r="K985" s="14" t="s">
        <v>15</v>
      </c>
      <c r="L985" s="14" t="str">
        <f>IF(OR(Table1[[#This Row],[Order_Status]]="Delivered",Table1[[#This Row],[Delivery_Date]]&lt;&gt;"Not Yet Delivered"),Table1[[#This Row],[Delivery_Date]]-Table1[[#This Row],[Order_Date]],"Not Applicable")</f>
        <v>Not Applicable</v>
      </c>
      <c r="M985" s="14">
        <f>Table1[[#This Row],[Unit_Cost]]-Table1[[#This Row],[Negotiated_Cost]]</f>
        <v>291.60000000000036</v>
      </c>
      <c r="N985" s="18">
        <f>Table1[[#This Row],[Defective_Units]]/Table1[[#This Row],[Quantity]]</f>
        <v>5.8651026392961877E-3</v>
      </c>
      <c r="O985" s="26">
        <f>(Table1[[#This Row],[Unit_Cost]]-Table1[[#This Row],[Negotiated_Cost]])/Table1[[#This Row],[Unit_Cost]]</f>
        <v>2.0899001062150903E-2</v>
      </c>
    </row>
    <row r="986" spans="1:15" x14ac:dyDescent="0.25">
      <c r="A986" t="s">
        <v>1021</v>
      </c>
      <c r="B986" t="s">
        <v>35</v>
      </c>
      <c r="C986" s="14" t="s">
        <v>21</v>
      </c>
      <c r="D986" s="1">
        <v>45307</v>
      </c>
      <c r="E986" s="14" t="s">
        <v>2057</v>
      </c>
      <c r="F986" s="14" t="s">
        <v>33</v>
      </c>
      <c r="G986">
        <v>61</v>
      </c>
      <c r="H986">
        <v>119.76</v>
      </c>
      <c r="I986">
        <v>114.47</v>
      </c>
      <c r="J986">
        <v>2</v>
      </c>
      <c r="K986" s="14" t="s">
        <v>15</v>
      </c>
      <c r="L986" s="14" t="str">
        <f>IF(OR(Table1[[#This Row],[Order_Status]]="Delivered",Table1[[#This Row],[Delivery_Date]]&lt;&gt;"Not Yet Delivered"),Table1[[#This Row],[Delivery_Date]]-Table1[[#This Row],[Order_Date]],"Not Applicable")</f>
        <v>Not Applicable</v>
      </c>
      <c r="M986" s="14">
        <f>Table1[[#This Row],[Unit_Cost]]-Table1[[#This Row],[Negotiated_Cost]]</f>
        <v>5.2900000000000063</v>
      </c>
      <c r="N986" s="18">
        <f>Table1[[#This Row],[Defective_Units]]/Table1[[#This Row],[Quantity]]</f>
        <v>3.2786885245901641E-2</v>
      </c>
      <c r="O986" s="26">
        <f>(Table1[[#This Row],[Unit_Cost]]-Table1[[#This Row],[Negotiated_Cost]])/Table1[[#This Row],[Unit_Cost]]</f>
        <v>4.4171676686706796E-2</v>
      </c>
    </row>
    <row r="987" spans="1:15" x14ac:dyDescent="0.25">
      <c r="A987" t="s">
        <v>1022</v>
      </c>
      <c r="B987" t="s">
        <v>46</v>
      </c>
      <c r="C987" s="14" t="s">
        <v>13</v>
      </c>
      <c r="D987" s="1">
        <v>45475</v>
      </c>
      <c r="E987" s="13">
        <v>45484</v>
      </c>
      <c r="F987" s="14" t="s">
        <v>14</v>
      </c>
      <c r="G987">
        <v>138</v>
      </c>
      <c r="H987">
        <v>3962.3</v>
      </c>
      <c r="I987">
        <v>3840.48</v>
      </c>
      <c r="J987">
        <v>3</v>
      </c>
      <c r="K987" s="14" t="s">
        <v>15</v>
      </c>
      <c r="L987" s="14">
        <f>IF(OR(Table1[[#This Row],[Order_Status]]="Delivered",Table1[[#This Row],[Delivery_Date]]&lt;&gt;"Not Yet Delivered"),Table1[[#This Row],[Delivery_Date]]-Table1[[#This Row],[Order_Date]],"Not Applicable")</f>
        <v>9</v>
      </c>
      <c r="M987" s="14">
        <f>Table1[[#This Row],[Unit_Cost]]-Table1[[#This Row],[Negotiated_Cost]]</f>
        <v>121.82000000000016</v>
      </c>
      <c r="N987" s="18">
        <f>Table1[[#This Row],[Defective_Units]]/Table1[[#This Row],[Quantity]]</f>
        <v>2.1739130434782608E-2</v>
      </c>
      <c r="O987" s="26">
        <f>(Table1[[#This Row],[Unit_Cost]]-Table1[[#This Row],[Negotiated_Cost]])/Table1[[#This Row],[Unit_Cost]]</f>
        <v>3.074476945208595E-2</v>
      </c>
    </row>
    <row r="988" spans="1:15" x14ac:dyDescent="0.25">
      <c r="A988" t="s">
        <v>1023</v>
      </c>
      <c r="B988" t="s">
        <v>40</v>
      </c>
      <c r="C988" s="14" t="s">
        <v>13</v>
      </c>
      <c r="D988" s="1">
        <v>45481</v>
      </c>
      <c r="E988" s="13">
        <v>45510</v>
      </c>
      <c r="F988" s="14" t="s">
        <v>14</v>
      </c>
      <c r="G988">
        <v>429</v>
      </c>
      <c r="H988">
        <v>4577.8900000000003</v>
      </c>
      <c r="I988">
        <v>4345.01</v>
      </c>
      <c r="J988">
        <v>7</v>
      </c>
      <c r="K988" s="14" t="s">
        <v>15</v>
      </c>
      <c r="L988" s="14">
        <f>IF(OR(Table1[[#This Row],[Order_Status]]="Delivered",Table1[[#This Row],[Delivery_Date]]&lt;&gt;"Not Yet Delivered"),Table1[[#This Row],[Delivery_Date]]-Table1[[#This Row],[Order_Date]],"Not Applicable")</f>
        <v>29</v>
      </c>
      <c r="M988" s="14">
        <f>Table1[[#This Row],[Unit_Cost]]-Table1[[#This Row],[Negotiated_Cost]]</f>
        <v>232.88000000000011</v>
      </c>
      <c r="N988" s="18">
        <f>Table1[[#This Row],[Defective_Units]]/Table1[[#This Row],[Quantity]]</f>
        <v>1.6317016317016316E-2</v>
      </c>
      <c r="O988" s="26">
        <f>(Table1[[#This Row],[Unit_Cost]]-Table1[[#This Row],[Negotiated_Cost]])/Table1[[#This Row],[Unit_Cost]]</f>
        <v>5.0870597589719305E-2</v>
      </c>
    </row>
    <row r="989" spans="1:15" x14ac:dyDescent="0.25">
      <c r="A989" t="s">
        <v>1024</v>
      </c>
      <c r="B989" t="s">
        <v>12</v>
      </c>
      <c r="C989" s="14" t="s">
        <v>18</v>
      </c>
      <c r="D989" s="1">
        <v>45635</v>
      </c>
      <c r="E989" s="13">
        <v>45643</v>
      </c>
      <c r="F989" s="14" t="s">
        <v>14</v>
      </c>
      <c r="G989">
        <v>490</v>
      </c>
      <c r="H989">
        <v>5659.35</v>
      </c>
      <c r="I989">
        <v>5543.61</v>
      </c>
      <c r="J989">
        <v>10</v>
      </c>
      <c r="K989" s="14" t="s">
        <v>15</v>
      </c>
      <c r="L989" s="14">
        <f>IF(OR(Table1[[#This Row],[Order_Status]]="Delivered",Table1[[#This Row],[Delivery_Date]]&lt;&gt;"Not Yet Delivered"),Table1[[#This Row],[Delivery_Date]]-Table1[[#This Row],[Order_Date]],"Not Applicable")</f>
        <v>8</v>
      </c>
      <c r="M989" s="14">
        <f>Table1[[#This Row],[Unit_Cost]]-Table1[[#This Row],[Negotiated_Cost]]</f>
        <v>115.74000000000069</v>
      </c>
      <c r="N989" s="18">
        <f>Table1[[#This Row],[Defective_Units]]/Table1[[#This Row],[Quantity]]</f>
        <v>2.0408163265306121E-2</v>
      </c>
      <c r="O989" s="26">
        <f>(Table1[[#This Row],[Unit_Cost]]-Table1[[#This Row],[Negotiated_Cost]])/Table1[[#This Row],[Unit_Cost]]</f>
        <v>2.0451111876805761E-2</v>
      </c>
    </row>
    <row r="990" spans="1:15" x14ac:dyDescent="0.25">
      <c r="A990" t="s">
        <v>1025</v>
      </c>
      <c r="B990" t="s">
        <v>35</v>
      </c>
      <c r="C990" s="14" t="s">
        <v>21</v>
      </c>
      <c r="D990" s="1">
        <v>45069</v>
      </c>
      <c r="E990" s="13">
        <v>45091</v>
      </c>
      <c r="F990" s="14" t="s">
        <v>14</v>
      </c>
      <c r="G990">
        <v>353</v>
      </c>
      <c r="H990">
        <v>114.11</v>
      </c>
      <c r="I990">
        <v>111.7</v>
      </c>
      <c r="J990">
        <v>7</v>
      </c>
      <c r="K990" s="14" t="s">
        <v>15</v>
      </c>
      <c r="L990" s="14">
        <f>IF(OR(Table1[[#This Row],[Order_Status]]="Delivered",Table1[[#This Row],[Delivery_Date]]&lt;&gt;"Not Yet Delivered"),Table1[[#This Row],[Delivery_Date]]-Table1[[#This Row],[Order_Date]],"Not Applicable")</f>
        <v>22</v>
      </c>
      <c r="M990" s="14">
        <f>Table1[[#This Row],[Unit_Cost]]-Table1[[#This Row],[Negotiated_Cost]]</f>
        <v>2.4099999999999966</v>
      </c>
      <c r="N990" s="18">
        <f>Table1[[#This Row],[Defective_Units]]/Table1[[#This Row],[Quantity]]</f>
        <v>1.9830028328611898E-2</v>
      </c>
      <c r="O990" s="26">
        <f>(Table1[[#This Row],[Unit_Cost]]-Table1[[#This Row],[Negotiated_Cost]])/Table1[[#This Row],[Unit_Cost]]</f>
        <v>2.1119971956883678E-2</v>
      </c>
    </row>
    <row r="991" spans="1:15" x14ac:dyDescent="0.25">
      <c r="A991" t="s">
        <v>1026</v>
      </c>
      <c r="B991" t="s">
        <v>17</v>
      </c>
      <c r="C991" s="14" t="s">
        <v>30</v>
      </c>
      <c r="D991" s="1">
        <v>45397</v>
      </c>
      <c r="E991" s="13">
        <v>45407</v>
      </c>
      <c r="F991" s="14" t="s">
        <v>14</v>
      </c>
      <c r="G991">
        <v>97</v>
      </c>
      <c r="H991">
        <v>862.66</v>
      </c>
      <c r="I991">
        <v>832.61</v>
      </c>
      <c r="J991">
        <v>2</v>
      </c>
      <c r="K991" s="14" t="s">
        <v>15</v>
      </c>
      <c r="L991" s="14">
        <f>IF(OR(Table1[[#This Row],[Order_Status]]="Delivered",Table1[[#This Row],[Delivery_Date]]&lt;&gt;"Not Yet Delivered"),Table1[[#This Row],[Delivery_Date]]-Table1[[#This Row],[Order_Date]],"Not Applicable")</f>
        <v>10</v>
      </c>
      <c r="M991" s="14">
        <f>Table1[[#This Row],[Unit_Cost]]-Table1[[#This Row],[Negotiated_Cost]]</f>
        <v>30.049999999999955</v>
      </c>
      <c r="N991" s="18">
        <f>Table1[[#This Row],[Defective_Units]]/Table1[[#This Row],[Quantity]]</f>
        <v>2.0618556701030927E-2</v>
      </c>
      <c r="O991" s="26">
        <f>(Table1[[#This Row],[Unit_Cost]]-Table1[[#This Row],[Negotiated_Cost]])/Table1[[#This Row],[Unit_Cost]]</f>
        <v>3.4834117728885026E-2</v>
      </c>
    </row>
    <row r="992" spans="1:15" x14ac:dyDescent="0.25">
      <c r="A992" t="s">
        <v>1027</v>
      </c>
      <c r="B992" t="s">
        <v>12</v>
      </c>
      <c r="C992" s="14" t="s">
        <v>44</v>
      </c>
      <c r="D992" s="1">
        <v>45123</v>
      </c>
      <c r="E992" s="13">
        <v>45140</v>
      </c>
      <c r="F992" s="14" t="s">
        <v>14</v>
      </c>
      <c r="G992">
        <v>137</v>
      </c>
      <c r="H992">
        <v>8869.48</v>
      </c>
      <c r="I992">
        <v>8483.35</v>
      </c>
      <c r="J992">
        <v>0</v>
      </c>
      <c r="K992" s="14" t="s">
        <v>15</v>
      </c>
      <c r="L992" s="14">
        <f>IF(OR(Table1[[#This Row],[Order_Status]]="Delivered",Table1[[#This Row],[Delivery_Date]]&lt;&gt;"Not Yet Delivered"),Table1[[#This Row],[Delivery_Date]]-Table1[[#This Row],[Order_Date]],"Not Applicable")</f>
        <v>17</v>
      </c>
      <c r="M992" s="14">
        <f>Table1[[#This Row],[Unit_Cost]]-Table1[[#This Row],[Negotiated_Cost]]</f>
        <v>386.1299999999992</v>
      </c>
      <c r="N992" s="18">
        <f>Table1[[#This Row],[Defective_Units]]/Table1[[#This Row],[Quantity]]</f>
        <v>0</v>
      </c>
      <c r="O992" s="26">
        <f>(Table1[[#This Row],[Unit_Cost]]-Table1[[#This Row],[Negotiated_Cost]])/Table1[[#This Row],[Unit_Cost]]</f>
        <v>4.353468298028737E-2</v>
      </c>
    </row>
    <row r="993" spans="1:15" x14ac:dyDescent="0.25">
      <c r="A993" t="s">
        <v>1028</v>
      </c>
      <c r="B993" t="s">
        <v>46</v>
      </c>
      <c r="C993" s="14" t="s">
        <v>28</v>
      </c>
      <c r="D993" s="1">
        <v>45636</v>
      </c>
      <c r="E993" s="13">
        <v>45646</v>
      </c>
      <c r="F993" s="14" t="s">
        <v>14</v>
      </c>
      <c r="G993">
        <v>303</v>
      </c>
      <c r="H993">
        <v>46543.76</v>
      </c>
      <c r="I993">
        <v>45592.39</v>
      </c>
      <c r="J993">
        <v>3</v>
      </c>
      <c r="K993" s="14" t="s">
        <v>15</v>
      </c>
      <c r="L993" s="14">
        <f>IF(OR(Table1[[#This Row],[Order_Status]]="Delivered",Table1[[#This Row],[Delivery_Date]]&lt;&gt;"Not Yet Delivered"),Table1[[#This Row],[Delivery_Date]]-Table1[[#This Row],[Order_Date]],"Not Applicable")</f>
        <v>10</v>
      </c>
      <c r="M993" s="14">
        <f>Table1[[#This Row],[Unit_Cost]]-Table1[[#This Row],[Negotiated_Cost]]</f>
        <v>951.37000000000262</v>
      </c>
      <c r="N993" s="18">
        <f>Table1[[#This Row],[Defective_Units]]/Table1[[#This Row],[Quantity]]</f>
        <v>9.9009900990099011E-3</v>
      </c>
      <c r="O993" s="26">
        <f>(Table1[[#This Row],[Unit_Cost]]-Table1[[#This Row],[Negotiated_Cost]])/Table1[[#This Row],[Unit_Cost]]</f>
        <v>2.0440333999659731E-2</v>
      </c>
    </row>
    <row r="994" spans="1:15" x14ac:dyDescent="0.25">
      <c r="A994" t="s">
        <v>1029</v>
      </c>
      <c r="B994" t="s">
        <v>20</v>
      </c>
      <c r="C994" s="14" t="s">
        <v>50</v>
      </c>
      <c r="D994" s="1">
        <v>44989</v>
      </c>
      <c r="E994" s="13">
        <v>44995</v>
      </c>
      <c r="F994" s="14" t="s">
        <v>14</v>
      </c>
      <c r="G994">
        <v>315</v>
      </c>
      <c r="H994">
        <v>52157.87</v>
      </c>
      <c r="I994">
        <v>51415.56</v>
      </c>
      <c r="J994">
        <v>1</v>
      </c>
      <c r="K994" s="14" t="s">
        <v>15</v>
      </c>
      <c r="L994" s="14">
        <f>IF(OR(Table1[[#This Row],[Order_Status]]="Delivered",Table1[[#This Row],[Delivery_Date]]&lt;&gt;"Not Yet Delivered"),Table1[[#This Row],[Delivery_Date]]-Table1[[#This Row],[Order_Date]],"Not Applicable")</f>
        <v>6</v>
      </c>
      <c r="M994" s="14">
        <f>Table1[[#This Row],[Unit_Cost]]-Table1[[#This Row],[Negotiated_Cost]]</f>
        <v>742.31000000000495</v>
      </c>
      <c r="N994" s="18">
        <f>Table1[[#This Row],[Defective_Units]]/Table1[[#This Row],[Quantity]]</f>
        <v>3.1746031746031746E-3</v>
      </c>
      <c r="O994" s="26">
        <f>(Table1[[#This Row],[Unit_Cost]]-Table1[[#This Row],[Negotiated_Cost]])/Table1[[#This Row],[Unit_Cost]]</f>
        <v>1.4231984549982675E-2</v>
      </c>
    </row>
    <row r="995" spans="1:15" x14ac:dyDescent="0.25">
      <c r="A995" t="s">
        <v>1030</v>
      </c>
      <c r="B995" t="s">
        <v>40</v>
      </c>
      <c r="C995" s="14" t="s">
        <v>18</v>
      </c>
      <c r="D995" s="1">
        <v>44971</v>
      </c>
      <c r="E995" s="13">
        <v>44973</v>
      </c>
      <c r="F995" s="14" t="s">
        <v>14</v>
      </c>
      <c r="G995">
        <v>447</v>
      </c>
      <c r="H995">
        <v>5284.88</v>
      </c>
      <c r="I995">
        <v>5261.9</v>
      </c>
      <c r="J995">
        <v>6</v>
      </c>
      <c r="K995" s="14" t="s">
        <v>15</v>
      </c>
      <c r="L995" s="14">
        <f>IF(OR(Table1[[#This Row],[Order_Status]]="Delivered",Table1[[#This Row],[Delivery_Date]]&lt;&gt;"Not Yet Delivered"),Table1[[#This Row],[Delivery_Date]]-Table1[[#This Row],[Order_Date]],"Not Applicable")</f>
        <v>2</v>
      </c>
      <c r="M995" s="14">
        <f>Table1[[#This Row],[Unit_Cost]]-Table1[[#This Row],[Negotiated_Cost]]</f>
        <v>22.980000000000473</v>
      </c>
      <c r="N995" s="18">
        <f>Table1[[#This Row],[Defective_Units]]/Table1[[#This Row],[Quantity]]</f>
        <v>1.3422818791946308E-2</v>
      </c>
      <c r="O995" s="26">
        <f>(Table1[[#This Row],[Unit_Cost]]-Table1[[#This Row],[Negotiated_Cost]])/Table1[[#This Row],[Unit_Cost]]</f>
        <v>4.3482538865594811E-3</v>
      </c>
    </row>
    <row r="996" spans="1:15" x14ac:dyDescent="0.25">
      <c r="A996" t="s">
        <v>1031</v>
      </c>
      <c r="B996" t="s">
        <v>40</v>
      </c>
      <c r="C996" s="14" t="s">
        <v>44</v>
      </c>
      <c r="D996" s="1">
        <v>44956</v>
      </c>
      <c r="E996" s="13">
        <v>44979</v>
      </c>
      <c r="F996" s="14" t="s">
        <v>14</v>
      </c>
      <c r="G996">
        <v>270</v>
      </c>
      <c r="H996">
        <v>9597.94</v>
      </c>
      <c r="I996">
        <v>9302.93</v>
      </c>
      <c r="J996">
        <v>2</v>
      </c>
      <c r="K996" s="14" t="s">
        <v>15</v>
      </c>
      <c r="L996" s="14">
        <f>IF(OR(Table1[[#This Row],[Order_Status]]="Delivered",Table1[[#This Row],[Delivery_Date]]&lt;&gt;"Not Yet Delivered"),Table1[[#This Row],[Delivery_Date]]-Table1[[#This Row],[Order_Date]],"Not Applicable")</f>
        <v>23</v>
      </c>
      <c r="M996" s="14">
        <f>Table1[[#This Row],[Unit_Cost]]-Table1[[#This Row],[Negotiated_Cost]]</f>
        <v>295.01000000000022</v>
      </c>
      <c r="N996" s="18">
        <f>Table1[[#This Row],[Defective_Units]]/Table1[[#This Row],[Quantity]]</f>
        <v>7.4074074074074077E-3</v>
      </c>
      <c r="O996" s="26">
        <f>(Table1[[#This Row],[Unit_Cost]]-Table1[[#This Row],[Negotiated_Cost]])/Table1[[#This Row],[Unit_Cost]]</f>
        <v>3.0736803939178638E-2</v>
      </c>
    </row>
    <row r="997" spans="1:15" x14ac:dyDescent="0.25">
      <c r="A997" t="s">
        <v>1032</v>
      </c>
      <c r="B997" t="s">
        <v>46</v>
      </c>
      <c r="C997" s="14" t="s">
        <v>13</v>
      </c>
      <c r="D997" s="1">
        <v>45567</v>
      </c>
      <c r="E997" s="14" t="s">
        <v>2057</v>
      </c>
      <c r="F997" s="14" t="s">
        <v>22</v>
      </c>
      <c r="G997">
        <v>262</v>
      </c>
      <c r="H997">
        <v>3961.46</v>
      </c>
      <c r="I997">
        <v>3779.17</v>
      </c>
      <c r="J997">
        <v>2</v>
      </c>
      <c r="K997" s="14" t="s">
        <v>15</v>
      </c>
      <c r="L997" s="14" t="str">
        <f>IF(OR(Table1[[#This Row],[Order_Status]]="Delivered",Table1[[#This Row],[Delivery_Date]]&lt;&gt;"Not Yet Delivered"),Table1[[#This Row],[Delivery_Date]]-Table1[[#This Row],[Order_Date]],"Not Applicable")</f>
        <v>Not Applicable</v>
      </c>
      <c r="M997" s="14">
        <f>Table1[[#This Row],[Unit_Cost]]-Table1[[#This Row],[Negotiated_Cost]]</f>
        <v>182.28999999999996</v>
      </c>
      <c r="N997" s="18">
        <f>Table1[[#This Row],[Defective_Units]]/Table1[[#This Row],[Quantity]]</f>
        <v>7.6335877862595417E-3</v>
      </c>
      <c r="O997" s="26">
        <f>(Table1[[#This Row],[Unit_Cost]]-Table1[[#This Row],[Negotiated_Cost]])/Table1[[#This Row],[Unit_Cost]]</f>
        <v>4.601586283844844E-2</v>
      </c>
    </row>
    <row r="998" spans="1:15" x14ac:dyDescent="0.25">
      <c r="A998" t="s">
        <v>1033</v>
      </c>
      <c r="B998" t="s">
        <v>46</v>
      </c>
      <c r="C998" s="14" t="s">
        <v>36</v>
      </c>
      <c r="D998" s="1">
        <v>45311</v>
      </c>
      <c r="E998" s="13">
        <v>45331</v>
      </c>
      <c r="F998" s="14" t="s">
        <v>14</v>
      </c>
      <c r="G998">
        <v>64</v>
      </c>
      <c r="H998">
        <v>523.59</v>
      </c>
      <c r="I998">
        <v>507.96</v>
      </c>
      <c r="J998">
        <v>2</v>
      </c>
      <c r="K998" s="14" t="s">
        <v>15</v>
      </c>
      <c r="L998" s="14">
        <f>IF(OR(Table1[[#This Row],[Order_Status]]="Delivered",Table1[[#This Row],[Delivery_Date]]&lt;&gt;"Not Yet Delivered"),Table1[[#This Row],[Delivery_Date]]-Table1[[#This Row],[Order_Date]],"Not Applicable")</f>
        <v>20</v>
      </c>
      <c r="M998" s="14">
        <f>Table1[[#This Row],[Unit_Cost]]-Table1[[#This Row],[Negotiated_Cost]]</f>
        <v>15.630000000000052</v>
      </c>
      <c r="N998" s="18">
        <f>Table1[[#This Row],[Defective_Units]]/Table1[[#This Row],[Quantity]]</f>
        <v>3.125E-2</v>
      </c>
      <c r="O998" s="26">
        <f>(Table1[[#This Row],[Unit_Cost]]-Table1[[#This Row],[Negotiated_Cost]])/Table1[[#This Row],[Unit_Cost]]</f>
        <v>2.985160144387794E-2</v>
      </c>
    </row>
    <row r="999" spans="1:15" x14ac:dyDescent="0.25">
      <c r="A999" t="s">
        <v>1034</v>
      </c>
      <c r="B999" t="s">
        <v>40</v>
      </c>
      <c r="C999" s="14" t="s">
        <v>44</v>
      </c>
      <c r="D999" s="1">
        <v>45201</v>
      </c>
      <c r="E999" s="13">
        <v>45203</v>
      </c>
      <c r="F999" s="14" t="s">
        <v>14</v>
      </c>
      <c r="G999">
        <v>250</v>
      </c>
      <c r="H999">
        <v>9371.92</v>
      </c>
      <c r="I999">
        <v>8934.15</v>
      </c>
      <c r="J999">
        <v>7</v>
      </c>
      <c r="K999" s="14" t="s">
        <v>15</v>
      </c>
      <c r="L999" s="14">
        <f>IF(OR(Table1[[#This Row],[Order_Status]]="Delivered",Table1[[#This Row],[Delivery_Date]]&lt;&gt;"Not Yet Delivered"),Table1[[#This Row],[Delivery_Date]]-Table1[[#This Row],[Order_Date]],"Not Applicable")</f>
        <v>2</v>
      </c>
      <c r="M999" s="14">
        <f>Table1[[#This Row],[Unit_Cost]]-Table1[[#This Row],[Negotiated_Cost]]</f>
        <v>437.77000000000044</v>
      </c>
      <c r="N999" s="18">
        <f>Table1[[#This Row],[Defective_Units]]/Table1[[#This Row],[Quantity]]</f>
        <v>2.8000000000000001E-2</v>
      </c>
      <c r="O999" s="26">
        <f>(Table1[[#This Row],[Unit_Cost]]-Table1[[#This Row],[Negotiated_Cost]])/Table1[[#This Row],[Unit_Cost]]</f>
        <v>4.6710812725674185E-2</v>
      </c>
    </row>
    <row r="1000" spans="1:15" x14ac:dyDescent="0.25">
      <c r="A1000" t="s">
        <v>1035</v>
      </c>
      <c r="B1000" t="s">
        <v>27</v>
      </c>
      <c r="C1000" s="14" t="s">
        <v>24</v>
      </c>
      <c r="D1000" s="1">
        <v>45401</v>
      </c>
      <c r="E1000" s="13">
        <v>45426</v>
      </c>
      <c r="F1000" s="14" t="s">
        <v>14</v>
      </c>
      <c r="G1000">
        <v>147</v>
      </c>
      <c r="H1000">
        <v>13342.27</v>
      </c>
      <c r="I1000">
        <v>12828.44</v>
      </c>
      <c r="J1000">
        <v>0</v>
      </c>
      <c r="K1000" s="14" t="s">
        <v>15</v>
      </c>
      <c r="L1000" s="14">
        <f>IF(OR(Table1[[#This Row],[Order_Status]]="Delivered",Table1[[#This Row],[Delivery_Date]]&lt;&gt;"Not Yet Delivered"),Table1[[#This Row],[Delivery_Date]]-Table1[[#This Row],[Order_Date]],"Not Applicable")</f>
        <v>25</v>
      </c>
      <c r="M1000" s="14">
        <f>Table1[[#This Row],[Unit_Cost]]-Table1[[#This Row],[Negotiated_Cost]]</f>
        <v>513.82999999999993</v>
      </c>
      <c r="N1000" s="18">
        <f>Table1[[#This Row],[Defective_Units]]/Table1[[#This Row],[Quantity]]</f>
        <v>0</v>
      </c>
      <c r="O1000" s="26">
        <f>(Table1[[#This Row],[Unit_Cost]]-Table1[[#This Row],[Negotiated_Cost]])/Table1[[#This Row],[Unit_Cost]]</f>
        <v>3.851143770887562E-2</v>
      </c>
    </row>
    <row r="1001" spans="1:15" x14ac:dyDescent="0.25">
      <c r="A1001" t="s">
        <v>1036</v>
      </c>
      <c r="B1001" t="s">
        <v>35</v>
      </c>
      <c r="C1001" s="14" t="s">
        <v>28</v>
      </c>
      <c r="D1001" s="1">
        <v>45219</v>
      </c>
      <c r="E1001" s="13">
        <v>45232</v>
      </c>
      <c r="F1001" s="14" t="s">
        <v>14</v>
      </c>
      <c r="G1001">
        <v>308</v>
      </c>
      <c r="H1001">
        <v>45644.95</v>
      </c>
      <c r="I1001">
        <v>44874.29</v>
      </c>
      <c r="J1001">
        <v>9</v>
      </c>
      <c r="K1001" s="14" t="s">
        <v>15</v>
      </c>
      <c r="L1001" s="14">
        <f>IF(OR(Table1[[#This Row],[Order_Status]]="Delivered",Table1[[#This Row],[Delivery_Date]]&lt;&gt;"Not Yet Delivered"),Table1[[#This Row],[Delivery_Date]]-Table1[[#This Row],[Order_Date]],"Not Applicable")</f>
        <v>13</v>
      </c>
      <c r="M1001" s="14">
        <f>Table1[[#This Row],[Unit_Cost]]-Table1[[#This Row],[Negotiated_Cost]]</f>
        <v>770.65999999999622</v>
      </c>
      <c r="N1001" s="18">
        <f>Table1[[#This Row],[Defective_Units]]/Table1[[#This Row],[Quantity]]</f>
        <v>2.922077922077922E-2</v>
      </c>
      <c r="O1001" s="26">
        <f>(Table1[[#This Row],[Unit_Cost]]-Table1[[#This Row],[Negotiated_Cost]])/Table1[[#This Row],[Unit_Cost]]</f>
        <v>1.6883795469159156E-2</v>
      </c>
    </row>
    <row r="1002" spans="1:15" x14ac:dyDescent="0.25">
      <c r="A1002" t="s">
        <v>1037</v>
      </c>
      <c r="B1002" t="s">
        <v>27</v>
      </c>
      <c r="C1002" s="14" t="s">
        <v>28</v>
      </c>
      <c r="D1002" s="1">
        <v>45179</v>
      </c>
      <c r="E1002" s="14" t="s">
        <v>2057</v>
      </c>
      <c r="F1002" s="14" t="s">
        <v>22</v>
      </c>
      <c r="G1002">
        <v>136</v>
      </c>
      <c r="H1002">
        <v>49178.38</v>
      </c>
      <c r="I1002">
        <v>46828.25</v>
      </c>
      <c r="J1002">
        <v>2</v>
      </c>
      <c r="K1002" s="14" t="s">
        <v>15</v>
      </c>
      <c r="L1002" s="14" t="str">
        <f>IF(OR(Table1[[#This Row],[Order_Status]]="Delivered",Table1[[#This Row],[Delivery_Date]]&lt;&gt;"Not Yet Delivered"),Table1[[#This Row],[Delivery_Date]]-Table1[[#This Row],[Order_Date]],"Not Applicable")</f>
        <v>Not Applicable</v>
      </c>
      <c r="M1002" s="14">
        <f>Table1[[#This Row],[Unit_Cost]]-Table1[[#This Row],[Negotiated_Cost]]</f>
        <v>2350.1299999999974</v>
      </c>
      <c r="N1002" s="18">
        <f>Table1[[#This Row],[Defective_Units]]/Table1[[#This Row],[Quantity]]</f>
        <v>1.4705882352941176E-2</v>
      </c>
      <c r="O1002" s="26">
        <f>(Table1[[#This Row],[Unit_Cost]]-Table1[[#This Row],[Negotiated_Cost]])/Table1[[#This Row],[Unit_Cost]]</f>
        <v>4.7787869384880055E-2</v>
      </c>
    </row>
    <row r="1003" spans="1:15" x14ac:dyDescent="0.25">
      <c r="A1003" t="s">
        <v>1038</v>
      </c>
      <c r="B1003" t="s">
        <v>32</v>
      </c>
      <c r="C1003" s="14" t="s">
        <v>24</v>
      </c>
      <c r="D1003" s="1">
        <v>45201</v>
      </c>
      <c r="E1003" s="13">
        <v>45216</v>
      </c>
      <c r="F1003" s="14" t="s">
        <v>14</v>
      </c>
      <c r="G1003">
        <v>191</v>
      </c>
      <c r="H1003">
        <v>12050.37</v>
      </c>
      <c r="I1003">
        <v>12000.57</v>
      </c>
      <c r="J1003">
        <v>1</v>
      </c>
      <c r="K1003" s="14" t="s">
        <v>15</v>
      </c>
      <c r="L1003" s="14">
        <f>IF(OR(Table1[[#This Row],[Order_Status]]="Delivered",Table1[[#This Row],[Delivery_Date]]&lt;&gt;"Not Yet Delivered"),Table1[[#This Row],[Delivery_Date]]-Table1[[#This Row],[Order_Date]],"Not Applicable")</f>
        <v>15</v>
      </c>
      <c r="M1003" s="14">
        <f>Table1[[#This Row],[Unit_Cost]]-Table1[[#This Row],[Negotiated_Cost]]</f>
        <v>49.800000000001091</v>
      </c>
      <c r="N1003" s="18">
        <f>Table1[[#This Row],[Defective_Units]]/Table1[[#This Row],[Quantity]]</f>
        <v>5.235602094240838E-3</v>
      </c>
      <c r="O1003" s="26">
        <f>(Table1[[#This Row],[Unit_Cost]]-Table1[[#This Row],[Negotiated_Cost]])/Table1[[#This Row],[Unit_Cost]]</f>
        <v>4.1326531882424434E-3</v>
      </c>
    </row>
    <row r="1004" spans="1:15" x14ac:dyDescent="0.25">
      <c r="A1004" t="s">
        <v>1039</v>
      </c>
      <c r="B1004" t="s">
        <v>12</v>
      </c>
      <c r="C1004" s="14" t="s">
        <v>24</v>
      </c>
      <c r="D1004" s="1">
        <v>44952</v>
      </c>
      <c r="E1004" s="13">
        <v>44956</v>
      </c>
      <c r="F1004" s="14" t="s">
        <v>14</v>
      </c>
      <c r="G1004">
        <v>270</v>
      </c>
      <c r="H1004">
        <v>13144.59</v>
      </c>
      <c r="I1004">
        <v>12786.45</v>
      </c>
      <c r="J1004">
        <v>1</v>
      </c>
      <c r="K1004" s="14" t="s">
        <v>15</v>
      </c>
      <c r="L1004" s="14">
        <f>IF(OR(Table1[[#This Row],[Order_Status]]="Delivered",Table1[[#This Row],[Delivery_Date]]&lt;&gt;"Not Yet Delivered"),Table1[[#This Row],[Delivery_Date]]-Table1[[#This Row],[Order_Date]],"Not Applicable")</f>
        <v>4</v>
      </c>
      <c r="M1004" s="14">
        <f>Table1[[#This Row],[Unit_Cost]]-Table1[[#This Row],[Negotiated_Cost]]</f>
        <v>358.13999999999942</v>
      </c>
      <c r="N1004" s="18">
        <f>Table1[[#This Row],[Defective_Units]]/Table1[[#This Row],[Quantity]]</f>
        <v>3.7037037037037038E-3</v>
      </c>
      <c r="O1004" s="26">
        <f>(Table1[[#This Row],[Unit_Cost]]-Table1[[#This Row],[Negotiated_Cost]])/Table1[[#This Row],[Unit_Cost]]</f>
        <v>2.7246190257740974E-2</v>
      </c>
    </row>
    <row r="1005" spans="1:15" x14ac:dyDescent="0.25">
      <c r="A1005" t="s">
        <v>1040</v>
      </c>
      <c r="B1005" t="s">
        <v>17</v>
      </c>
      <c r="C1005" s="14" t="s">
        <v>21</v>
      </c>
      <c r="D1005" s="1">
        <v>45411</v>
      </c>
      <c r="E1005" s="14" t="s">
        <v>2057</v>
      </c>
      <c r="F1005" s="14" t="s">
        <v>33</v>
      </c>
      <c r="G1005">
        <v>91</v>
      </c>
      <c r="H1005">
        <v>106.16</v>
      </c>
      <c r="I1005">
        <v>104.94</v>
      </c>
      <c r="J1005">
        <v>2</v>
      </c>
      <c r="K1005" s="14" t="s">
        <v>15</v>
      </c>
      <c r="L1005" s="14" t="str">
        <f>IF(OR(Table1[[#This Row],[Order_Status]]="Delivered",Table1[[#This Row],[Delivery_Date]]&lt;&gt;"Not Yet Delivered"),Table1[[#This Row],[Delivery_Date]]-Table1[[#This Row],[Order_Date]],"Not Applicable")</f>
        <v>Not Applicable</v>
      </c>
      <c r="M1005" s="14">
        <f>Table1[[#This Row],[Unit_Cost]]-Table1[[#This Row],[Negotiated_Cost]]</f>
        <v>1.2199999999999989</v>
      </c>
      <c r="N1005" s="18">
        <f>Table1[[#This Row],[Defective_Units]]/Table1[[#This Row],[Quantity]]</f>
        <v>2.197802197802198E-2</v>
      </c>
      <c r="O1005" s="26">
        <f>(Table1[[#This Row],[Unit_Cost]]-Table1[[#This Row],[Negotiated_Cost]])/Table1[[#This Row],[Unit_Cost]]</f>
        <v>1.1492087415222296E-2</v>
      </c>
    </row>
    <row r="1006" spans="1:15" x14ac:dyDescent="0.25">
      <c r="A1006" t="s">
        <v>1041</v>
      </c>
      <c r="B1006" t="s">
        <v>12</v>
      </c>
      <c r="C1006" s="14" t="s">
        <v>28</v>
      </c>
      <c r="D1006" s="1">
        <v>45393</v>
      </c>
      <c r="E1006" s="13">
        <v>45401</v>
      </c>
      <c r="F1006" s="14" t="s">
        <v>14</v>
      </c>
      <c r="G1006">
        <v>264</v>
      </c>
      <c r="H1006">
        <v>51298.29</v>
      </c>
      <c r="I1006">
        <v>49172.79</v>
      </c>
      <c r="J1006">
        <v>3</v>
      </c>
      <c r="K1006" s="14" t="s">
        <v>15</v>
      </c>
      <c r="L1006" s="14">
        <f>IF(OR(Table1[[#This Row],[Order_Status]]="Delivered",Table1[[#This Row],[Delivery_Date]]&lt;&gt;"Not Yet Delivered"),Table1[[#This Row],[Delivery_Date]]-Table1[[#This Row],[Order_Date]],"Not Applicable")</f>
        <v>8</v>
      </c>
      <c r="M1006" s="14">
        <f>Table1[[#This Row],[Unit_Cost]]-Table1[[#This Row],[Negotiated_Cost]]</f>
        <v>2125.5</v>
      </c>
      <c r="N1006" s="18">
        <f>Table1[[#This Row],[Defective_Units]]/Table1[[#This Row],[Quantity]]</f>
        <v>1.1363636363636364E-2</v>
      </c>
      <c r="O1006" s="26">
        <f>(Table1[[#This Row],[Unit_Cost]]-Table1[[#This Row],[Negotiated_Cost]])/Table1[[#This Row],[Unit_Cost]]</f>
        <v>4.143412967566755E-2</v>
      </c>
    </row>
    <row r="1007" spans="1:15" x14ac:dyDescent="0.25">
      <c r="A1007" t="s">
        <v>1042</v>
      </c>
      <c r="B1007" t="s">
        <v>12</v>
      </c>
      <c r="C1007" s="14" t="s">
        <v>42</v>
      </c>
      <c r="D1007" s="1">
        <v>45000</v>
      </c>
      <c r="E1007" s="14" t="s">
        <v>2057</v>
      </c>
      <c r="F1007" s="14" t="s">
        <v>33</v>
      </c>
      <c r="G1007">
        <v>346</v>
      </c>
      <c r="H1007">
        <v>12759.91</v>
      </c>
      <c r="I1007">
        <v>12731.48</v>
      </c>
      <c r="J1007">
        <v>2</v>
      </c>
      <c r="K1007" s="14" t="s">
        <v>15</v>
      </c>
      <c r="L1007" s="14" t="str">
        <f>IF(OR(Table1[[#This Row],[Order_Status]]="Delivered",Table1[[#This Row],[Delivery_Date]]&lt;&gt;"Not Yet Delivered"),Table1[[#This Row],[Delivery_Date]]-Table1[[#This Row],[Order_Date]],"Not Applicable")</f>
        <v>Not Applicable</v>
      </c>
      <c r="M1007" s="14">
        <f>Table1[[#This Row],[Unit_Cost]]-Table1[[#This Row],[Negotiated_Cost]]</f>
        <v>28.430000000000291</v>
      </c>
      <c r="N1007" s="18">
        <f>Table1[[#This Row],[Defective_Units]]/Table1[[#This Row],[Quantity]]</f>
        <v>5.7803468208092483E-3</v>
      </c>
      <c r="O1007" s="26">
        <f>(Table1[[#This Row],[Unit_Cost]]-Table1[[#This Row],[Negotiated_Cost]])/Table1[[#This Row],[Unit_Cost]]</f>
        <v>2.2280721415746893E-3</v>
      </c>
    </row>
    <row r="1008" spans="1:15" x14ac:dyDescent="0.25">
      <c r="A1008" t="s">
        <v>1043</v>
      </c>
      <c r="B1008" t="s">
        <v>12</v>
      </c>
      <c r="C1008" s="14" t="s">
        <v>50</v>
      </c>
      <c r="D1008" s="1">
        <v>45159</v>
      </c>
      <c r="E1008" s="13">
        <v>45161</v>
      </c>
      <c r="F1008" s="14" t="s">
        <v>14</v>
      </c>
      <c r="G1008">
        <v>270</v>
      </c>
      <c r="H1008">
        <v>55435.42</v>
      </c>
      <c r="I1008">
        <v>54718.33</v>
      </c>
      <c r="J1008">
        <v>4</v>
      </c>
      <c r="K1008" s="14" t="s">
        <v>15</v>
      </c>
      <c r="L1008" s="14">
        <f>IF(OR(Table1[[#This Row],[Order_Status]]="Delivered",Table1[[#This Row],[Delivery_Date]]&lt;&gt;"Not Yet Delivered"),Table1[[#This Row],[Delivery_Date]]-Table1[[#This Row],[Order_Date]],"Not Applicable")</f>
        <v>2</v>
      </c>
      <c r="M1008" s="14">
        <f>Table1[[#This Row],[Unit_Cost]]-Table1[[#This Row],[Negotiated_Cost]]</f>
        <v>717.08999999999651</v>
      </c>
      <c r="N1008" s="18">
        <f>Table1[[#This Row],[Defective_Units]]/Table1[[#This Row],[Quantity]]</f>
        <v>1.4814814814814815E-2</v>
      </c>
      <c r="O1008" s="26">
        <f>(Table1[[#This Row],[Unit_Cost]]-Table1[[#This Row],[Negotiated_Cost]])/Table1[[#This Row],[Unit_Cost]]</f>
        <v>1.2935592442521343E-2</v>
      </c>
    </row>
    <row r="1009" spans="1:15" x14ac:dyDescent="0.25">
      <c r="A1009" t="s">
        <v>1044</v>
      </c>
      <c r="B1009" t="s">
        <v>35</v>
      </c>
      <c r="C1009" s="14" t="s">
        <v>42</v>
      </c>
      <c r="D1009" s="1">
        <v>45539</v>
      </c>
      <c r="E1009" s="13">
        <v>45556</v>
      </c>
      <c r="F1009" s="14" t="s">
        <v>14</v>
      </c>
      <c r="G1009">
        <v>230</v>
      </c>
      <c r="H1009">
        <v>12008.76</v>
      </c>
      <c r="I1009">
        <v>11805.01</v>
      </c>
      <c r="J1009">
        <v>6</v>
      </c>
      <c r="K1009" s="14" t="s">
        <v>15</v>
      </c>
      <c r="L1009" s="14">
        <f>IF(OR(Table1[[#This Row],[Order_Status]]="Delivered",Table1[[#This Row],[Delivery_Date]]&lt;&gt;"Not Yet Delivered"),Table1[[#This Row],[Delivery_Date]]-Table1[[#This Row],[Order_Date]],"Not Applicable")</f>
        <v>17</v>
      </c>
      <c r="M1009" s="14">
        <f>Table1[[#This Row],[Unit_Cost]]-Table1[[#This Row],[Negotiated_Cost]]</f>
        <v>203.75</v>
      </c>
      <c r="N1009" s="18">
        <f>Table1[[#This Row],[Defective_Units]]/Table1[[#This Row],[Quantity]]</f>
        <v>2.6086956521739129E-2</v>
      </c>
      <c r="O1009" s="26">
        <f>(Table1[[#This Row],[Unit_Cost]]-Table1[[#This Row],[Negotiated_Cost]])/Table1[[#This Row],[Unit_Cost]]</f>
        <v>1.6966780916597549E-2</v>
      </c>
    </row>
    <row r="1010" spans="1:15" x14ac:dyDescent="0.25">
      <c r="A1010" t="s">
        <v>1045</v>
      </c>
      <c r="B1010" t="s">
        <v>46</v>
      </c>
      <c r="C1010" s="14" t="s">
        <v>21</v>
      </c>
      <c r="D1010" s="1">
        <v>45294</v>
      </c>
      <c r="E1010" s="13">
        <v>45297</v>
      </c>
      <c r="F1010" s="14" t="s">
        <v>14</v>
      </c>
      <c r="G1010">
        <v>349</v>
      </c>
      <c r="H1010">
        <v>123.41</v>
      </c>
      <c r="I1010">
        <v>121.06</v>
      </c>
      <c r="J1010">
        <v>5</v>
      </c>
      <c r="K1010" s="14" t="s">
        <v>15</v>
      </c>
      <c r="L1010" s="14">
        <f>IF(OR(Table1[[#This Row],[Order_Status]]="Delivered",Table1[[#This Row],[Delivery_Date]]&lt;&gt;"Not Yet Delivered"),Table1[[#This Row],[Delivery_Date]]-Table1[[#This Row],[Order_Date]],"Not Applicable")</f>
        <v>3</v>
      </c>
      <c r="M1010" s="14">
        <f>Table1[[#This Row],[Unit_Cost]]-Table1[[#This Row],[Negotiated_Cost]]</f>
        <v>2.3499999999999943</v>
      </c>
      <c r="N1010" s="18">
        <f>Table1[[#This Row],[Defective_Units]]/Table1[[#This Row],[Quantity]]</f>
        <v>1.4326647564469915E-2</v>
      </c>
      <c r="O1010" s="26">
        <f>(Table1[[#This Row],[Unit_Cost]]-Table1[[#This Row],[Negotiated_Cost]])/Table1[[#This Row],[Unit_Cost]]</f>
        <v>1.9042217000243045E-2</v>
      </c>
    </row>
    <row r="1011" spans="1:15" x14ac:dyDescent="0.25">
      <c r="A1011" t="s">
        <v>1046</v>
      </c>
      <c r="B1011" t="s">
        <v>20</v>
      </c>
      <c r="C1011" s="14" t="s">
        <v>48</v>
      </c>
      <c r="D1011" s="1">
        <v>45590</v>
      </c>
      <c r="E1011" s="13">
        <v>45618</v>
      </c>
      <c r="F1011" s="14" t="s">
        <v>37</v>
      </c>
      <c r="G1011">
        <v>156</v>
      </c>
      <c r="H1011">
        <v>6357.8</v>
      </c>
      <c r="I1011">
        <v>6138.33</v>
      </c>
      <c r="J1011">
        <v>1</v>
      </c>
      <c r="K1011" s="14" t="s">
        <v>15</v>
      </c>
      <c r="L1011" s="14">
        <f>IF(OR(Table1[[#This Row],[Order_Status]]="Delivered",Table1[[#This Row],[Delivery_Date]]&lt;&gt;"Not Yet Delivered"),Table1[[#This Row],[Delivery_Date]]-Table1[[#This Row],[Order_Date]],"Not Applicable")</f>
        <v>28</v>
      </c>
      <c r="M1011" s="14">
        <f>Table1[[#This Row],[Unit_Cost]]-Table1[[#This Row],[Negotiated_Cost]]</f>
        <v>219.47000000000025</v>
      </c>
      <c r="N1011" s="18">
        <f>Table1[[#This Row],[Defective_Units]]/Table1[[#This Row],[Quantity]]</f>
        <v>6.41025641025641E-3</v>
      </c>
      <c r="O1011" s="26">
        <f>(Table1[[#This Row],[Unit_Cost]]-Table1[[#This Row],[Negotiated_Cost]])/Table1[[#This Row],[Unit_Cost]]</f>
        <v>3.4519802447387497E-2</v>
      </c>
    </row>
    <row r="1012" spans="1:15" x14ac:dyDescent="0.25">
      <c r="A1012" t="s">
        <v>1047</v>
      </c>
      <c r="B1012" t="s">
        <v>32</v>
      </c>
      <c r="C1012" s="14" t="s">
        <v>13</v>
      </c>
      <c r="D1012" s="1">
        <v>45056</v>
      </c>
      <c r="E1012" s="13">
        <v>45072</v>
      </c>
      <c r="F1012" s="14" t="s">
        <v>14</v>
      </c>
      <c r="G1012">
        <v>381</v>
      </c>
      <c r="H1012">
        <v>3688.16</v>
      </c>
      <c r="I1012">
        <v>3561.17</v>
      </c>
      <c r="J1012">
        <v>3</v>
      </c>
      <c r="K1012" s="14" t="s">
        <v>15</v>
      </c>
      <c r="L1012" s="14">
        <f>IF(OR(Table1[[#This Row],[Order_Status]]="Delivered",Table1[[#This Row],[Delivery_Date]]&lt;&gt;"Not Yet Delivered"),Table1[[#This Row],[Delivery_Date]]-Table1[[#This Row],[Order_Date]],"Not Applicable")</f>
        <v>16</v>
      </c>
      <c r="M1012" s="14">
        <f>Table1[[#This Row],[Unit_Cost]]-Table1[[#This Row],[Negotiated_Cost]]</f>
        <v>126.98999999999978</v>
      </c>
      <c r="N1012" s="18">
        <f>Table1[[#This Row],[Defective_Units]]/Table1[[#This Row],[Quantity]]</f>
        <v>7.874015748031496E-3</v>
      </c>
      <c r="O1012" s="26">
        <f>(Table1[[#This Row],[Unit_Cost]]-Table1[[#This Row],[Negotiated_Cost]])/Table1[[#This Row],[Unit_Cost]]</f>
        <v>3.4431803392477492E-2</v>
      </c>
    </row>
    <row r="1013" spans="1:15" x14ac:dyDescent="0.25">
      <c r="A1013" t="s">
        <v>1048</v>
      </c>
      <c r="B1013" t="s">
        <v>12</v>
      </c>
      <c r="C1013" s="14" t="s">
        <v>24</v>
      </c>
      <c r="D1013" s="1">
        <v>45431</v>
      </c>
      <c r="E1013" s="13">
        <v>45457</v>
      </c>
      <c r="F1013" s="14" t="s">
        <v>14</v>
      </c>
      <c r="G1013">
        <v>312</v>
      </c>
      <c r="H1013">
        <v>13535.54</v>
      </c>
      <c r="I1013">
        <v>13113.82</v>
      </c>
      <c r="J1013">
        <v>2</v>
      </c>
      <c r="K1013" s="14" t="s">
        <v>15</v>
      </c>
      <c r="L1013" s="14">
        <f>IF(OR(Table1[[#This Row],[Order_Status]]="Delivered",Table1[[#This Row],[Delivery_Date]]&lt;&gt;"Not Yet Delivered"),Table1[[#This Row],[Delivery_Date]]-Table1[[#This Row],[Order_Date]],"Not Applicable")</f>
        <v>26</v>
      </c>
      <c r="M1013" s="14">
        <f>Table1[[#This Row],[Unit_Cost]]-Table1[[#This Row],[Negotiated_Cost]]</f>
        <v>421.72000000000116</v>
      </c>
      <c r="N1013" s="18">
        <f>Table1[[#This Row],[Defective_Units]]/Table1[[#This Row],[Quantity]]</f>
        <v>6.41025641025641E-3</v>
      </c>
      <c r="O1013" s="26">
        <f>(Table1[[#This Row],[Unit_Cost]]-Table1[[#This Row],[Negotiated_Cost]])/Table1[[#This Row],[Unit_Cost]]</f>
        <v>3.1156496157523167E-2</v>
      </c>
    </row>
    <row r="1014" spans="1:15" x14ac:dyDescent="0.25">
      <c r="A1014" t="s">
        <v>1049</v>
      </c>
      <c r="B1014" t="s">
        <v>17</v>
      </c>
      <c r="C1014" s="14" t="s">
        <v>21</v>
      </c>
      <c r="D1014" s="1">
        <v>44980</v>
      </c>
      <c r="E1014" s="13">
        <v>45006</v>
      </c>
      <c r="F1014" s="14" t="s">
        <v>14</v>
      </c>
      <c r="G1014">
        <v>462</v>
      </c>
      <c r="H1014">
        <v>108.92</v>
      </c>
      <c r="I1014">
        <v>104.9</v>
      </c>
      <c r="J1014">
        <v>4</v>
      </c>
      <c r="K1014" s="14" t="s">
        <v>15</v>
      </c>
      <c r="L1014" s="14">
        <f>IF(OR(Table1[[#This Row],[Order_Status]]="Delivered",Table1[[#This Row],[Delivery_Date]]&lt;&gt;"Not Yet Delivered"),Table1[[#This Row],[Delivery_Date]]-Table1[[#This Row],[Order_Date]],"Not Applicable")</f>
        <v>26</v>
      </c>
      <c r="M1014" s="14">
        <f>Table1[[#This Row],[Unit_Cost]]-Table1[[#This Row],[Negotiated_Cost]]</f>
        <v>4.019999999999996</v>
      </c>
      <c r="N1014" s="18">
        <f>Table1[[#This Row],[Defective_Units]]/Table1[[#This Row],[Quantity]]</f>
        <v>8.658008658008658E-3</v>
      </c>
      <c r="O1014" s="26">
        <f>(Table1[[#This Row],[Unit_Cost]]-Table1[[#This Row],[Negotiated_Cost]])/Table1[[#This Row],[Unit_Cost]]</f>
        <v>3.690782225486592E-2</v>
      </c>
    </row>
    <row r="1015" spans="1:15" x14ac:dyDescent="0.25">
      <c r="A1015" t="s">
        <v>1050</v>
      </c>
      <c r="B1015" t="s">
        <v>12</v>
      </c>
      <c r="C1015" s="14" t="s">
        <v>48</v>
      </c>
      <c r="D1015" s="1">
        <v>45161</v>
      </c>
      <c r="E1015" s="13">
        <v>45183</v>
      </c>
      <c r="F1015" s="14" t="s">
        <v>14</v>
      </c>
      <c r="G1015">
        <v>154</v>
      </c>
      <c r="H1015">
        <v>6472.93</v>
      </c>
      <c r="I1015">
        <v>6094.77</v>
      </c>
      <c r="J1015">
        <v>0</v>
      </c>
      <c r="K1015" s="14" t="s">
        <v>15</v>
      </c>
      <c r="L1015" s="14">
        <f>IF(OR(Table1[[#This Row],[Order_Status]]="Delivered",Table1[[#This Row],[Delivery_Date]]&lt;&gt;"Not Yet Delivered"),Table1[[#This Row],[Delivery_Date]]-Table1[[#This Row],[Order_Date]],"Not Applicable")</f>
        <v>22</v>
      </c>
      <c r="M1015" s="14">
        <f>Table1[[#This Row],[Unit_Cost]]-Table1[[#This Row],[Negotiated_Cost]]</f>
        <v>378.15999999999985</v>
      </c>
      <c r="N1015" s="18">
        <f>Table1[[#This Row],[Defective_Units]]/Table1[[#This Row],[Quantity]]</f>
        <v>0</v>
      </c>
      <c r="O1015" s="26">
        <f>(Table1[[#This Row],[Unit_Cost]]-Table1[[#This Row],[Negotiated_Cost]])/Table1[[#This Row],[Unit_Cost]]</f>
        <v>5.8421765722787025E-2</v>
      </c>
    </row>
    <row r="1016" spans="1:15" x14ac:dyDescent="0.25">
      <c r="A1016" t="s">
        <v>1051</v>
      </c>
      <c r="B1016" t="s">
        <v>32</v>
      </c>
      <c r="C1016" s="14" t="s">
        <v>55</v>
      </c>
      <c r="D1016" s="1">
        <v>45450</v>
      </c>
      <c r="E1016" s="13">
        <v>45477</v>
      </c>
      <c r="F1016" s="14" t="s">
        <v>14</v>
      </c>
      <c r="G1016">
        <v>196</v>
      </c>
      <c r="H1016">
        <v>14056.73</v>
      </c>
      <c r="I1016">
        <v>13319.91</v>
      </c>
      <c r="J1016">
        <v>2</v>
      </c>
      <c r="K1016" s="14" t="s">
        <v>15</v>
      </c>
      <c r="L1016" s="14">
        <f>IF(OR(Table1[[#This Row],[Order_Status]]="Delivered",Table1[[#This Row],[Delivery_Date]]&lt;&gt;"Not Yet Delivered"),Table1[[#This Row],[Delivery_Date]]-Table1[[#This Row],[Order_Date]],"Not Applicable")</f>
        <v>27</v>
      </c>
      <c r="M1016" s="14">
        <f>Table1[[#This Row],[Unit_Cost]]-Table1[[#This Row],[Negotiated_Cost]]</f>
        <v>736.81999999999971</v>
      </c>
      <c r="N1016" s="18">
        <f>Table1[[#This Row],[Defective_Units]]/Table1[[#This Row],[Quantity]]</f>
        <v>1.020408163265306E-2</v>
      </c>
      <c r="O1016" s="26">
        <f>(Table1[[#This Row],[Unit_Cost]]-Table1[[#This Row],[Negotiated_Cost]])/Table1[[#This Row],[Unit_Cost]]</f>
        <v>5.2417596411114091E-2</v>
      </c>
    </row>
    <row r="1017" spans="1:15" x14ac:dyDescent="0.25">
      <c r="A1017" t="s">
        <v>1052</v>
      </c>
      <c r="B1017" t="s">
        <v>12</v>
      </c>
      <c r="C1017" s="14" t="s">
        <v>30</v>
      </c>
      <c r="D1017" s="1">
        <v>45464</v>
      </c>
      <c r="E1017" s="13">
        <v>45473</v>
      </c>
      <c r="F1017" s="14" t="s">
        <v>14</v>
      </c>
      <c r="G1017">
        <v>57</v>
      </c>
      <c r="H1017">
        <v>963.01</v>
      </c>
      <c r="I1017">
        <v>937.96</v>
      </c>
      <c r="J1017">
        <v>0</v>
      </c>
      <c r="K1017" s="14" t="s">
        <v>15</v>
      </c>
      <c r="L1017" s="14">
        <f>IF(OR(Table1[[#This Row],[Order_Status]]="Delivered",Table1[[#This Row],[Delivery_Date]]&lt;&gt;"Not Yet Delivered"),Table1[[#This Row],[Delivery_Date]]-Table1[[#This Row],[Order_Date]],"Not Applicable")</f>
        <v>9</v>
      </c>
      <c r="M1017" s="14">
        <f>Table1[[#This Row],[Unit_Cost]]-Table1[[#This Row],[Negotiated_Cost]]</f>
        <v>25.049999999999955</v>
      </c>
      <c r="N1017" s="18">
        <f>Table1[[#This Row],[Defective_Units]]/Table1[[#This Row],[Quantity]]</f>
        <v>0</v>
      </c>
      <c r="O1017" s="26">
        <f>(Table1[[#This Row],[Unit_Cost]]-Table1[[#This Row],[Negotiated_Cost]])/Table1[[#This Row],[Unit_Cost]]</f>
        <v>2.6012190942980816E-2</v>
      </c>
    </row>
    <row r="1018" spans="1:15" x14ac:dyDescent="0.25">
      <c r="A1018" t="s">
        <v>1053</v>
      </c>
      <c r="B1018" t="s">
        <v>46</v>
      </c>
      <c r="C1018" s="14" t="s">
        <v>44</v>
      </c>
      <c r="D1018" s="1">
        <v>45454</v>
      </c>
      <c r="E1018" s="13">
        <v>45475</v>
      </c>
      <c r="F1018" s="14" t="s">
        <v>14</v>
      </c>
      <c r="G1018">
        <v>277</v>
      </c>
      <c r="H1018">
        <v>8424.31</v>
      </c>
      <c r="I1018">
        <v>8236.0499999999993</v>
      </c>
      <c r="J1018">
        <v>0</v>
      </c>
      <c r="K1018" s="14" t="s">
        <v>15</v>
      </c>
      <c r="L1018" s="14">
        <f>IF(OR(Table1[[#This Row],[Order_Status]]="Delivered",Table1[[#This Row],[Delivery_Date]]&lt;&gt;"Not Yet Delivered"),Table1[[#This Row],[Delivery_Date]]-Table1[[#This Row],[Order_Date]],"Not Applicable")</f>
        <v>21</v>
      </c>
      <c r="M1018" s="14">
        <f>Table1[[#This Row],[Unit_Cost]]-Table1[[#This Row],[Negotiated_Cost]]</f>
        <v>188.26000000000022</v>
      </c>
      <c r="N1018" s="18">
        <f>Table1[[#This Row],[Defective_Units]]/Table1[[#This Row],[Quantity]]</f>
        <v>0</v>
      </c>
      <c r="O1018" s="26">
        <f>(Table1[[#This Row],[Unit_Cost]]-Table1[[#This Row],[Negotiated_Cost]])/Table1[[#This Row],[Unit_Cost]]</f>
        <v>2.2347230811781645E-2</v>
      </c>
    </row>
    <row r="1019" spans="1:15" x14ac:dyDescent="0.25">
      <c r="A1019" t="s">
        <v>1054</v>
      </c>
      <c r="B1019" t="s">
        <v>46</v>
      </c>
      <c r="C1019" s="14" t="s">
        <v>44</v>
      </c>
      <c r="D1019" s="1">
        <v>45147</v>
      </c>
      <c r="E1019" s="14" t="s">
        <v>2057</v>
      </c>
      <c r="F1019" s="14" t="s">
        <v>22</v>
      </c>
      <c r="G1019">
        <v>215</v>
      </c>
      <c r="H1019">
        <v>8407.6</v>
      </c>
      <c r="I1019">
        <v>8074.15</v>
      </c>
      <c r="J1019">
        <v>2</v>
      </c>
      <c r="K1019" s="14" t="s">
        <v>15</v>
      </c>
      <c r="L1019" s="14" t="str">
        <f>IF(OR(Table1[[#This Row],[Order_Status]]="Delivered",Table1[[#This Row],[Delivery_Date]]&lt;&gt;"Not Yet Delivered"),Table1[[#This Row],[Delivery_Date]]-Table1[[#This Row],[Order_Date]],"Not Applicable")</f>
        <v>Not Applicable</v>
      </c>
      <c r="M1019" s="14">
        <f>Table1[[#This Row],[Unit_Cost]]-Table1[[#This Row],[Negotiated_Cost]]</f>
        <v>333.45000000000073</v>
      </c>
      <c r="N1019" s="18">
        <f>Table1[[#This Row],[Defective_Units]]/Table1[[#This Row],[Quantity]]</f>
        <v>9.3023255813953487E-3</v>
      </c>
      <c r="O1019" s="26">
        <f>(Table1[[#This Row],[Unit_Cost]]-Table1[[#This Row],[Negotiated_Cost]])/Table1[[#This Row],[Unit_Cost]]</f>
        <v>3.966054522099062E-2</v>
      </c>
    </row>
    <row r="1020" spans="1:15" x14ac:dyDescent="0.25">
      <c r="A1020" t="s">
        <v>1055</v>
      </c>
      <c r="B1020" t="s">
        <v>12</v>
      </c>
      <c r="C1020" s="14" t="s">
        <v>18</v>
      </c>
      <c r="D1020" s="1">
        <v>44940</v>
      </c>
      <c r="E1020" s="13">
        <v>44957</v>
      </c>
      <c r="F1020" s="14" t="s">
        <v>14</v>
      </c>
      <c r="G1020">
        <v>137</v>
      </c>
      <c r="H1020">
        <v>5474.37</v>
      </c>
      <c r="I1020">
        <v>5196.93</v>
      </c>
      <c r="J1020">
        <v>2</v>
      </c>
      <c r="K1020" s="14" t="s">
        <v>15</v>
      </c>
      <c r="L1020" s="14">
        <f>IF(OR(Table1[[#This Row],[Order_Status]]="Delivered",Table1[[#This Row],[Delivery_Date]]&lt;&gt;"Not Yet Delivered"),Table1[[#This Row],[Delivery_Date]]-Table1[[#This Row],[Order_Date]],"Not Applicable")</f>
        <v>17</v>
      </c>
      <c r="M1020" s="14">
        <f>Table1[[#This Row],[Unit_Cost]]-Table1[[#This Row],[Negotiated_Cost]]</f>
        <v>277.4399999999996</v>
      </c>
      <c r="N1020" s="18">
        <f>Table1[[#This Row],[Defective_Units]]/Table1[[#This Row],[Quantity]]</f>
        <v>1.4598540145985401E-2</v>
      </c>
      <c r="O1020" s="26">
        <f>(Table1[[#This Row],[Unit_Cost]]-Table1[[#This Row],[Negotiated_Cost]])/Table1[[#This Row],[Unit_Cost]]</f>
        <v>5.0679804251448038E-2</v>
      </c>
    </row>
    <row r="1021" spans="1:15" x14ac:dyDescent="0.25">
      <c r="A1021" t="s">
        <v>1056</v>
      </c>
      <c r="B1021" t="s">
        <v>20</v>
      </c>
      <c r="C1021" s="14" t="s">
        <v>50</v>
      </c>
      <c r="D1021" s="1">
        <v>45346</v>
      </c>
      <c r="E1021" s="13">
        <v>45376</v>
      </c>
      <c r="F1021" s="14" t="s">
        <v>14</v>
      </c>
      <c r="G1021">
        <v>11</v>
      </c>
      <c r="H1021">
        <v>50381.58</v>
      </c>
      <c r="I1021">
        <v>48393.32</v>
      </c>
      <c r="J1021">
        <v>1</v>
      </c>
      <c r="K1021" s="14" t="s">
        <v>15</v>
      </c>
      <c r="L1021" s="14">
        <f>IF(OR(Table1[[#This Row],[Order_Status]]="Delivered",Table1[[#This Row],[Delivery_Date]]&lt;&gt;"Not Yet Delivered"),Table1[[#This Row],[Delivery_Date]]-Table1[[#This Row],[Order_Date]],"Not Applicable")</f>
        <v>30</v>
      </c>
      <c r="M1021" s="14">
        <f>Table1[[#This Row],[Unit_Cost]]-Table1[[#This Row],[Negotiated_Cost]]</f>
        <v>1988.260000000002</v>
      </c>
      <c r="N1021" s="18">
        <f>Table1[[#This Row],[Defective_Units]]/Table1[[#This Row],[Quantity]]</f>
        <v>9.0909090909090912E-2</v>
      </c>
      <c r="O1021" s="26">
        <f>(Table1[[#This Row],[Unit_Cost]]-Table1[[#This Row],[Negotiated_Cost]])/Table1[[#This Row],[Unit_Cost]]</f>
        <v>3.9464026336609573E-2</v>
      </c>
    </row>
    <row r="1022" spans="1:15" x14ac:dyDescent="0.25">
      <c r="A1022" t="s">
        <v>1057</v>
      </c>
      <c r="B1022" t="s">
        <v>27</v>
      </c>
      <c r="C1022" s="14" t="s">
        <v>55</v>
      </c>
      <c r="D1022" s="1">
        <v>45129</v>
      </c>
      <c r="E1022" s="13">
        <v>45131</v>
      </c>
      <c r="F1022" s="14" t="s">
        <v>14</v>
      </c>
      <c r="G1022">
        <v>292</v>
      </c>
      <c r="H1022">
        <v>14486.52</v>
      </c>
      <c r="I1022">
        <v>13957.58</v>
      </c>
      <c r="J1022">
        <v>1</v>
      </c>
      <c r="K1022" s="14" t="s">
        <v>15</v>
      </c>
      <c r="L1022" s="14">
        <f>IF(OR(Table1[[#This Row],[Order_Status]]="Delivered",Table1[[#This Row],[Delivery_Date]]&lt;&gt;"Not Yet Delivered"),Table1[[#This Row],[Delivery_Date]]-Table1[[#This Row],[Order_Date]],"Not Applicable")</f>
        <v>2</v>
      </c>
      <c r="M1022" s="14">
        <f>Table1[[#This Row],[Unit_Cost]]-Table1[[#This Row],[Negotiated_Cost]]</f>
        <v>528.94000000000051</v>
      </c>
      <c r="N1022" s="18">
        <f>Table1[[#This Row],[Defective_Units]]/Table1[[#This Row],[Quantity]]</f>
        <v>3.4246575342465752E-3</v>
      </c>
      <c r="O1022" s="26">
        <f>(Table1[[#This Row],[Unit_Cost]]-Table1[[#This Row],[Negotiated_Cost]])/Table1[[#This Row],[Unit_Cost]]</f>
        <v>3.6512564784365084E-2</v>
      </c>
    </row>
    <row r="1023" spans="1:15" x14ac:dyDescent="0.25">
      <c r="A1023" t="s">
        <v>1058</v>
      </c>
      <c r="B1023" t="s">
        <v>40</v>
      </c>
      <c r="C1023" s="14" t="s">
        <v>28</v>
      </c>
      <c r="D1023" s="1">
        <v>45291</v>
      </c>
      <c r="E1023" s="14" t="s">
        <v>2057</v>
      </c>
      <c r="F1023" s="14" t="s">
        <v>33</v>
      </c>
      <c r="G1023">
        <v>107</v>
      </c>
      <c r="H1023">
        <v>50650.49</v>
      </c>
      <c r="I1023">
        <v>48500.2</v>
      </c>
      <c r="J1023">
        <v>2</v>
      </c>
      <c r="K1023" s="14" t="s">
        <v>15</v>
      </c>
      <c r="L1023" s="14" t="str">
        <f>IF(OR(Table1[[#This Row],[Order_Status]]="Delivered",Table1[[#This Row],[Delivery_Date]]&lt;&gt;"Not Yet Delivered"),Table1[[#This Row],[Delivery_Date]]-Table1[[#This Row],[Order_Date]],"Not Applicable")</f>
        <v>Not Applicable</v>
      </c>
      <c r="M1023" s="14">
        <f>Table1[[#This Row],[Unit_Cost]]-Table1[[#This Row],[Negotiated_Cost]]</f>
        <v>2150.2900000000009</v>
      </c>
      <c r="N1023" s="18">
        <f>Table1[[#This Row],[Defective_Units]]/Table1[[#This Row],[Quantity]]</f>
        <v>1.8691588785046728E-2</v>
      </c>
      <c r="O1023" s="26">
        <f>(Table1[[#This Row],[Unit_Cost]]-Table1[[#This Row],[Negotiated_Cost]])/Table1[[#This Row],[Unit_Cost]]</f>
        <v>4.245348860396022E-2</v>
      </c>
    </row>
    <row r="1024" spans="1:15" x14ac:dyDescent="0.25">
      <c r="A1024" t="s">
        <v>1059</v>
      </c>
      <c r="B1024" t="s">
        <v>46</v>
      </c>
      <c r="C1024" s="14" t="s">
        <v>30</v>
      </c>
      <c r="D1024" s="1">
        <v>45344</v>
      </c>
      <c r="E1024" s="13">
        <v>45349</v>
      </c>
      <c r="F1024" s="14" t="s">
        <v>37</v>
      </c>
      <c r="G1024">
        <v>360</v>
      </c>
      <c r="H1024">
        <v>863.41</v>
      </c>
      <c r="I1024">
        <v>857</v>
      </c>
      <c r="J1024">
        <v>8</v>
      </c>
      <c r="K1024" s="14" t="s">
        <v>15</v>
      </c>
      <c r="L1024" s="14">
        <f>IF(OR(Table1[[#This Row],[Order_Status]]="Delivered",Table1[[#This Row],[Delivery_Date]]&lt;&gt;"Not Yet Delivered"),Table1[[#This Row],[Delivery_Date]]-Table1[[#This Row],[Order_Date]],"Not Applicable")</f>
        <v>5</v>
      </c>
      <c r="M1024" s="14">
        <f>Table1[[#This Row],[Unit_Cost]]-Table1[[#This Row],[Negotiated_Cost]]</f>
        <v>6.4099999999999682</v>
      </c>
      <c r="N1024" s="18">
        <f>Table1[[#This Row],[Defective_Units]]/Table1[[#This Row],[Quantity]]</f>
        <v>2.2222222222222223E-2</v>
      </c>
      <c r="O1024" s="26">
        <f>(Table1[[#This Row],[Unit_Cost]]-Table1[[#This Row],[Negotiated_Cost]])/Table1[[#This Row],[Unit_Cost]]</f>
        <v>7.4240511460371876E-3</v>
      </c>
    </row>
    <row r="1025" spans="1:15" x14ac:dyDescent="0.25">
      <c r="A1025" t="s">
        <v>1060</v>
      </c>
      <c r="B1025" t="s">
        <v>27</v>
      </c>
      <c r="C1025" s="14" t="s">
        <v>36</v>
      </c>
      <c r="D1025" s="1">
        <v>44963</v>
      </c>
      <c r="E1025" s="14" t="s">
        <v>2057</v>
      </c>
      <c r="F1025" s="14" t="s">
        <v>33</v>
      </c>
      <c r="G1025">
        <v>181</v>
      </c>
      <c r="H1025">
        <v>559</v>
      </c>
      <c r="I1025">
        <v>526.42999999999995</v>
      </c>
      <c r="J1025">
        <v>2</v>
      </c>
      <c r="K1025" s="14" t="s">
        <v>15</v>
      </c>
      <c r="L1025" s="14" t="str">
        <f>IF(OR(Table1[[#This Row],[Order_Status]]="Delivered",Table1[[#This Row],[Delivery_Date]]&lt;&gt;"Not Yet Delivered"),Table1[[#This Row],[Delivery_Date]]-Table1[[#This Row],[Order_Date]],"Not Applicable")</f>
        <v>Not Applicable</v>
      </c>
      <c r="M1025" s="14">
        <f>Table1[[#This Row],[Unit_Cost]]-Table1[[#This Row],[Negotiated_Cost]]</f>
        <v>32.57000000000005</v>
      </c>
      <c r="N1025" s="18">
        <f>Table1[[#This Row],[Defective_Units]]/Table1[[#This Row],[Quantity]]</f>
        <v>1.1049723756906077E-2</v>
      </c>
      <c r="O1025" s="26">
        <f>(Table1[[#This Row],[Unit_Cost]]-Table1[[#This Row],[Negotiated_Cost]])/Table1[[#This Row],[Unit_Cost]]</f>
        <v>5.8264758497316729E-2</v>
      </c>
    </row>
    <row r="1026" spans="1:15" x14ac:dyDescent="0.25">
      <c r="A1026" t="s">
        <v>1061</v>
      </c>
      <c r="B1026" t="s">
        <v>40</v>
      </c>
      <c r="C1026" s="14" t="s">
        <v>18</v>
      </c>
      <c r="D1026" s="1">
        <v>45457</v>
      </c>
      <c r="E1026" s="13">
        <v>45465</v>
      </c>
      <c r="F1026" s="14" t="s">
        <v>14</v>
      </c>
      <c r="G1026">
        <v>451</v>
      </c>
      <c r="H1026">
        <v>5666.07</v>
      </c>
      <c r="I1026">
        <v>5537.57</v>
      </c>
      <c r="J1026">
        <v>10</v>
      </c>
      <c r="K1026" s="14" t="s">
        <v>15</v>
      </c>
      <c r="L1026" s="14">
        <f>IF(OR(Table1[[#This Row],[Order_Status]]="Delivered",Table1[[#This Row],[Delivery_Date]]&lt;&gt;"Not Yet Delivered"),Table1[[#This Row],[Delivery_Date]]-Table1[[#This Row],[Order_Date]],"Not Applicable")</f>
        <v>8</v>
      </c>
      <c r="M1026" s="14">
        <f>Table1[[#This Row],[Unit_Cost]]-Table1[[#This Row],[Negotiated_Cost]]</f>
        <v>128.5</v>
      </c>
      <c r="N1026" s="18">
        <f>Table1[[#This Row],[Defective_Units]]/Table1[[#This Row],[Quantity]]</f>
        <v>2.2172949002217297E-2</v>
      </c>
      <c r="O1026" s="26">
        <f>(Table1[[#This Row],[Unit_Cost]]-Table1[[#This Row],[Negotiated_Cost]])/Table1[[#This Row],[Unit_Cost]]</f>
        <v>2.2678858538634362E-2</v>
      </c>
    </row>
    <row r="1027" spans="1:15" x14ac:dyDescent="0.25">
      <c r="A1027" t="s">
        <v>1062</v>
      </c>
      <c r="B1027" t="s">
        <v>32</v>
      </c>
      <c r="C1027" s="14" t="s">
        <v>42</v>
      </c>
      <c r="D1027" s="1">
        <v>45523</v>
      </c>
      <c r="E1027" s="13">
        <v>45553</v>
      </c>
      <c r="F1027" s="14" t="s">
        <v>14</v>
      </c>
      <c r="G1027">
        <v>323</v>
      </c>
      <c r="H1027">
        <v>10643.66</v>
      </c>
      <c r="I1027">
        <v>10293.719999999999</v>
      </c>
      <c r="J1027">
        <v>3</v>
      </c>
      <c r="K1027" s="14" t="s">
        <v>15</v>
      </c>
      <c r="L1027" s="14">
        <f>IF(OR(Table1[[#This Row],[Order_Status]]="Delivered",Table1[[#This Row],[Delivery_Date]]&lt;&gt;"Not Yet Delivered"),Table1[[#This Row],[Delivery_Date]]-Table1[[#This Row],[Order_Date]],"Not Applicable")</f>
        <v>30</v>
      </c>
      <c r="M1027" s="14">
        <f>Table1[[#This Row],[Unit_Cost]]-Table1[[#This Row],[Negotiated_Cost]]</f>
        <v>349.94000000000051</v>
      </c>
      <c r="N1027" s="18">
        <f>Table1[[#This Row],[Defective_Units]]/Table1[[#This Row],[Quantity]]</f>
        <v>9.2879256965944269E-3</v>
      </c>
      <c r="O1027" s="26">
        <f>(Table1[[#This Row],[Unit_Cost]]-Table1[[#This Row],[Negotiated_Cost]])/Table1[[#This Row],[Unit_Cost]]</f>
        <v>3.2877788279595602E-2</v>
      </c>
    </row>
    <row r="1028" spans="1:15" x14ac:dyDescent="0.25">
      <c r="A1028" t="s">
        <v>1063</v>
      </c>
      <c r="B1028" t="s">
        <v>40</v>
      </c>
      <c r="C1028" s="14" t="s">
        <v>36</v>
      </c>
      <c r="D1028" s="1">
        <v>45176</v>
      </c>
      <c r="E1028" s="13">
        <v>45192</v>
      </c>
      <c r="F1028" s="14" t="s">
        <v>14</v>
      </c>
      <c r="G1028">
        <v>63</v>
      </c>
      <c r="H1028">
        <v>569.32000000000005</v>
      </c>
      <c r="I1028">
        <v>562.26</v>
      </c>
      <c r="J1028">
        <v>0</v>
      </c>
      <c r="K1028" s="14" t="s">
        <v>15</v>
      </c>
      <c r="L1028" s="14">
        <f>IF(OR(Table1[[#This Row],[Order_Status]]="Delivered",Table1[[#This Row],[Delivery_Date]]&lt;&gt;"Not Yet Delivered"),Table1[[#This Row],[Delivery_Date]]-Table1[[#This Row],[Order_Date]],"Not Applicable")</f>
        <v>16</v>
      </c>
      <c r="M1028" s="14">
        <f>Table1[[#This Row],[Unit_Cost]]-Table1[[#This Row],[Negotiated_Cost]]</f>
        <v>7.0600000000000591</v>
      </c>
      <c r="N1028" s="18">
        <f>Table1[[#This Row],[Defective_Units]]/Table1[[#This Row],[Quantity]]</f>
        <v>0</v>
      </c>
      <c r="O1028" s="26">
        <f>(Table1[[#This Row],[Unit_Cost]]-Table1[[#This Row],[Negotiated_Cost]])/Table1[[#This Row],[Unit_Cost]]</f>
        <v>1.2400758799972E-2</v>
      </c>
    </row>
    <row r="1029" spans="1:15" x14ac:dyDescent="0.25">
      <c r="A1029" t="s">
        <v>1064</v>
      </c>
      <c r="B1029" t="s">
        <v>20</v>
      </c>
      <c r="C1029" s="14" t="s">
        <v>50</v>
      </c>
      <c r="D1029" s="1">
        <v>44942</v>
      </c>
      <c r="E1029" s="13">
        <v>44955</v>
      </c>
      <c r="F1029" s="14" t="s">
        <v>14</v>
      </c>
      <c r="G1029">
        <v>48</v>
      </c>
      <c r="H1029">
        <v>51056.39</v>
      </c>
      <c r="I1029">
        <v>50213.56</v>
      </c>
      <c r="J1029">
        <v>0</v>
      </c>
      <c r="K1029" s="14" t="s">
        <v>15</v>
      </c>
      <c r="L1029" s="14">
        <f>IF(OR(Table1[[#This Row],[Order_Status]]="Delivered",Table1[[#This Row],[Delivery_Date]]&lt;&gt;"Not Yet Delivered"),Table1[[#This Row],[Delivery_Date]]-Table1[[#This Row],[Order_Date]],"Not Applicable")</f>
        <v>13</v>
      </c>
      <c r="M1029" s="14">
        <f>Table1[[#This Row],[Unit_Cost]]-Table1[[#This Row],[Negotiated_Cost]]</f>
        <v>842.83000000000175</v>
      </c>
      <c r="N1029" s="18">
        <f>Table1[[#This Row],[Defective_Units]]/Table1[[#This Row],[Quantity]]</f>
        <v>0</v>
      </c>
      <c r="O1029" s="26">
        <f>(Table1[[#This Row],[Unit_Cost]]-Table1[[#This Row],[Negotiated_Cost]])/Table1[[#This Row],[Unit_Cost]]</f>
        <v>1.6507825954792374E-2</v>
      </c>
    </row>
    <row r="1030" spans="1:15" x14ac:dyDescent="0.25">
      <c r="A1030" t="s">
        <v>1065</v>
      </c>
      <c r="B1030" t="s">
        <v>40</v>
      </c>
      <c r="C1030" s="14" t="s">
        <v>42</v>
      </c>
      <c r="D1030" s="1">
        <v>45494</v>
      </c>
      <c r="E1030" s="13">
        <v>45504</v>
      </c>
      <c r="F1030" s="14" t="s">
        <v>14</v>
      </c>
      <c r="G1030">
        <v>36</v>
      </c>
      <c r="H1030">
        <v>12646.15</v>
      </c>
      <c r="I1030">
        <v>12341.55</v>
      </c>
      <c r="J1030">
        <v>1</v>
      </c>
      <c r="K1030" s="14" t="s">
        <v>15</v>
      </c>
      <c r="L1030" s="14">
        <f>IF(OR(Table1[[#This Row],[Order_Status]]="Delivered",Table1[[#This Row],[Delivery_Date]]&lt;&gt;"Not Yet Delivered"),Table1[[#This Row],[Delivery_Date]]-Table1[[#This Row],[Order_Date]],"Not Applicable")</f>
        <v>10</v>
      </c>
      <c r="M1030" s="14">
        <f>Table1[[#This Row],[Unit_Cost]]-Table1[[#This Row],[Negotiated_Cost]]</f>
        <v>304.60000000000036</v>
      </c>
      <c r="N1030" s="18">
        <f>Table1[[#This Row],[Defective_Units]]/Table1[[#This Row],[Quantity]]</f>
        <v>2.7777777777777776E-2</v>
      </c>
      <c r="O1030" s="26">
        <f>(Table1[[#This Row],[Unit_Cost]]-Table1[[#This Row],[Negotiated_Cost]])/Table1[[#This Row],[Unit_Cost]]</f>
        <v>2.4086382021405752E-2</v>
      </c>
    </row>
    <row r="1031" spans="1:15" x14ac:dyDescent="0.25">
      <c r="A1031" t="s">
        <v>1066</v>
      </c>
      <c r="B1031" t="s">
        <v>46</v>
      </c>
      <c r="C1031" s="14" t="s">
        <v>28</v>
      </c>
      <c r="D1031" s="1">
        <v>45564</v>
      </c>
      <c r="E1031" s="13">
        <v>45581</v>
      </c>
      <c r="F1031" s="14" t="s">
        <v>14</v>
      </c>
      <c r="G1031">
        <v>255</v>
      </c>
      <c r="H1031">
        <v>44785.77</v>
      </c>
      <c r="I1031">
        <v>43075.56</v>
      </c>
      <c r="J1031">
        <v>4</v>
      </c>
      <c r="K1031" s="14" t="s">
        <v>15</v>
      </c>
      <c r="L1031" s="14">
        <f>IF(OR(Table1[[#This Row],[Order_Status]]="Delivered",Table1[[#This Row],[Delivery_Date]]&lt;&gt;"Not Yet Delivered"),Table1[[#This Row],[Delivery_Date]]-Table1[[#This Row],[Order_Date]],"Not Applicable")</f>
        <v>17</v>
      </c>
      <c r="M1031" s="14">
        <f>Table1[[#This Row],[Unit_Cost]]-Table1[[#This Row],[Negotiated_Cost]]</f>
        <v>1710.2099999999991</v>
      </c>
      <c r="N1031" s="18">
        <f>Table1[[#This Row],[Defective_Units]]/Table1[[#This Row],[Quantity]]</f>
        <v>1.5686274509803921E-2</v>
      </c>
      <c r="O1031" s="26">
        <f>(Table1[[#This Row],[Unit_Cost]]-Table1[[#This Row],[Negotiated_Cost]])/Table1[[#This Row],[Unit_Cost]]</f>
        <v>3.8186459672346802E-2</v>
      </c>
    </row>
    <row r="1032" spans="1:15" x14ac:dyDescent="0.25">
      <c r="A1032" t="s">
        <v>1067</v>
      </c>
      <c r="B1032" t="s">
        <v>27</v>
      </c>
      <c r="C1032" s="14" t="s">
        <v>44</v>
      </c>
      <c r="D1032" s="1">
        <v>45184</v>
      </c>
      <c r="E1032" s="13">
        <v>45195</v>
      </c>
      <c r="F1032" s="14" t="s">
        <v>14</v>
      </c>
      <c r="G1032">
        <v>315</v>
      </c>
      <c r="H1032">
        <v>8958.14</v>
      </c>
      <c r="I1032">
        <v>8889.59</v>
      </c>
      <c r="J1032">
        <v>3</v>
      </c>
      <c r="K1032" s="14" t="s">
        <v>25</v>
      </c>
      <c r="L1032" s="14">
        <f>IF(OR(Table1[[#This Row],[Order_Status]]="Delivered",Table1[[#This Row],[Delivery_Date]]&lt;&gt;"Not Yet Delivered"),Table1[[#This Row],[Delivery_Date]]-Table1[[#This Row],[Order_Date]],"Not Applicable")</f>
        <v>11</v>
      </c>
      <c r="M1032" s="14">
        <f>Table1[[#This Row],[Unit_Cost]]-Table1[[#This Row],[Negotiated_Cost]]</f>
        <v>68.549999999999272</v>
      </c>
      <c r="N1032" s="18">
        <f>Table1[[#This Row],[Defective_Units]]/Table1[[#This Row],[Quantity]]</f>
        <v>9.5238095238095247E-3</v>
      </c>
      <c r="O1032" s="26">
        <f>(Table1[[#This Row],[Unit_Cost]]-Table1[[#This Row],[Negotiated_Cost]])/Table1[[#This Row],[Unit_Cost]]</f>
        <v>7.6522581696646039E-3</v>
      </c>
    </row>
    <row r="1033" spans="1:15" x14ac:dyDescent="0.25">
      <c r="A1033" t="s">
        <v>1068</v>
      </c>
      <c r="B1033" t="s">
        <v>20</v>
      </c>
      <c r="C1033" s="14" t="s">
        <v>21</v>
      </c>
      <c r="D1033" s="1">
        <v>44939</v>
      </c>
      <c r="E1033" s="13">
        <v>44967</v>
      </c>
      <c r="F1033" s="14" t="s">
        <v>14</v>
      </c>
      <c r="G1033">
        <v>151</v>
      </c>
      <c r="H1033">
        <v>109.82</v>
      </c>
      <c r="I1033">
        <v>108.91</v>
      </c>
      <c r="J1033">
        <v>1</v>
      </c>
      <c r="K1033" s="14" t="s">
        <v>15</v>
      </c>
      <c r="L1033" s="14">
        <f>IF(OR(Table1[[#This Row],[Order_Status]]="Delivered",Table1[[#This Row],[Delivery_Date]]&lt;&gt;"Not Yet Delivered"),Table1[[#This Row],[Delivery_Date]]-Table1[[#This Row],[Order_Date]],"Not Applicable")</f>
        <v>28</v>
      </c>
      <c r="M1033" s="14">
        <f>Table1[[#This Row],[Unit_Cost]]-Table1[[#This Row],[Negotiated_Cost]]</f>
        <v>0.90999999999999659</v>
      </c>
      <c r="N1033" s="18">
        <f>Table1[[#This Row],[Defective_Units]]/Table1[[#This Row],[Quantity]]</f>
        <v>6.6225165562913907E-3</v>
      </c>
      <c r="O1033" s="26">
        <f>(Table1[[#This Row],[Unit_Cost]]-Table1[[#This Row],[Negotiated_Cost]])/Table1[[#This Row],[Unit_Cost]]</f>
        <v>8.2862866508832331E-3</v>
      </c>
    </row>
    <row r="1034" spans="1:15" x14ac:dyDescent="0.25">
      <c r="A1034" t="s">
        <v>1069</v>
      </c>
      <c r="B1034" t="s">
        <v>32</v>
      </c>
      <c r="C1034" s="14" t="s">
        <v>13</v>
      </c>
      <c r="D1034" s="1">
        <v>45572</v>
      </c>
      <c r="E1034" s="13">
        <v>45585</v>
      </c>
      <c r="F1034" s="14" t="s">
        <v>14</v>
      </c>
      <c r="G1034">
        <v>477</v>
      </c>
      <c r="H1034">
        <v>3689.41</v>
      </c>
      <c r="I1034">
        <v>3684.99</v>
      </c>
      <c r="J1034">
        <v>4</v>
      </c>
      <c r="K1034" s="14" t="s">
        <v>15</v>
      </c>
      <c r="L1034" s="14">
        <f>IF(OR(Table1[[#This Row],[Order_Status]]="Delivered",Table1[[#This Row],[Delivery_Date]]&lt;&gt;"Not Yet Delivered"),Table1[[#This Row],[Delivery_Date]]-Table1[[#This Row],[Order_Date]],"Not Applicable")</f>
        <v>13</v>
      </c>
      <c r="M1034" s="14">
        <f>Table1[[#This Row],[Unit_Cost]]-Table1[[#This Row],[Negotiated_Cost]]</f>
        <v>4.4200000000000728</v>
      </c>
      <c r="N1034" s="18">
        <f>Table1[[#This Row],[Defective_Units]]/Table1[[#This Row],[Quantity]]</f>
        <v>8.385744234800839E-3</v>
      </c>
      <c r="O1034" s="26">
        <f>(Table1[[#This Row],[Unit_Cost]]-Table1[[#This Row],[Negotiated_Cost]])/Table1[[#This Row],[Unit_Cost]]</f>
        <v>1.1980235322179083E-3</v>
      </c>
    </row>
    <row r="1035" spans="1:15" x14ac:dyDescent="0.25">
      <c r="A1035" t="s">
        <v>1070</v>
      </c>
      <c r="B1035" t="s">
        <v>32</v>
      </c>
      <c r="C1035" s="14" t="s">
        <v>28</v>
      </c>
      <c r="D1035" s="1">
        <v>45106</v>
      </c>
      <c r="E1035" s="13">
        <v>45108</v>
      </c>
      <c r="F1035" s="14" t="s">
        <v>14</v>
      </c>
      <c r="G1035">
        <v>44</v>
      </c>
      <c r="H1035">
        <v>41843.68</v>
      </c>
      <c r="I1035">
        <v>41056.82</v>
      </c>
      <c r="J1035">
        <v>0</v>
      </c>
      <c r="K1035" s="14" t="s">
        <v>15</v>
      </c>
      <c r="L1035" s="14">
        <f>IF(OR(Table1[[#This Row],[Order_Status]]="Delivered",Table1[[#This Row],[Delivery_Date]]&lt;&gt;"Not Yet Delivered"),Table1[[#This Row],[Delivery_Date]]-Table1[[#This Row],[Order_Date]],"Not Applicable")</f>
        <v>2</v>
      </c>
      <c r="M1035" s="14">
        <f>Table1[[#This Row],[Unit_Cost]]-Table1[[#This Row],[Negotiated_Cost]]</f>
        <v>786.86000000000058</v>
      </c>
      <c r="N1035" s="18">
        <f>Table1[[#This Row],[Defective_Units]]/Table1[[#This Row],[Quantity]]</f>
        <v>0</v>
      </c>
      <c r="O1035" s="26">
        <f>(Table1[[#This Row],[Unit_Cost]]-Table1[[#This Row],[Negotiated_Cost]])/Table1[[#This Row],[Unit_Cost]]</f>
        <v>1.8804751398538575E-2</v>
      </c>
    </row>
    <row r="1036" spans="1:15" x14ac:dyDescent="0.25">
      <c r="A1036" t="s">
        <v>1071</v>
      </c>
      <c r="B1036" t="s">
        <v>40</v>
      </c>
      <c r="C1036" s="14" t="s">
        <v>55</v>
      </c>
      <c r="D1036" s="1">
        <v>44966</v>
      </c>
      <c r="E1036" s="13">
        <v>44980</v>
      </c>
      <c r="F1036" s="14" t="s">
        <v>14</v>
      </c>
      <c r="G1036">
        <v>177</v>
      </c>
      <c r="H1036">
        <v>16343.91</v>
      </c>
      <c r="I1036">
        <v>16129.66</v>
      </c>
      <c r="J1036">
        <v>1</v>
      </c>
      <c r="K1036" s="14" t="s">
        <v>15</v>
      </c>
      <c r="L1036" s="14">
        <f>IF(OR(Table1[[#This Row],[Order_Status]]="Delivered",Table1[[#This Row],[Delivery_Date]]&lt;&gt;"Not Yet Delivered"),Table1[[#This Row],[Delivery_Date]]-Table1[[#This Row],[Order_Date]],"Not Applicable")</f>
        <v>14</v>
      </c>
      <c r="M1036" s="14">
        <f>Table1[[#This Row],[Unit_Cost]]-Table1[[#This Row],[Negotiated_Cost]]</f>
        <v>214.25</v>
      </c>
      <c r="N1036" s="18">
        <f>Table1[[#This Row],[Defective_Units]]/Table1[[#This Row],[Quantity]]</f>
        <v>5.6497175141242938E-3</v>
      </c>
      <c r="O1036" s="26">
        <f>(Table1[[#This Row],[Unit_Cost]]-Table1[[#This Row],[Negotiated_Cost]])/Table1[[#This Row],[Unit_Cost]]</f>
        <v>1.310885828421718E-2</v>
      </c>
    </row>
    <row r="1037" spans="1:15" x14ac:dyDescent="0.25">
      <c r="A1037" t="s">
        <v>1072</v>
      </c>
      <c r="B1037" t="s">
        <v>27</v>
      </c>
      <c r="C1037" s="14" t="s">
        <v>18</v>
      </c>
      <c r="D1037" s="1">
        <v>45189</v>
      </c>
      <c r="E1037" s="13">
        <v>45200</v>
      </c>
      <c r="F1037" s="14" t="s">
        <v>14</v>
      </c>
      <c r="G1037">
        <v>170</v>
      </c>
      <c r="H1037">
        <v>5201.66</v>
      </c>
      <c r="I1037">
        <v>4990.2700000000004</v>
      </c>
      <c r="J1037">
        <v>0</v>
      </c>
      <c r="K1037" s="14" t="s">
        <v>15</v>
      </c>
      <c r="L1037" s="14">
        <f>IF(OR(Table1[[#This Row],[Order_Status]]="Delivered",Table1[[#This Row],[Delivery_Date]]&lt;&gt;"Not Yet Delivered"),Table1[[#This Row],[Delivery_Date]]-Table1[[#This Row],[Order_Date]],"Not Applicable")</f>
        <v>11</v>
      </c>
      <c r="M1037" s="14">
        <f>Table1[[#This Row],[Unit_Cost]]-Table1[[#This Row],[Negotiated_Cost]]</f>
        <v>211.38999999999942</v>
      </c>
      <c r="N1037" s="18">
        <f>Table1[[#This Row],[Defective_Units]]/Table1[[#This Row],[Quantity]]</f>
        <v>0</v>
      </c>
      <c r="O1037" s="26">
        <f>(Table1[[#This Row],[Unit_Cost]]-Table1[[#This Row],[Negotiated_Cost]])/Table1[[#This Row],[Unit_Cost]]</f>
        <v>4.0638949873694055E-2</v>
      </c>
    </row>
    <row r="1038" spans="1:15" x14ac:dyDescent="0.25">
      <c r="A1038" t="s">
        <v>1073</v>
      </c>
      <c r="B1038" t="s">
        <v>20</v>
      </c>
      <c r="C1038" s="14" t="s">
        <v>42</v>
      </c>
      <c r="D1038" s="1">
        <v>45545</v>
      </c>
      <c r="E1038" s="13">
        <v>45563</v>
      </c>
      <c r="F1038" s="14" t="s">
        <v>14</v>
      </c>
      <c r="G1038">
        <v>254</v>
      </c>
      <c r="H1038">
        <v>12147.74</v>
      </c>
      <c r="I1038">
        <v>11983.86</v>
      </c>
      <c r="J1038">
        <v>4</v>
      </c>
      <c r="K1038" s="14" t="s">
        <v>15</v>
      </c>
      <c r="L1038" s="14">
        <f>IF(OR(Table1[[#This Row],[Order_Status]]="Delivered",Table1[[#This Row],[Delivery_Date]]&lt;&gt;"Not Yet Delivered"),Table1[[#This Row],[Delivery_Date]]-Table1[[#This Row],[Order_Date]],"Not Applicable")</f>
        <v>18</v>
      </c>
      <c r="M1038" s="14">
        <f>Table1[[#This Row],[Unit_Cost]]-Table1[[#This Row],[Negotiated_Cost]]</f>
        <v>163.8799999999992</v>
      </c>
      <c r="N1038" s="18">
        <f>Table1[[#This Row],[Defective_Units]]/Table1[[#This Row],[Quantity]]</f>
        <v>1.5748031496062992E-2</v>
      </c>
      <c r="O1038" s="26">
        <f>(Table1[[#This Row],[Unit_Cost]]-Table1[[#This Row],[Negotiated_Cost]])/Table1[[#This Row],[Unit_Cost]]</f>
        <v>1.3490575201642379E-2</v>
      </c>
    </row>
    <row r="1039" spans="1:15" x14ac:dyDescent="0.25">
      <c r="A1039" t="s">
        <v>1074</v>
      </c>
      <c r="B1039" t="s">
        <v>12</v>
      </c>
      <c r="C1039" s="14" t="s">
        <v>50</v>
      </c>
      <c r="D1039" s="1">
        <v>45247</v>
      </c>
      <c r="E1039" s="13">
        <v>45257</v>
      </c>
      <c r="F1039" s="14" t="s">
        <v>14</v>
      </c>
      <c r="G1039">
        <v>314</v>
      </c>
      <c r="H1039">
        <v>51845.83</v>
      </c>
      <c r="I1039">
        <v>50071.47</v>
      </c>
      <c r="J1039">
        <v>5</v>
      </c>
      <c r="K1039" s="14" t="s">
        <v>15</v>
      </c>
      <c r="L1039" s="14">
        <f>IF(OR(Table1[[#This Row],[Order_Status]]="Delivered",Table1[[#This Row],[Delivery_Date]]&lt;&gt;"Not Yet Delivered"),Table1[[#This Row],[Delivery_Date]]-Table1[[#This Row],[Order_Date]],"Not Applicable")</f>
        <v>10</v>
      </c>
      <c r="M1039" s="14">
        <f>Table1[[#This Row],[Unit_Cost]]-Table1[[#This Row],[Negotiated_Cost]]</f>
        <v>1774.3600000000006</v>
      </c>
      <c r="N1039" s="18">
        <f>Table1[[#This Row],[Defective_Units]]/Table1[[#This Row],[Quantity]]</f>
        <v>1.5923566878980892E-2</v>
      </c>
      <c r="O1039" s="26">
        <f>(Table1[[#This Row],[Unit_Cost]]-Table1[[#This Row],[Negotiated_Cost]])/Table1[[#This Row],[Unit_Cost]]</f>
        <v>3.4223774602509027E-2</v>
      </c>
    </row>
    <row r="1040" spans="1:15" x14ac:dyDescent="0.25">
      <c r="A1040" t="s">
        <v>1075</v>
      </c>
      <c r="B1040" t="s">
        <v>20</v>
      </c>
      <c r="C1040" s="14" t="s">
        <v>42</v>
      </c>
      <c r="D1040" s="1">
        <v>45143</v>
      </c>
      <c r="E1040" s="13">
        <v>45156</v>
      </c>
      <c r="F1040" s="14" t="s">
        <v>14</v>
      </c>
      <c r="G1040">
        <v>380</v>
      </c>
      <c r="H1040">
        <v>11710</v>
      </c>
      <c r="I1040">
        <v>11396.24</v>
      </c>
      <c r="J1040">
        <v>6</v>
      </c>
      <c r="K1040" s="14" t="s">
        <v>15</v>
      </c>
      <c r="L1040" s="14">
        <f>IF(OR(Table1[[#This Row],[Order_Status]]="Delivered",Table1[[#This Row],[Delivery_Date]]&lt;&gt;"Not Yet Delivered"),Table1[[#This Row],[Delivery_Date]]-Table1[[#This Row],[Order_Date]],"Not Applicable")</f>
        <v>13</v>
      </c>
      <c r="M1040" s="14">
        <f>Table1[[#This Row],[Unit_Cost]]-Table1[[#This Row],[Negotiated_Cost]]</f>
        <v>313.76000000000022</v>
      </c>
      <c r="N1040" s="18">
        <f>Table1[[#This Row],[Defective_Units]]/Table1[[#This Row],[Quantity]]</f>
        <v>1.5789473684210527E-2</v>
      </c>
      <c r="O1040" s="26">
        <f>(Table1[[#This Row],[Unit_Cost]]-Table1[[#This Row],[Negotiated_Cost]])/Table1[[#This Row],[Unit_Cost]]</f>
        <v>2.6794192997438106E-2</v>
      </c>
    </row>
    <row r="1041" spans="1:15" x14ac:dyDescent="0.25">
      <c r="A1041" t="s">
        <v>1076</v>
      </c>
      <c r="B1041" t="s">
        <v>17</v>
      </c>
      <c r="C1041" s="14" t="s">
        <v>50</v>
      </c>
      <c r="D1041" s="1">
        <v>45617</v>
      </c>
      <c r="E1041" s="13">
        <v>45634</v>
      </c>
      <c r="F1041" s="14" t="s">
        <v>14</v>
      </c>
      <c r="G1041">
        <v>68</v>
      </c>
      <c r="H1041">
        <v>47943.76</v>
      </c>
      <c r="I1041">
        <v>46438.04</v>
      </c>
      <c r="J1041">
        <v>2</v>
      </c>
      <c r="K1041" s="14" t="s">
        <v>15</v>
      </c>
      <c r="L1041" s="14">
        <f>IF(OR(Table1[[#This Row],[Order_Status]]="Delivered",Table1[[#This Row],[Delivery_Date]]&lt;&gt;"Not Yet Delivered"),Table1[[#This Row],[Delivery_Date]]-Table1[[#This Row],[Order_Date]],"Not Applicable")</f>
        <v>17</v>
      </c>
      <c r="M1041" s="14">
        <f>Table1[[#This Row],[Unit_Cost]]-Table1[[#This Row],[Negotiated_Cost]]</f>
        <v>1505.7200000000012</v>
      </c>
      <c r="N1041" s="18">
        <f>Table1[[#This Row],[Defective_Units]]/Table1[[#This Row],[Quantity]]</f>
        <v>2.9411764705882353E-2</v>
      </c>
      <c r="O1041" s="26">
        <f>(Table1[[#This Row],[Unit_Cost]]-Table1[[#This Row],[Negotiated_Cost]])/Table1[[#This Row],[Unit_Cost]]</f>
        <v>3.1405963987805735E-2</v>
      </c>
    </row>
    <row r="1042" spans="1:15" x14ac:dyDescent="0.25">
      <c r="A1042" t="s">
        <v>1077</v>
      </c>
      <c r="B1042" t="s">
        <v>27</v>
      </c>
      <c r="C1042" s="14" t="s">
        <v>30</v>
      </c>
      <c r="D1042" s="1">
        <v>45406</v>
      </c>
      <c r="E1042" s="13">
        <v>45424</v>
      </c>
      <c r="F1042" s="14" t="s">
        <v>14</v>
      </c>
      <c r="G1042">
        <v>425</v>
      </c>
      <c r="H1042">
        <v>867.46</v>
      </c>
      <c r="I1042">
        <v>828.47</v>
      </c>
      <c r="J1042">
        <v>4</v>
      </c>
      <c r="K1042" s="14" t="s">
        <v>15</v>
      </c>
      <c r="L1042" s="14">
        <f>IF(OR(Table1[[#This Row],[Order_Status]]="Delivered",Table1[[#This Row],[Delivery_Date]]&lt;&gt;"Not Yet Delivered"),Table1[[#This Row],[Delivery_Date]]-Table1[[#This Row],[Order_Date]],"Not Applicable")</f>
        <v>18</v>
      </c>
      <c r="M1042" s="14">
        <f>Table1[[#This Row],[Unit_Cost]]-Table1[[#This Row],[Negotiated_Cost]]</f>
        <v>38.990000000000009</v>
      </c>
      <c r="N1042" s="18">
        <f>Table1[[#This Row],[Defective_Units]]/Table1[[#This Row],[Quantity]]</f>
        <v>9.4117647058823521E-3</v>
      </c>
      <c r="O1042" s="26">
        <f>(Table1[[#This Row],[Unit_Cost]]-Table1[[#This Row],[Negotiated_Cost]])/Table1[[#This Row],[Unit_Cost]]</f>
        <v>4.4947317455559917E-2</v>
      </c>
    </row>
    <row r="1043" spans="1:15" x14ac:dyDescent="0.25">
      <c r="A1043" t="s">
        <v>1078</v>
      </c>
      <c r="B1043" t="s">
        <v>20</v>
      </c>
      <c r="C1043" s="14" t="s">
        <v>30</v>
      </c>
      <c r="D1043" s="1">
        <v>45241</v>
      </c>
      <c r="E1043" s="13">
        <v>45256</v>
      </c>
      <c r="F1043" s="14" t="s">
        <v>14</v>
      </c>
      <c r="G1043">
        <v>73</v>
      </c>
      <c r="H1043">
        <v>872.25</v>
      </c>
      <c r="I1043">
        <v>834.92</v>
      </c>
      <c r="J1043">
        <v>2</v>
      </c>
      <c r="K1043" s="14" t="s">
        <v>15</v>
      </c>
      <c r="L1043" s="14">
        <f>IF(OR(Table1[[#This Row],[Order_Status]]="Delivered",Table1[[#This Row],[Delivery_Date]]&lt;&gt;"Not Yet Delivered"),Table1[[#This Row],[Delivery_Date]]-Table1[[#This Row],[Order_Date]],"Not Applicable")</f>
        <v>15</v>
      </c>
      <c r="M1043" s="14">
        <f>Table1[[#This Row],[Unit_Cost]]-Table1[[#This Row],[Negotiated_Cost]]</f>
        <v>37.330000000000041</v>
      </c>
      <c r="N1043" s="18">
        <f>Table1[[#This Row],[Defective_Units]]/Table1[[#This Row],[Quantity]]</f>
        <v>2.7397260273972601E-2</v>
      </c>
      <c r="O1043" s="26">
        <f>(Table1[[#This Row],[Unit_Cost]]-Table1[[#This Row],[Negotiated_Cost]])/Table1[[#This Row],[Unit_Cost]]</f>
        <v>4.2797363141301281E-2</v>
      </c>
    </row>
    <row r="1044" spans="1:15" x14ac:dyDescent="0.25">
      <c r="A1044" t="s">
        <v>1079</v>
      </c>
      <c r="B1044" t="s">
        <v>17</v>
      </c>
      <c r="C1044" s="14" t="s">
        <v>55</v>
      </c>
      <c r="D1044" s="1">
        <v>45444</v>
      </c>
      <c r="E1044" s="13">
        <v>45455</v>
      </c>
      <c r="F1044" s="14" t="s">
        <v>14</v>
      </c>
      <c r="G1044">
        <v>357</v>
      </c>
      <c r="H1044">
        <v>13791.33</v>
      </c>
      <c r="I1044">
        <v>13205.92</v>
      </c>
      <c r="J1044">
        <v>6</v>
      </c>
      <c r="K1044" s="14" t="s">
        <v>15</v>
      </c>
      <c r="L1044" s="14">
        <f>IF(OR(Table1[[#This Row],[Order_Status]]="Delivered",Table1[[#This Row],[Delivery_Date]]&lt;&gt;"Not Yet Delivered"),Table1[[#This Row],[Delivery_Date]]-Table1[[#This Row],[Order_Date]],"Not Applicable")</f>
        <v>11</v>
      </c>
      <c r="M1044" s="14">
        <f>Table1[[#This Row],[Unit_Cost]]-Table1[[#This Row],[Negotiated_Cost]]</f>
        <v>585.40999999999985</v>
      </c>
      <c r="N1044" s="18">
        <f>Table1[[#This Row],[Defective_Units]]/Table1[[#This Row],[Quantity]]</f>
        <v>1.680672268907563E-2</v>
      </c>
      <c r="O1044" s="26">
        <f>(Table1[[#This Row],[Unit_Cost]]-Table1[[#This Row],[Negotiated_Cost]])/Table1[[#This Row],[Unit_Cost]]</f>
        <v>4.2447682710804534E-2</v>
      </c>
    </row>
    <row r="1045" spans="1:15" x14ac:dyDescent="0.25">
      <c r="A1045" t="s">
        <v>1080</v>
      </c>
      <c r="B1045" t="s">
        <v>17</v>
      </c>
      <c r="C1045" s="14" t="s">
        <v>44</v>
      </c>
      <c r="D1045" s="1">
        <v>44983</v>
      </c>
      <c r="E1045" s="13">
        <v>44991</v>
      </c>
      <c r="F1045" s="14" t="s">
        <v>14</v>
      </c>
      <c r="G1045">
        <v>230</v>
      </c>
      <c r="H1045">
        <v>8051.65</v>
      </c>
      <c r="I1045">
        <v>7623.88</v>
      </c>
      <c r="J1045">
        <v>0</v>
      </c>
      <c r="K1045" s="14" t="s">
        <v>15</v>
      </c>
      <c r="L1045" s="14">
        <f>IF(OR(Table1[[#This Row],[Order_Status]]="Delivered",Table1[[#This Row],[Delivery_Date]]&lt;&gt;"Not Yet Delivered"),Table1[[#This Row],[Delivery_Date]]-Table1[[#This Row],[Order_Date]],"Not Applicable")</f>
        <v>8</v>
      </c>
      <c r="M1045" s="14">
        <f>Table1[[#This Row],[Unit_Cost]]-Table1[[#This Row],[Negotiated_Cost]]</f>
        <v>427.76999999999953</v>
      </c>
      <c r="N1045" s="18">
        <f>Table1[[#This Row],[Defective_Units]]/Table1[[#This Row],[Quantity]]</f>
        <v>0</v>
      </c>
      <c r="O1045" s="26">
        <f>(Table1[[#This Row],[Unit_Cost]]-Table1[[#This Row],[Negotiated_Cost]])/Table1[[#This Row],[Unit_Cost]]</f>
        <v>5.3128240795364871E-2</v>
      </c>
    </row>
    <row r="1046" spans="1:15" x14ac:dyDescent="0.25">
      <c r="A1046" t="s">
        <v>1081</v>
      </c>
      <c r="B1046" t="s">
        <v>20</v>
      </c>
      <c r="C1046" s="14" t="s">
        <v>24</v>
      </c>
      <c r="D1046" s="1">
        <v>45243</v>
      </c>
      <c r="E1046" s="14" t="s">
        <v>2057</v>
      </c>
      <c r="F1046" s="14" t="s">
        <v>33</v>
      </c>
      <c r="G1046">
        <v>24</v>
      </c>
      <c r="H1046">
        <v>12029.62</v>
      </c>
      <c r="I1046">
        <v>11590.61</v>
      </c>
      <c r="J1046">
        <v>2</v>
      </c>
      <c r="K1046" s="14" t="s">
        <v>15</v>
      </c>
      <c r="L1046" s="14" t="str">
        <f>IF(OR(Table1[[#This Row],[Order_Status]]="Delivered",Table1[[#This Row],[Delivery_Date]]&lt;&gt;"Not Yet Delivered"),Table1[[#This Row],[Delivery_Date]]-Table1[[#This Row],[Order_Date]],"Not Applicable")</f>
        <v>Not Applicable</v>
      </c>
      <c r="M1046" s="14">
        <f>Table1[[#This Row],[Unit_Cost]]-Table1[[#This Row],[Negotiated_Cost]]</f>
        <v>439.01000000000022</v>
      </c>
      <c r="N1046" s="18">
        <f>Table1[[#This Row],[Defective_Units]]/Table1[[#This Row],[Quantity]]</f>
        <v>8.3333333333333329E-2</v>
      </c>
      <c r="O1046" s="26">
        <f>(Table1[[#This Row],[Unit_Cost]]-Table1[[#This Row],[Negotiated_Cost]])/Table1[[#This Row],[Unit_Cost]]</f>
        <v>3.6494087095020472E-2</v>
      </c>
    </row>
    <row r="1047" spans="1:15" x14ac:dyDescent="0.25">
      <c r="A1047" t="s">
        <v>1082</v>
      </c>
      <c r="B1047" t="s">
        <v>20</v>
      </c>
      <c r="C1047" s="14" t="s">
        <v>44</v>
      </c>
      <c r="D1047" s="1">
        <v>45190</v>
      </c>
      <c r="E1047" s="13">
        <v>45203</v>
      </c>
      <c r="F1047" s="14" t="s">
        <v>14</v>
      </c>
      <c r="G1047">
        <v>153</v>
      </c>
      <c r="H1047">
        <v>8626.17</v>
      </c>
      <c r="I1047">
        <v>8241.5300000000007</v>
      </c>
      <c r="J1047">
        <v>1</v>
      </c>
      <c r="K1047" s="14" t="s">
        <v>15</v>
      </c>
      <c r="L1047" s="14">
        <f>IF(OR(Table1[[#This Row],[Order_Status]]="Delivered",Table1[[#This Row],[Delivery_Date]]&lt;&gt;"Not Yet Delivered"),Table1[[#This Row],[Delivery_Date]]-Table1[[#This Row],[Order_Date]],"Not Applicable")</f>
        <v>13</v>
      </c>
      <c r="M1047" s="14">
        <f>Table1[[#This Row],[Unit_Cost]]-Table1[[#This Row],[Negotiated_Cost]]</f>
        <v>384.63999999999942</v>
      </c>
      <c r="N1047" s="18">
        <f>Table1[[#This Row],[Defective_Units]]/Table1[[#This Row],[Quantity]]</f>
        <v>6.5359477124183009E-3</v>
      </c>
      <c r="O1047" s="26">
        <f>(Table1[[#This Row],[Unit_Cost]]-Table1[[#This Row],[Negotiated_Cost]])/Table1[[#This Row],[Unit_Cost]]</f>
        <v>4.4589893313022974E-2</v>
      </c>
    </row>
    <row r="1048" spans="1:15" x14ac:dyDescent="0.25">
      <c r="A1048" t="s">
        <v>1083</v>
      </c>
      <c r="B1048" t="s">
        <v>27</v>
      </c>
      <c r="C1048" s="14" t="s">
        <v>44</v>
      </c>
      <c r="D1048" s="1">
        <v>45190</v>
      </c>
      <c r="E1048" s="13">
        <v>45213</v>
      </c>
      <c r="F1048" s="14" t="s">
        <v>14</v>
      </c>
      <c r="G1048">
        <v>142</v>
      </c>
      <c r="H1048">
        <v>8469.9599999999991</v>
      </c>
      <c r="I1048">
        <v>8018.47</v>
      </c>
      <c r="J1048">
        <v>4</v>
      </c>
      <c r="K1048" s="14" t="s">
        <v>15</v>
      </c>
      <c r="L1048" s="14">
        <f>IF(OR(Table1[[#This Row],[Order_Status]]="Delivered",Table1[[#This Row],[Delivery_Date]]&lt;&gt;"Not Yet Delivered"),Table1[[#This Row],[Delivery_Date]]-Table1[[#This Row],[Order_Date]],"Not Applicable")</f>
        <v>23</v>
      </c>
      <c r="M1048" s="14">
        <f>Table1[[#This Row],[Unit_Cost]]-Table1[[#This Row],[Negotiated_Cost]]</f>
        <v>451.48999999999887</v>
      </c>
      <c r="N1048" s="18">
        <f>Table1[[#This Row],[Defective_Units]]/Table1[[#This Row],[Quantity]]</f>
        <v>2.8169014084507043E-2</v>
      </c>
      <c r="O1048" s="26">
        <f>(Table1[[#This Row],[Unit_Cost]]-Table1[[#This Row],[Negotiated_Cost]])/Table1[[#This Row],[Unit_Cost]]</f>
        <v>5.3304856221280728E-2</v>
      </c>
    </row>
    <row r="1049" spans="1:15" x14ac:dyDescent="0.25">
      <c r="A1049" t="s">
        <v>1084</v>
      </c>
      <c r="B1049" t="s">
        <v>40</v>
      </c>
      <c r="C1049" s="14" t="s">
        <v>55</v>
      </c>
      <c r="D1049" s="1">
        <v>45500</v>
      </c>
      <c r="E1049" s="13">
        <v>45522</v>
      </c>
      <c r="F1049" s="14" t="s">
        <v>37</v>
      </c>
      <c r="G1049">
        <v>50</v>
      </c>
      <c r="H1049">
        <v>15098.44</v>
      </c>
      <c r="I1049">
        <v>15028.23</v>
      </c>
      <c r="J1049">
        <v>1</v>
      </c>
      <c r="K1049" s="14" t="s">
        <v>15</v>
      </c>
      <c r="L1049" s="14">
        <f>IF(OR(Table1[[#This Row],[Order_Status]]="Delivered",Table1[[#This Row],[Delivery_Date]]&lt;&gt;"Not Yet Delivered"),Table1[[#This Row],[Delivery_Date]]-Table1[[#This Row],[Order_Date]],"Not Applicable")</f>
        <v>22</v>
      </c>
      <c r="M1049" s="14">
        <f>Table1[[#This Row],[Unit_Cost]]-Table1[[#This Row],[Negotiated_Cost]]</f>
        <v>70.210000000000946</v>
      </c>
      <c r="N1049" s="18">
        <f>Table1[[#This Row],[Defective_Units]]/Table1[[#This Row],[Quantity]]</f>
        <v>0.02</v>
      </c>
      <c r="O1049" s="26">
        <f>(Table1[[#This Row],[Unit_Cost]]-Table1[[#This Row],[Negotiated_Cost]])/Table1[[#This Row],[Unit_Cost]]</f>
        <v>4.6501492869462637E-3</v>
      </c>
    </row>
    <row r="1050" spans="1:15" x14ac:dyDescent="0.25">
      <c r="A1050" t="s">
        <v>1085</v>
      </c>
      <c r="B1050" t="s">
        <v>27</v>
      </c>
      <c r="C1050" s="14" t="s">
        <v>55</v>
      </c>
      <c r="D1050" s="1">
        <v>45428</v>
      </c>
      <c r="E1050" s="13">
        <v>45431</v>
      </c>
      <c r="F1050" s="14" t="s">
        <v>14</v>
      </c>
      <c r="G1050">
        <v>145</v>
      </c>
      <c r="H1050">
        <v>15553.81</v>
      </c>
      <c r="I1050">
        <v>14960.87</v>
      </c>
      <c r="J1050">
        <v>0</v>
      </c>
      <c r="K1050" s="14" t="s">
        <v>15</v>
      </c>
      <c r="L1050" s="14">
        <f>IF(OR(Table1[[#This Row],[Order_Status]]="Delivered",Table1[[#This Row],[Delivery_Date]]&lt;&gt;"Not Yet Delivered"),Table1[[#This Row],[Delivery_Date]]-Table1[[#This Row],[Order_Date]],"Not Applicable")</f>
        <v>3</v>
      </c>
      <c r="M1050" s="14">
        <f>Table1[[#This Row],[Unit_Cost]]-Table1[[#This Row],[Negotiated_Cost]]</f>
        <v>592.93999999999869</v>
      </c>
      <c r="N1050" s="18">
        <f>Table1[[#This Row],[Defective_Units]]/Table1[[#This Row],[Quantity]]</f>
        <v>0</v>
      </c>
      <c r="O1050" s="26">
        <f>(Table1[[#This Row],[Unit_Cost]]-Table1[[#This Row],[Negotiated_Cost]])/Table1[[#This Row],[Unit_Cost]]</f>
        <v>3.8121849244654442E-2</v>
      </c>
    </row>
    <row r="1051" spans="1:15" x14ac:dyDescent="0.25">
      <c r="A1051" t="s">
        <v>1086</v>
      </c>
      <c r="B1051" t="s">
        <v>40</v>
      </c>
      <c r="C1051" s="14" t="s">
        <v>18</v>
      </c>
      <c r="D1051" s="1">
        <v>45216</v>
      </c>
      <c r="E1051" s="13">
        <v>45218</v>
      </c>
      <c r="F1051" s="14" t="s">
        <v>14</v>
      </c>
      <c r="G1051">
        <v>436</v>
      </c>
      <c r="H1051">
        <v>5631.67</v>
      </c>
      <c r="I1051">
        <v>5309.01</v>
      </c>
      <c r="J1051">
        <v>3</v>
      </c>
      <c r="K1051" s="14" t="s">
        <v>15</v>
      </c>
      <c r="L1051" s="14">
        <f>IF(OR(Table1[[#This Row],[Order_Status]]="Delivered",Table1[[#This Row],[Delivery_Date]]&lt;&gt;"Not Yet Delivered"),Table1[[#This Row],[Delivery_Date]]-Table1[[#This Row],[Order_Date]],"Not Applicable")</f>
        <v>2</v>
      </c>
      <c r="M1051" s="14">
        <f>Table1[[#This Row],[Unit_Cost]]-Table1[[#This Row],[Negotiated_Cost]]</f>
        <v>322.65999999999985</v>
      </c>
      <c r="N1051" s="18">
        <f>Table1[[#This Row],[Defective_Units]]/Table1[[#This Row],[Quantity]]</f>
        <v>6.8807339449541288E-3</v>
      </c>
      <c r="O1051" s="26">
        <f>(Table1[[#This Row],[Unit_Cost]]-Table1[[#This Row],[Negotiated_Cost]])/Table1[[#This Row],[Unit_Cost]]</f>
        <v>5.7293840015483835E-2</v>
      </c>
    </row>
    <row r="1052" spans="1:15" x14ac:dyDescent="0.25">
      <c r="A1052" t="s">
        <v>1087</v>
      </c>
      <c r="B1052" t="s">
        <v>40</v>
      </c>
      <c r="C1052" s="14" t="s">
        <v>50</v>
      </c>
      <c r="D1052" s="1">
        <v>45315</v>
      </c>
      <c r="E1052" s="13">
        <v>45335</v>
      </c>
      <c r="F1052" s="14" t="s">
        <v>14</v>
      </c>
      <c r="G1052">
        <v>381</v>
      </c>
      <c r="H1052">
        <v>55479.61</v>
      </c>
      <c r="I1052">
        <v>55412.75</v>
      </c>
      <c r="J1052">
        <v>1</v>
      </c>
      <c r="K1052" s="14" t="s">
        <v>15</v>
      </c>
      <c r="L1052" s="14">
        <f>IF(OR(Table1[[#This Row],[Order_Status]]="Delivered",Table1[[#This Row],[Delivery_Date]]&lt;&gt;"Not Yet Delivered"),Table1[[#This Row],[Delivery_Date]]-Table1[[#This Row],[Order_Date]],"Not Applicable")</f>
        <v>20</v>
      </c>
      <c r="M1052" s="14">
        <f>Table1[[#This Row],[Unit_Cost]]-Table1[[#This Row],[Negotiated_Cost]]</f>
        <v>66.860000000000582</v>
      </c>
      <c r="N1052" s="18">
        <f>Table1[[#This Row],[Defective_Units]]/Table1[[#This Row],[Quantity]]</f>
        <v>2.6246719160104987E-3</v>
      </c>
      <c r="O1052" s="26">
        <f>(Table1[[#This Row],[Unit_Cost]]-Table1[[#This Row],[Negotiated_Cost]])/Table1[[#This Row],[Unit_Cost]]</f>
        <v>1.2051274333038855E-3</v>
      </c>
    </row>
    <row r="1053" spans="1:15" x14ac:dyDescent="0.25">
      <c r="A1053" t="s">
        <v>1088</v>
      </c>
      <c r="B1053" t="s">
        <v>35</v>
      </c>
      <c r="C1053" s="14" t="s">
        <v>18</v>
      </c>
      <c r="D1053" s="1">
        <v>45549</v>
      </c>
      <c r="E1053" s="13">
        <v>45577</v>
      </c>
      <c r="F1053" s="14" t="s">
        <v>37</v>
      </c>
      <c r="G1053">
        <v>473</v>
      </c>
      <c r="H1053">
        <v>5432.19</v>
      </c>
      <c r="I1053">
        <v>5200.43</v>
      </c>
      <c r="J1053">
        <v>7</v>
      </c>
      <c r="K1053" s="14" t="s">
        <v>15</v>
      </c>
      <c r="L1053" s="14">
        <f>IF(OR(Table1[[#This Row],[Order_Status]]="Delivered",Table1[[#This Row],[Delivery_Date]]&lt;&gt;"Not Yet Delivered"),Table1[[#This Row],[Delivery_Date]]-Table1[[#This Row],[Order_Date]],"Not Applicable")</f>
        <v>28</v>
      </c>
      <c r="M1053" s="14">
        <f>Table1[[#This Row],[Unit_Cost]]-Table1[[#This Row],[Negotiated_Cost]]</f>
        <v>231.75999999999931</v>
      </c>
      <c r="N1053" s="18">
        <f>Table1[[#This Row],[Defective_Units]]/Table1[[#This Row],[Quantity]]</f>
        <v>1.4799154334038054E-2</v>
      </c>
      <c r="O1053" s="26">
        <f>(Table1[[#This Row],[Unit_Cost]]-Table1[[#This Row],[Negotiated_Cost]])/Table1[[#This Row],[Unit_Cost]]</f>
        <v>4.2664192526402668E-2</v>
      </c>
    </row>
    <row r="1054" spans="1:15" x14ac:dyDescent="0.25">
      <c r="A1054" t="s">
        <v>1089</v>
      </c>
      <c r="B1054" t="s">
        <v>40</v>
      </c>
      <c r="C1054" s="14" t="s">
        <v>24</v>
      </c>
      <c r="D1054" s="1">
        <v>45589</v>
      </c>
      <c r="E1054" s="13">
        <v>45603</v>
      </c>
      <c r="F1054" s="14" t="s">
        <v>37</v>
      </c>
      <c r="G1054">
        <v>330</v>
      </c>
      <c r="H1054">
        <v>13258.49</v>
      </c>
      <c r="I1054">
        <v>13203.23</v>
      </c>
      <c r="J1054">
        <v>2</v>
      </c>
      <c r="K1054" s="14" t="s">
        <v>25</v>
      </c>
      <c r="L1054" s="14">
        <f>IF(OR(Table1[[#This Row],[Order_Status]]="Delivered",Table1[[#This Row],[Delivery_Date]]&lt;&gt;"Not Yet Delivered"),Table1[[#This Row],[Delivery_Date]]-Table1[[#This Row],[Order_Date]],"Not Applicable")</f>
        <v>14</v>
      </c>
      <c r="M1054" s="14">
        <f>Table1[[#This Row],[Unit_Cost]]-Table1[[#This Row],[Negotiated_Cost]]</f>
        <v>55.260000000000218</v>
      </c>
      <c r="N1054" s="18">
        <f>Table1[[#This Row],[Defective_Units]]/Table1[[#This Row],[Quantity]]</f>
        <v>6.0606060606060606E-3</v>
      </c>
      <c r="O1054" s="26">
        <f>(Table1[[#This Row],[Unit_Cost]]-Table1[[#This Row],[Negotiated_Cost]])/Table1[[#This Row],[Unit_Cost]]</f>
        <v>4.1678954390733953E-3</v>
      </c>
    </row>
    <row r="1055" spans="1:15" x14ac:dyDescent="0.25">
      <c r="A1055" t="s">
        <v>1090</v>
      </c>
      <c r="B1055" t="s">
        <v>40</v>
      </c>
      <c r="C1055" s="14" t="s">
        <v>21</v>
      </c>
      <c r="D1055" s="1">
        <v>45550</v>
      </c>
      <c r="E1055" s="14" t="s">
        <v>2057</v>
      </c>
      <c r="F1055" s="14" t="s">
        <v>22</v>
      </c>
      <c r="G1055">
        <v>325</v>
      </c>
      <c r="H1055">
        <v>131.53</v>
      </c>
      <c r="I1055">
        <v>128.08000000000001</v>
      </c>
      <c r="J1055">
        <v>2</v>
      </c>
      <c r="K1055" s="14" t="s">
        <v>25</v>
      </c>
      <c r="L1055" s="14" t="str">
        <f>IF(OR(Table1[[#This Row],[Order_Status]]="Delivered",Table1[[#This Row],[Delivery_Date]]&lt;&gt;"Not Yet Delivered"),Table1[[#This Row],[Delivery_Date]]-Table1[[#This Row],[Order_Date]],"Not Applicable")</f>
        <v>Not Applicable</v>
      </c>
      <c r="M1055" s="14">
        <f>Table1[[#This Row],[Unit_Cost]]-Table1[[#This Row],[Negotiated_Cost]]</f>
        <v>3.4499999999999886</v>
      </c>
      <c r="N1055" s="18">
        <f>Table1[[#This Row],[Defective_Units]]/Table1[[#This Row],[Quantity]]</f>
        <v>6.1538461538461538E-3</v>
      </c>
      <c r="O1055" s="26">
        <f>(Table1[[#This Row],[Unit_Cost]]-Table1[[#This Row],[Negotiated_Cost]])/Table1[[#This Row],[Unit_Cost]]</f>
        <v>2.622975746977867E-2</v>
      </c>
    </row>
    <row r="1056" spans="1:15" x14ac:dyDescent="0.25">
      <c r="A1056" t="s">
        <v>1091</v>
      </c>
      <c r="B1056" t="s">
        <v>40</v>
      </c>
      <c r="C1056" s="14" t="s">
        <v>21</v>
      </c>
      <c r="D1056" s="1">
        <v>45179</v>
      </c>
      <c r="E1056" s="14" t="s">
        <v>2057</v>
      </c>
      <c r="F1056" s="14" t="s">
        <v>33</v>
      </c>
      <c r="G1056">
        <v>226</v>
      </c>
      <c r="H1056">
        <v>128.47999999999999</v>
      </c>
      <c r="I1056">
        <v>127.56</v>
      </c>
      <c r="J1056">
        <v>2</v>
      </c>
      <c r="K1056" s="14" t="s">
        <v>15</v>
      </c>
      <c r="L1056" s="14" t="str">
        <f>IF(OR(Table1[[#This Row],[Order_Status]]="Delivered",Table1[[#This Row],[Delivery_Date]]&lt;&gt;"Not Yet Delivered"),Table1[[#This Row],[Delivery_Date]]-Table1[[#This Row],[Order_Date]],"Not Applicable")</f>
        <v>Not Applicable</v>
      </c>
      <c r="M1056" s="14">
        <f>Table1[[#This Row],[Unit_Cost]]-Table1[[#This Row],[Negotiated_Cost]]</f>
        <v>0.91999999999998749</v>
      </c>
      <c r="N1056" s="18">
        <f>Table1[[#This Row],[Defective_Units]]/Table1[[#This Row],[Quantity]]</f>
        <v>8.8495575221238937E-3</v>
      </c>
      <c r="O1056" s="26">
        <f>(Table1[[#This Row],[Unit_Cost]]-Table1[[#This Row],[Negotiated_Cost]])/Table1[[#This Row],[Unit_Cost]]</f>
        <v>7.1606475716063786E-3</v>
      </c>
    </row>
    <row r="1057" spans="1:15" x14ac:dyDescent="0.25">
      <c r="A1057" t="s">
        <v>1092</v>
      </c>
      <c r="B1057" t="s">
        <v>27</v>
      </c>
      <c r="C1057" s="14" t="s">
        <v>42</v>
      </c>
      <c r="D1057" s="1">
        <v>45493</v>
      </c>
      <c r="E1057" s="13">
        <v>45522</v>
      </c>
      <c r="F1057" s="14" t="s">
        <v>14</v>
      </c>
      <c r="G1057">
        <v>408</v>
      </c>
      <c r="H1057">
        <v>11872.8</v>
      </c>
      <c r="I1057">
        <v>11541.63</v>
      </c>
      <c r="J1057">
        <v>4</v>
      </c>
      <c r="K1057" s="14" t="s">
        <v>15</v>
      </c>
      <c r="L1057" s="14">
        <f>IF(OR(Table1[[#This Row],[Order_Status]]="Delivered",Table1[[#This Row],[Delivery_Date]]&lt;&gt;"Not Yet Delivered"),Table1[[#This Row],[Delivery_Date]]-Table1[[#This Row],[Order_Date]],"Not Applicable")</f>
        <v>29</v>
      </c>
      <c r="M1057" s="14">
        <f>Table1[[#This Row],[Unit_Cost]]-Table1[[#This Row],[Negotiated_Cost]]</f>
        <v>331.17000000000007</v>
      </c>
      <c r="N1057" s="18">
        <f>Table1[[#This Row],[Defective_Units]]/Table1[[#This Row],[Quantity]]</f>
        <v>9.8039215686274508E-3</v>
      </c>
      <c r="O1057" s="26">
        <f>(Table1[[#This Row],[Unit_Cost]]-Table1[[#This Row],[Negotiated_Cost]])/Table1[[#This Row],[Unit_Cost]]</f>
        <v>2.7893167576308883E-2</v>
      </c>
    </row>
    <row r="1058" spans="1:15" x14ac:dyDescent="0.25">
      <c r="A1058" t="s">
        <v>1093</v>
      </c>
      <c r="B1058" t="s">
        <v>40</v>
      </c>
      <c r="C1058" s="14" t="s">
        <v>44</v>
      </c>
      <c r="D1058" s="1">
        <v>45168</v>
      </c>
      <c r="E1058" s="13">
        <v>45197</v>
      </c>
      <c r="F1058" s="14" t="s">
        <v>14</v>
      </c>
      <c r="G1058">
        <v>308</v>
      </c>
      <c r="H1058">
        <v>9159.3700000000008</v>
      </c>
      <c r="I1058">
        <v>8949.08</v>
      </c>
      <c r="J1058">
        <v>1</v>
      </c>
      <c r="K1058" s="14" t="s">
        <v>15</v>
      </c>
      <c r="L1058" s="14">
        <f>IF(OR(Table1[[#This Row],[Order_Status]]="Delivered",Table1[[#This Row],[Delivery_Date]]&lt;&gt;"Not Yet Delivered"),Table1[[#This Row],[Delivery_Date]]-Table1[[#This Row],[Order_Date]],"Not Applicable")</f>
        <v>29</v>
      </c>
      <c r="M1058" s="14">
        <f>Table1[[#This Row],[Unit_Cost]]-Table1[[#This Row],[Negotiated_Cost]]</f>
        <v>210.29000000000087</v>
      </c>
      <c r="N1058" s="18">
        <f>Table1[[#This Row],[Defective_Units]]/Table1[[#This Row],[Quantity]]</f>
        <v>3.246753246753247E-3</v>
      </c>
      <c r="O1058" s="26">
        <f>(Table1[[#This Row],[Unit_Cost]]-Table1[[#This Row],[Negotiated_Cost]])/Table1[[#This Row],[Unit_Cost]]</f>
        <v>2.2959002638827872E-2</v>
      </c>
    </row>
    <row r="1059" spans="1:15" x14ac:dyDescent="0.25">
      <c r="A1059" t="s">
        <v>1094</v>
      </c>
      <c r="B1059" t="s">
        <v>17</v>
      </c>
      <c r="C1059" s="14" t="s">
        <v>55</v>
      </c>
      <c r="D1059" s="1">
        <v>45533</v>
      </c>
      <c r="E1059" s="13">
        <v>45536</v>
      </c>
      <c r="F1059" s="14" t="s">
        <v>37</v>
      </c>
      <c r="G1059">
        <v>450</v>
      </c>
      <c r="H1059">
        <v>13478.16</v>
      </c>
      <c r="I1059">
        <v>13000.38</v>
      </c>
      <c r="J1059">
        <v>2</v>
      </c>
      <c r="K1059" s="14" t="s">
        <v>15</v>
      </c>
      <c r="L1059" s="14">
        <f>IF(OR(Table1[[#This Row],[Order_Status]]="Delivered",Table1[[#This Row],[Delivery_Date]]&lt;&gt;"Not Yet Delivered"),Table1[[#This Row],[Delivery_Date]]-Table1[[#This Row],[Order_Date]],"Not Applicable")</f>
        <v>3</v>
      </c>
      <c r="M1059" s="14">
        <f>Table1[[#This Row],[Unit_Cost]]-Table1[[#This Row],[Negotiated_Cost]]</f>
        <v>477.78000000000065</v>
      </c>
      <c r="N1059" s="18">
        <f>Table1[[#This Row],[Defective_Units]]/Table1[[#This Row],[Quantity]]</f>
        <v>4.4444444444444444E-3</v>
      </c>
      <c r="O1059" s="26">
        <f>(Table1[[#This Row],[Unit_Cost]]-Table1[[#This Row],[Negotiated_Cost]])/Table1[[#This Row],[Unit_Cost]]</f>
        <v>3.5448458840079113E-2</v>
      </c>
    </row>
    <row r="1060" spans="1:15" x14ac:dyDescent="0.25">
      <c r="A1060" t="s">
        <v>1095</v>
      </c>
      <c r="B1060" t="s">
        <v>46</v>
      </c>
      <c r="C1060" s="14" t="s">
        <v>30</v>
      </c>
      <c r="D1060" s="1">
        <v>45563</v>
      </c>
      <c r="E1060" s="13">
        <v>45592</v>
      </c>
      <c r="F1060" s="14" t="s">
        <v>14</v>
      </c>
      <c r="G1060">
        <v>174</v>
      </c>
      <c r="H1060">
        <v>860.04</v>
      </c>
      <c r="I1060">
        <v>824.86</v>
      </c>
      <c r="J1060">
        <v>4</v>
      </c>
      <c r="K1060" s="14" t="s">
        <v>15</v>
      </c>
      <c r="L1060" s="14">
        <f>IF(OR(Table1[[#This Row],[Order_Status]]="Delivered",Table1[[#This Row],[Delivery_Date]]&lt;&gt;"Not Yet Delivered"),Table1[[#This Row],[Delivery_Date]]-Table1[[#This Row],[Order_Date]],"Not Applicable")</f>
        <v>29</v>
      </c>
      <c r="M1060" s="14">
        <f>Table1[[#This Row],[Unit_Cost]]-Table1[[#This Row],[Negotiated_Cost]]</f>
        <v>35.17999999999995</v>
      </c>
      <c r="N1060" s="18">
        <f>Table1[[#This Row],[Defective_Units]]/Table1[[#This Row],[Quantity]]</f>
        <v>2.2988505747126436E-2</v>
      </c>
      <c r="O1060" s="26">
        <f>(Table1[[#This Row],[Unit_Cost]]-Table1[[#This Row],[Negotiated_Cost]])/Table1[[#This Row],[Unit_Cost]]</f>
        <v>4.0905074182596105E-2</v>
      </c>
    </row>
    <row r="1061" spans="1:15" x14ac:dyDescent="0.25">
      <c r="A1061" t="s">
        <v>1096</v>
      </c>
      <c r="B1061" t="s">
        <v>20</v>
      </c>
      <c r="C1061" s="14" t="s">
        <v>18</v>
      </c>
      <c r="D1061" s="1">
        <v>45626</v>
      </c>
      <c r="E1061" s="13">
        <v>45638</v>
      </c>
      <c r="F1061" s="14" t="s">
        <v>14</v>
      </c>
      <c r="G1061">
        <v>359</v>
      </c>
      <c r="H1061">
        <v>5183.97</v>
      </c>
      <c r="I1061">
        <v>5138.54</v>
      </c>
      <c r="J1061">
        <v>0</v>
      </c>
      <c r="K1061" s="14" t="s">
        <v>15</v>
      </c>
      <c r="L1061" s="14">
        <f>IF(OR(Table1[[#This Row],[Order_Status]]="Delivered",Table1[[#This Row],[Delivery_Date]]&lt;&gt;"Not Yet Delivered"),Table1[[#This Row],[Delivery_Date]]-Table1[[#This Row],[Order_Date]],"Not Applicable")</f>
        <v>12</v>
      </c>
      <c r="M1061" s="14">
        <f>Table1[[#This Row],[Unit_Cost]]-Table1[[#This Row],[Negotiated_Cost]]</f>
        <v>45.430000000000291</v>
      </c>
      <c r="N1061" s="18">
        <f>Table1[[#This Row],[Defective_Units]]/Table1[[#This Row],[Quantity]]</f>
        <v>0</v>
      </c>
      <c r="O1061" s="26">
        <f>(Table1[[#This Row],[Unit_Cost]]-Table1[[#This Row],[Negotiated_Cost]])/Table1[[#This Row],[Unit_Cost]]</f>
        <v>8.7635538014302333E-3</v>
      </c>
    </row>
    <row r="1062" spans="1:15" x14ac:dyDescent="0.25">
      <c r="A1062" t="s">
        <v>1097</v>
      </c>
      <c r="B1062" t="s">
        <v>12</v>
      </c>
      <c r="C1062" s="14" t="s">
        <v>18</v>
      </c>
      <c r="D1062" s="1">
        <v>44988</v>
      </c>
      <c r="E1062" s="13">
        <v>44994</v>
      </c>
      <c r="F1062" s="14" t="s">
        <v>14</v>
      </c>
      <c r="G1062">
        <v>495</v>
      </c>
      <c r="H1062">
        <v>5539.82</v>
      </c>
      <c r="I1062">
        <v>5407.32</v>
      </c>
      <c r="J1062">
        <v>8</v>
      </c>
      <c r="K1062" s="14" t="s">
        <v>15</v>
      </c>
      <c r="L1062" s="14">
        <f>IF(OR(Table1[[#This Row],[Order_Status]]="Delivered",Table1[[#This Row],[Delivery_Date]]&lt;&gt;"Not Yet Delivered"),Table1[[#This Row],[Delivery_Date]]-Table1[[#This Row],[Order_Date]],"Not Applicable")</f>
        <v>6</v>
      </c>
      <c r="M1062" s="14">
        <f>Table1[[#This Row],[Unit_Cost]]-Table1[[#This Row],[Negotiated_Cost]]</f>
        <v>132.5</v>
      </c>
      <c r="N1062" s="18">
        <f>Table1[[#This Row],[Defective_Units]]/Table1[[#This Row],[Quantity]]</f>
        <v>1.6161616161616162E-2</v>
      </c>
      <c r="O1062" s="26">
        <f>(Table1[[#This Row],[Unit_Cost]]-Table1[[#This Row],[Negotiated_Cost]])/Table1[[#This Row],[Unit_Cost]]</f>
        <v>2.3917744619861295E-2</v>
      </c>
    </row>
    <row r="1063" spans="1:15" x14ac:dyDescent="0.25">
      <c r="A1063" t="s">
        <v>1098</v>
      </c>
      <c r="B1063" t="s">
        <v>20</v>
      </c>
      <c r="C1063" s="14" t="s">
        <v>50</v>
      </c>
      <c r="D1063" s="1">
        <v>45341</v>
      </c>
      <c r="E1063" s="13">
        <v>45344</v>
      </c>
      <c r="F1063" s="14" t="s">
        <v>14</v>
      </c>
      <c r="G1063">
        <v>365</v>
      </c>
      <c r="H1063">
        <v>47607.38</v>
      </c>
      <c r="I1063">
        <v>46682.3</v>
      </c>
      <c r="J1063">
        <v>5</v>
      </c>
      <c r="K1063" s="14" t="s">
        <v>15</v>
      </c>
      <c r="L1063" s="14">
        <f>IF(OR(Table1[[#This Row],[Order_Status]]="Delivered",Table1[[#This Row],[Delivery_Date]]&lt;&gt;"Not Yet Delivered"),Table1[[#This Row],[Delivery_Date]]-Table1[[#This Row],[Order_Date]],"Not Applicable")</f>
        <v>3</v>
      </c>
      <c r="M1063" s="14">
        <f>Table1[[#This Row],[Unit_Cost]]-Table1[[#This Row],[Negotiated_Cost]]</f>
        <v>925.07999999999447</v>
      </c>
      <c r="N1063" s="18">
        <f>Table1[[#This Row],[Defective_Units]]/Table1[[#This Row],[Quantity]]</f>
        <v>1.3698630136986301E-2</v>
      </c>
      <c r="O1063" s="26">
        <f>(Table1[[#This Row],[Unit_Cost]]-Table1[[#This Row],[Negotiated_Cost]])/Table1[[#This Row],[Unit_Cost]]</f>
        <v>1.9431441091696172E-2</v>
      </c>
    </row>
    <row r="1064" spans="1:15" x14ac:dyDescent="0.25">
      <c r="A1064" t="s">
        <v>1099</v>
      </c>
      <c r="B1064" t="s">
        <v>20</v>
      </c>
      <c r="C1064" s="14" t="s">
        <v>50</v>
      </c>
      <c r="D1064" s="1">
        <v>45438</v>
      </c>
      <c r="E1064" s="13">
        <v>45449</v>
      </c>
      <c r="F1064" s="14" t="s">
        <v>37</v>
      </c>
      <c r="G1064">
        <v>51</v>
      </c>
      <c r="H1064">
        <v>49739.09</v>
      </c>
      <c r="I1064">
        <v>48409.85</v>
      </c>
      <c r="J1064">
        <v>0</v>
      </c>
      <c r="K1064" s="14" t="s">
        <v>15</v>
      </c>
      <c r="L1064" s="14">
        <f>IF(OR(Table1[[#This Row],[Order_Status]]="Delivered",Table1[[#This Row],[Delivery_Date]]&lt;&gt;"Not Yet Delivered"),Table1[[#This Row],[Delivery_Date]]-Table1[[#This Row],[Order_Date]],"Not Applicable")</f>
        <v>11</v>
      </c>
      <c r="M1064" s="14">
        <f>Table1[[#This Row],[Unit_Cost]]-Table1[[#This Row],[Negotiated_Cost]]</f>
        <v>1329.239999999998</v>
      </c>
      <c r="N1064" s="18">
        <f>Table1[[#This Row],[Defective_Units]]/Table1[[#This Row],[Quantity]]</f>
        <v>0</v>
      </c>
      <c r="O1064" s="26">
        <f>(Table1[[#This Row],[Unit_Cost]]-Table1[[#This Row],[Negotiated_Cost]])/Table1[[#This Row],[Unit_Cost]]</f>
        <v>2.6724252494366062E-2</v>
      </c>
    </row>
    <row r="1065" spans="1:15" x14ac:dyDescent="0.25">
      <c r="A1065" t="s">
        <v>1100</v>
      </c>
      <c r="B1065" t="s">
        <v>35</v>
      </c>
      <c r="C1065" s="14" t="s">
        <v>30</v>
      </c>
      <c r="D1065" s="1">
        <v>45612</v>
      </c>
      <c r="E1065" s="13">
        <v>45617</v>
      </c>
      <c r="F1065" s="14" t="s">
        <v>14</v>
      </c>
      <c r="G1065">
        <v>485</v>
      </c>
      <c r="H1065">
        <v>890.63</v>
      </c>
      <c r="I1065">
        <v>884.05</v>
      </c>
      <c r="J1065">
        <v>8</v>
      </c>
      <c r="K1065" s="14" t="s">
        <v>15</v>
      </c>
      <c r="L1065" s="14">
        <f>IF(OR(Table1[[#This Row],[Order_Status]]="Delivered",Table1[[#This Row],[Delivery_Date]]&lt;&gt;"Not Yet Delivered"),Table1[[#This Row],[Delivery_Date]]-Table1[[#This Row],[Order_Date]],"Not Applicable")</f>
        <v>5</v>
      </c>
      <c r="M1065" s="14">
        <f>Table1[[#This Row],[Unit_Cost]]-Table1[[#This Row],[Negotiated_Cost]]</f>
        <v>6.5800000000000409</v>
      </c>
      <c r="N1065" s="18">
        <f>Table1[[#This Row],[Defective_Units]]/Table1[[#This Row],[Quantity]]</f>
        <v>1.6494845360824743E-2</v>
      </c>
      <c r="O1065" s="26">
        <f>(Table1[[#This Row],[Unit_Cost]]-Table1[[#This Row],[Negotiated_Cost]])/Table1[[#This Row],[Unit_Cost]]</f>
        <v>7.3880286987862984E-3</v>
      </c>
    </row>
    <row r="1066" spans="1:15" x14ac:dyDescent="0.25">
      <c r="A1066" t="s">
        <v>1101</v>
      </c>
      <c r="B1066" t="s">
        <v>17</v>
      </c>
      <c r="C1066" s="14" t="s">
        <v>28</v>
      </c>
      <c r="D1066" s="1">
        <v>45308</v>
      </c>
      <c r="E1066" s="13">
        <v>45314</v>
      </c>
      <c r="F1066" s="14" t="s">
        <v>14</v>
      </c>
      <c r="G1066">
        <v>90</v>
      </c>
      <c r="H1066">
        <v>46700.5</v>
      </c>
      <c r="I1066">
        <v>45532.11</v>
      </c>
      <c r="J1066">
        <v>0</v>
      </c>
      <c r="K1066" s="14" t="s">
        <v>15</v>
      </c>
      <c r="L1066" s="14">
        <f>IF(OR(Table1[[#This Row],[Order_Status]]="Delivered",Table1[[#This Row],[Delivery_Date]]&lt;&gt;"Not Yet Delivered"),Table1[[#This Row],[Delivery_Date]]-Table1[[#This Row],[Order_Date]],"Not Applicable")</f>
        <v>6</v>
      </c>
      <c r="M1066" s="14">
        <f>Table1[[#This Row],[Unit_Cost]]-Table1[[#This Row],[Negotiated_Cost]]</f>
        <v>1168.3899999999994</v>
      </c>
      <c r="N1066" s="18">
        <f>Table1[[#This Row],[Defective_Units]]/Table1[[#This Row],[Quantity]]</f>
        <v>0</v>
      </c>
      <c r="O1066" s="26">
        <f>(Table1[[#This Row],[Unit_Cost]]-Table1[[#This Row],[Negotiated_Cost]])/Table1[[#This Row],[Unit_Cost]]</f>
        <v>2.5018789948715741E-2</v>
      </c>
    </row>
    <row r="1067" spans="1:15" x14ac:dyDescent="0.25">
      <c r="A1067" t="s">
        <v>1102</v>
      </c>
      <c r="B1067" t="s">
        <v>35</v>
      </c>
      <c r="C1067" s="14" t="s">
        <v>42</v>
      </c>
      <c r="D1067" s="1">
        <v>45462</v>
      </c>
      <c r="E1067" s="13">
        <v>45476</v>
      </c>
      <c r="F1067" s="14" t="s">
        <v>14</v>
      </c>
      <c r="G1067">
        <v>295</v>
      </c>
      <c r="H1067">
        <v>12591.54</v>
      </c>
      <c r="I1067">
        <v>12475.61</v>
      </c>
      <c r="J1067">
        <v>3</v>
      </c>
      <c r="K1067" s="14" t="s">
        <v>15</v>
      </c>
      <c r="L1067" s="14">
        <f>IF(OR(Table1[[#This Row],[Order_Status]]="Delivered",Table1[[#This Row],[Delivery_Date]]&lt;&gt;"Not Yet Delivered"),Table1[[#This Row],[Delivery_Date]]-Table1[[#This Row],[Order_Date]],"Not Applicable")</f>
        <v>14</v>
      </c>
      <c r="M1067" s="14">
        <f>Table1[[#This Row],[Unit_Cost]]-Table1[[#This Row],[Negotiated_Cost]]</f>
        <v>115.93000000000029</v>
      </c>
      <c r="N1067" s="18">
        <f>Table1[[#This Row],[Defective_Units]]/Table1[[#This Row],[Quantity]]</f>
        <v>1.0169491525423728E-2</v>
      </c>
      <c r="O1067" s="26">
        <f>(Table1[[#This Row],[Unit_Cost]]-Table1[[#This Row],[Negotiated_Cost]])/Table1[[#This Row],[Unit_Cost]]</f>
        <v>9.2069754771854986E-3</v>
      </c>
    </row>
    <row r="1068" spans="1:15" x14ac:dyDescent="0.25">
      <c r="A1068" t="s">
        <v>1103</v>
      </c>
      <c r="B1068" t="s">
        <v>32</v>
      </c>
      <c r="C1068" s="14" t="s">
        <v>30</v>
      </c>
      <c r="D1068" s="1">
        <v>45585</v>
      </c>
      <c r="E1068" s="13">
        <v>45598</v>
      </c>
      <c r="F1068" s="14" t="s">
        <v>14</v>
      </c>
      <c r="G1068">
        <v>431</v>
      </c>
      <c r="H1068">
        <v>818.32</v>
      </c>
      <c r="I1068">
        <v>812.93</v>
      </c>
      <c r="J1068">
        <v>0</v>
      </c>
      <c r="K1068" s="14" t="s">
        <v>15</v>
      </c>
      <c r="L1068" s="14">
        <f>IF(OR(Table1[[#This Row],[Order_Status]]="Delivered",Table1[[#This Row],[Delivery_Date]]&lt;&gt;"Not Yet Delivered"),Table1[[#This Row],[Delivery_Date]]-Table1[[#This Row],[Order_Date]],"Not Applicable")</f>
        <v>13</v>
      </c>
      <c r="M1068" s="14">
        <f>Table1[[#This Row],[Unit_Cost]]-Table1[[#This Row],[Negotiated_Cost]]</f>
        <v>5.3900000000001</v>
      </c>
      <c r="N1068" s="18">
        <f>Table1[[#This Row],[Defective_Units]]/Table1[[#This Row],[Quantity]]</f>
        <v>0</v>
      </c>
      <c r="O1068" s="26">
        <f>(Table1[[#This Row],[Unit_Cost]]-Table1[[#This Row],[Negotiated_Cost]])/Table1[[#This Row],[Unit_Cost]]</f>
        <v>6.5866653631832285E-3</v>
      </c>
    </row>
    <row r="1069" spans="1:15" x14ac:dyDescent="0.25">
      <c r="A1069" t="s">
        <v>1104</v>
      </c>
      <c r="B1069" t="s">
        <v>35</v>
      </c>
      <c r="C1069" s="14" t="s">
        <v>13</v>
      </c>
      <c r="D1069" s="1">
        <v>45633</v>
      </c>
      <c r="E1069" s="13">
        <v>45654</v>
      </c>
      <c r="F1069" s="14" t="s">
        <v>14</v>
      </c>
      <c r="G1069">
        <v>430</v>
      </c>
      <c r="H1069">
        <v>4349.95</v>
      </c>
      <c r="I1069">
        <v>4129.16</v>
      </c>
      <c r="J1069">
        <v>5</v>
      </c>
      <c r="K1069" s="14" t="s">
        <v>15</v>
      </c>
      <c r="L1069" s="14">
        <f>IF(OR(Table1[[#This Row],[Order_Status]]="Delivered",Table1[[#This Row],[Delivery_Date]]&lt;&gt;"Not Yet Delivered"),Table1[[#This Row],[Delivery_Date]]-Table1[[#This Row],[Order_Date]],"Not Applicable")</f>
        <v>21</v>
      </c>
      <c r="M1069" s="14">
        <f>Table1[[#This Row],[Unit_Cost]]-Table1[[#This Row],[Negotiated_Cost]]</f>
        <v>220.78999999999996</v>
      </c>
      <c r="N1069" s="18">
        <f>Table1[[#This Row],[Defective_Units]]/Table1[[#This Row],[Quantity]]</f>
        <v>1.1627906976744186E-2</v>
      </c>
      <c r="O1069" s="26">
        <f>(Table1[[#This Row],[Unit_Cost]]-Table1[[#This Row],[Negotiated_Cost]])/Table1[[#This Row],[Unit_Cost]]</f>
        <v>5.0756905251784494E-2</v>
      </c>
    </row>
    <row r="1070" spans="1:15" x14ac:dyDescent="0.25">
      <c r="A1070" t="s">
        <v>1105</v>
      </c>
      <c r="B1070" t="s">
        <v>17</v>
      </c>
      <c r="C1070" s="14" t="s">
        <v>55</v>
      </c>
      <c r="D1070" s="1">
        <v>45485</v>
      </c>
      <c r="E1070" s="13">
        <v>45514</v>
      </c>
      <c r="F1070" s="14" t="s">
        <v>14</v>
      </c>
      <c r="G1070">
        <v>218</v>
      </c>
      <c r="H1070">
        <v>13039.81</v>
      </c>
      <c r="I1070">
        <v>12442.83</v>
      </c>
      <c r="J1070">
        <v>1</v>
      </c>
      <c r="K1070" s="14" t="s">
        <v>15</v>
      </c>
      <c r="L1070" s="14">
        <f>IF(OR(Table1[[#This Row],[Order_Status]]="Delivered",Table1[[#This Row],[Delivery_Date]]&lt;&gt;"Not Yet Delivered"),Table1[[#This Row],[Delivery_Date]]-Table1[[#This Row],[Order_Date]],"Not Applicable")</f>
        <v>29</v>
      </c>
      <c r="M1070" s="14">
        <f>Table1[[#This Row],[Unit_Cost]]-Table1[[#This Row],[Negotiated_Cost]]</f>
        <v>596.97999999999956</v>
      </c>
      <c r="N1070" s="18">
        <f>Table1[[#This Row],[Defective_Units]]/Table1[[#This Row],[Quantity]]</f>
        <v>4.5871559633027525E-3</v>
      </c>
      <c r="O1070" s="26">
        <f>(Table1[[#This Row],[Unit_Cost]]-Table1[[#This Row],[Negotiated_Cost]])/Table1[[#This Row],[Unit_Cost]]</f>
        <v>4.5781341906055345E-2</v>
      </c>
    </row>
    <row r="1071" spans="1:15" x14ac:dyDescent="0.25">
      <c r="A1071" t="s">
        <v>1106</v>
      </c>
      <c r="B1071" t="s">
        <v>12</v>
      </c>
      <c r="C1071" s="14" t="s">
        <v>21</v>
      </c>
      <c r="D1071" s="1">
        <v>45205</v>
      </c>
      <c r="E1071" s="13">
        <v>45225</v>
      </c>
      <c r="F1071" s="14" t="s">
        <v>37</v>
      </c>
      <c r="G1071">
        <v>483</v>
      </c>
      <c r="H1071">
        <v>131.69999999999999</v>
      </c>
      <c r="I1071">
        <v>125.51</v>
      </c>
      <c r="J1071">
        <v>9</v>
      </c>
      <c r="K1071" s="14" t="s">
        <v>15</v>
      </c>
      <c r="L1071" s="14">
        <f>IF(OR(Table1[[#This Row],[Order_Status]]="Delivered",Table1[[#This Row],[Delivery_Date]]&lt;&gt;"Not Yet Delivered"),Table1[[#This Row],[Delivery_Date]]-Table1[[#This Row],[Order_Date]],"Not Applicable")</f>
        <v>20</v>
      </c>
      <c r="M1071" s="14">
        <f>Table1[[#This Row],[Unit_Cost]]-Table1[[#This Row],[Negotiated_Cost]]</f>
        <v>6.1899999999999835</v>
      </c>
      <c r="N1071" s="18">
        <f>Table1[[#This Row],[Defective_Units]]/Table1[[#This Row],[Quantity]]</f>
        <v>1.8633540372670808E-2</v>
      </c>
      <c r="O1071" s="26">
        <f>(Table1[[#This Row],[Unit_Cost]]-Table1[[#This Row],[Negotiated_Cost]])/Table1[[#This Row],[Unit_Cost]]</f>
        <v>4.7000759301442555E-2</v>
      </c>
    </row>
    <row r="1072" spans="1:15" x14ac:dyDescent="0.25">
      <c r="A1072" t="s">
        <v>1107</v>
      </c>
      <c r="B1072" t="s">
        <v>40</v>
      </c>
      <c r="C1072" s="14" t="s">
        <v>30</v>
      </c>
      <c r="D1072" s="1">
        <v>44941</v>
      </c>
      <c r="E1072" s="13">
        <v>44958</v>
      </c>
      <c r="F1072" s="14" t="s">
        <v>37</v>
      </c>
      <c r="G1072">
        <v>447</v>
      </c>
      <c r="H1072">
        <v>993.86</v>
      </c>
      <c r="I1072">
        <v>971.99</v>
      </c>
      <c r="J1072">
        <v>7</v>
      </c>
      <c r="K1072" s="14" t="s">
        <v>25</v>
      </c>
      <c r="L1072" s="14">
        <f>IF(OR(Table1[[#This Row],[Order_Status]]="Delivered",Table1[[#This Row],[Delivery_Date]]&lt;&gt;"Not Yet Delivered"),Table1[[#This Row],[Delivery_Date]]-Table1[[#This Row],[Order_Date]],"Not Applicable")</f>
        <v>17</v>
      </c>
      <c r="M1072" s="14">
        <f>Table1[[#This Row],[Unit_Cost]]-Table1[[#This Row],[Negotiated_Cost]]</f>
        <v>21.870000000000005</v>
      </c>
      <c r="N1072" s="18">
        <f>Table1[[#This Row],[Defective_Units]]/Table1[[#This Row],[Quantity]]</f>
        <v>1.5659955257270694E-2</v>
      </c>
      <c r="O1072" s="26">
        <f>(Table1[[#This Row],[Unit_Cost]]-Table1[[#This Row],[Negotiated_Cost]])/Table1[[#This Row],[Unit_Cost]]</f>
        <v>2.2005111383897134E-2</v>
      </c>
    </row>
    <row r="1073" spans="1:15" x14ac:dyDescent="0.25">
      <c r="A1073" t="s">
        <v>1108</v>
      </c>
      <c r="B1073" t="s">
        <v>32</v>
      </c>
      <c r="C1073" s="14" t="s">
        <v>44</v>
      </c>
      <c r="D1073" s="1">
        <v>44976</v>
      </c>
      <c r="E1073" s="13">
        <v>44993</v>
      </c>
      <c r="F1073" s="14" t="s">
        <v>14</v>
      </c>
      <c r="G1073">
        <v>414</v>
      </c>
      <c r="H1073">
        <v>7986.53</v>
      </c>
      <c r="I1073">
        <v>7870.76</v>
      </c>
      <c r="J1073">
        <v>5</v>
      </c>
      <c r="K1073" s="14" t="s">
        <v>15</v>
      </c>
      <c r="L1073" s="14">
        <f>IF(OR(Table1[[#This Row],[Order_Status]]="Delivered",Table1[[#This Row],[Delivery_Date]]&lt;&gt;"Not Yet Delivered"),Table1[[#This Row],[Delivery_Date]]-Table1[[#This Row],[Order_Date]],"Not Applicable")</f>
        <v>17</v>
      </c>
      <c r="M1073" s="14">
        <f>Table1[[#This Row],[Unit_Cost]]-Table1[[#This Row],[Negotiated_Cost]]</f>
        <v>115.76999999999953</v>
      </c>
      <c r="N1073" s="18">
        <f>Table1[[#This Row],[Defective_Units]]/Table1[[#This Row],[Quantity]]</f>
        <v>1.2077294685990338E-2</v>
      </c>
      <c r="O1073" s="26">
        <f>(Table1[[#This Row],[Unit_Cost]]-Table1[[#This Row],[Negotiated_Cost]])/Table1[[#This Row],[Unit_Cost]]</f>
        <v>1.4495657062579059E-2</v>
      </c>
    </row>
    <row r="1074" spans="1:15" x14ac:dyDescent="0.25">
      <c r="A1074" t="s">
        <v>1109</v>
      </c>
      <c r="B1074" t="s">
        <v>20</v>
      </c>
      <c r="C1074" s="14" t="s">
        <v>18</v>
      </c>
      <c r="D1074" s="1">
        <v>45549</v>
      </c>
      <c r="E1074" s="13">
        <v>45556</v>
      </c>
      <c r="F1074" s="14" t="s">
        <v>37</v>
      </c>
      <c r="G1074">
        <v>424</v>
      </c>
      <c r="H1074">
        <v>4740.28</v>
      </c>
      <c r="I1074">
        <v>4574.74</v>
      </c>
      <c r="J1074">
        <v>11</v>
      </c>
      <c r="K1074" s="14" t="s">
        <v>15</v>
      </c>
      <c r="L1074" s="14">
        <f>IF(OR(Table1[[#This Row],[Order_Status]]="Delivered",Table1[[#This Row],[Delivery_Date]]&lt;&gt;"Not Yet Delivered"),Table1[[#This Row],[Delivery_Date]]-Table1[[#This Row],[Order_Date]],"Not Applicable")</f>
        <v>7</v>
      </c>
      <c r="M1074" s="14">
        <f>Table1[[#This Row],[Unit_Cost]]-Table1[[#This Row],[Negotiated_Cost]]</f>
        <v>165.53999999999996</v>
      </c>
      <c r="N1074" s="18">
        <f>Table1[[#This Row],[Defective_Units]]/Table1[[#This Row],[Quantity]]</f>
        <v>2.5943396226415096E-2</v>
      </c>
      <c r="O1074" s="26">
        <f>(Table1[[#This Row],[Unit_Cost]]-Table1[[#This Row],[Negotiated_Cost]])/Table1[[#This Row],[Unit_Cost]]</f>
        <v>3.4921987730682572E-2</v>
      </c>
    </row>
    <row r="1075" spans="1:15" x14ac:dyDescent="0.25">
      <c r="A1075" t="s">
        <v>1110</v>
      </c>
      <c r="B1075" t="s">
        <v>12</v>
      </c>
      <c r="C1075" s="14" t="s">
        <v>30</v>
      </c>
      <c r="D1075" s="1">
        <v>45494</v>
      </c>
      <c r="E1075" s="13">
        <v>45508</v>
      </c>
      <c r="F1075" s="14" t="s">
        <v>14</v>
      </c>
      <c r="G1075">
        <v>46</v>
      </c>
      <c r="H1075">
        <v>959.34</v>
      </c>
      <c r="I1075">
        <v>947.55</v>
      </c>
      <c r="J1075">
        <v>0</v>
      </c>
      <c r="K1075" s="14" t="s">
        <v>25</v>
      </c>
      <c r="L1075" s="14">
        <f>IF(OR(Table1[[#This Row],[Order_Status]]="Delivered",Table1[[#This Row],[Delivery_Date]]&lt;&gt;"Not Yet Delivered"),Table1[[#This Row],[Delivery_Date]]-Table1[[#This Row],[Order_Date]],"Not Applicable")</f>
        <v>14</v>
      </c>
      <c r="M1075" s="14">
        <f>Table1[[#This Row],[Unit_Cost]]-Table1[[#This Row],[Negotiated_Cost]]</f>
        <v>11.790000000000077</v>
      </c>
      <c r="N1075" s="18">
        <f>Table1[[#This Row],[Defective_Units]]/Table1[[#This Row],[Quantity]]</f>
        <v>0</v>
      </c>
      <c r="O1075" s="26">
        <f>(Table1[[#This Row],[Unit_Cost]]-Table1[[#This Row],[Negotiated_Cost]])/Table1[[#This Row],[Unit_Cost]]</f>
        <v>1.2289699168178203E-2</v>
      </c>
    </row>
    <row r="1076" spans="1:15" x14ac:dyDescent="0.25">
      <c r="A1076" t="s">
        <v>1111</v>
      </c>
      <c r="B1076" t="s">
        <v>46</v>
      </c>
      <c r="C1076" s="14" t="s">
        <v>48</v>
      </c>
      <c r="D1076" s="1">
        <v>45435</v>
      </c>
      <c r="E1076" s="13">
        <v>45440</v>
      </c>
      <c r="F1076" s="14" t="s">
        <v>14</v>
      </c>
      <c r="G1076">
        <v>330</v>
      </c>
      <c r="H1076">
        <v>6667.75</v>
      </c>
      <c r="I1076">
        <v>6645.12</v>
      </c>
      <c r="J1076">
        <v>4</v>
      </c>
      <c r="K1076" s="14" t="s">
        <v>15</v>
      </c>
      <c r="L1076" s="14">
        <f>IF(OR(Table1[[#This Row],[Order_Status]]="Delivered",Table1[[#This Row],[Delivery_Date]]&lt;&gt;"Not Yet Delivered"),Table1[[#This Row],[Delivery_Date]]-Table1[[#This Row],[Order_Date]],"Not Applicable")</f>
        <v>5</v>
      </c>
      <c r="M1076" s="14">
        <f>Table1[[#This Row],[Unit_Cost]]-Table1[[#This Row],[Negotiated_Cost]]</f>
        <v>22.630000000000109</v>
      </c>
      <c r="N1076" s="18">
        <f>Table1[[#This Row],[Defective_Units]]/Table1[[#This Row],[Quantity]]</f>
        <v>1.2121212121212121E-2</v>
      </c>
      <c r="O1076" s="26">
        <f>(Table1[[#This Row],[Unit_Cost]]-Table1[[#This Row],[Negotiated_Cost]])/Table1[[#This Row],[Unit_Cost]]</f>
        <v>3.3939484833714686E-3</v>
      </c>
    </row>
    <row r="1077" spans="1:15" x14ac:dyDescent="0.25">
      <c r="A1077" t="s">
        <v>1112</v>
      </c>
      <c r="B1077" t="s">
        <v>46</v>
      </c>
      <c r="C1077" s="14" t="s">
        <v>18</v>
      </c>
      <c r="D1077" s="1">
        <v>45628</v>
      </c>
      <c r="E1077" s="13">
        <v>45651</v>
      </c>
      <c r="F1077" s="14" t="s">
        <v>14</v>
      </c>
      <c r="G1077">
        <v>100</v>
      </c>
      <c r="H1077">
        <v>5312.08</v>
      </c>
      <c r="I1077">
        <v>5150.66</v>
      </c>
      <c r="J1077">
        <v>0</v>
      </c>
      <c r="K1077" s="14" t="s">
        <v>15</v>
      </c>
      <c r="L1077" s="14">
        <f>IF(OR(Table1[[#This Row],[Order_Status]]="Delivered",Table1[[#This Row],[Delivery_Date]]&lt;&gt;"Not Yet Delivered"),Table1[[#This Row],[Delivery_Date]]-Table1[[#This Row],[Order_Date]],"Not Applicable")</f>
        <v>23</v>
      </c>
      <c r="M1077" s="14">
        <f>Table1[[#This Row],[Unit_Cost]]-Table1[[#This Row],[Negotiated_Cost]]</f>
        <v>161.42000000000007</v>
      </c>
      <c r="N1077" s="18">
        <f>Table1[[#This Row],[Defective_Units]]/Table1[[#This Row],[Quantity]]</f>
        <v>0</v>
      </c>
      <c r="O1077" s="26">
        <f>(Table1[[#This Row],[Unit_Cost]]-Table1[[#This Row],[Negotiated_Cost]])/Table1[[#This Row],[Unit_Cost]]</f>
        <v>3.0387343564102963E-2</v>
      </c>
    </row>
    <row r="1078" spans="1:15" x14ac:dyDescent="0.25">
      <c r="A1078" t="s">
        <v>1113</v>
      </c>
      <c r="B1078" t="s">
        <v>20</v>
      </c>
      <c r="C1078" s="14" t="s">
        <v>42</v>
      </c>
      <c r="D1078" s="1">
        <v>45106</v>
      </c>
      <c r="E1078" s="14" t="s">
        <v>2057</v>
      </c>
      <c r="F1078" s="14" t="s">
        <v>22</v>
      </c>
      <c r="G1078">
        <v>412</v>
      </c>
      <c r="H1078">
        <v>10966.95</v>
      </c>
      <c r="I1078">
        <v>10838.65</v>
      </c>
      <c r="J1078">
        <v>2</v>
      </c>
      <c r="K1078" s="14" t="s">
        <v>15</v>
      </c>
      <c r="L1078" s="14" t="str">
        <f>IF(OR(Table1[[#This Row],[Order_Status]]="Delivered",Table1[[#This Row],[Delivery_Date]]&lt;&gt;"Not Yet Delivered"),Table1[[#This Row],[Delivery_Date]]-Table1[[#This Row],[Order_Date]],"Not Applicable")</f>
        <v>Not Applicable</v>
      </c>
      <c r="M1078" s="14">
        <f>Table1[[#This Row],[Unit_Cost]]-Table1[[#This Row],[Negotiated_Cost]]</f>
        <v>128.30000000000109</v>
      </c>
      <c r="N1078" s="18">
        <f>Table1[[#This Row],[Defective_Units]]/Table1[[#This Row],[Quantity]]</f>
        <v>4.8543689320388345E-3</v>
      </c>
      <c r="O1078" s="26">
        <f>(Table1[[#This Row],[Unit_Cost]]-Table1[[#This Row],[Negotiated_Cost]])/Table1[[#This Row],[Unit_Cost]]</f>
        <v>1.1698785897628884E-2</v>
      </c>
    </row>
    <row r="1079" spans="1:15" x14ac:dyDescent="0.25">
      <c r="A1079" t="s">
        <v>1114</v>
      </c>
      <c r="B1079" t="s">
        <v>27</v>
      </c>
      <c r="C1079" s="14" t="s">
        <v>30</v>
      </c>
      <c r="D1079" s="1">
        <v>45017</v>
      </c>
      <c r="E1079" s="13">
        <v>45021</v>
      </c>
      <c r="F1079" s="14" t="s">
        <v>14</v>
      </c>
      <c r="G1079">
        <v>346</v>
      </c>
      <c r="H1079">
        <v>917.88</v>
      </c>
      <c r="I1079">
        <v>917.28</v>
      </c>
      <c r="J1079">
        <v>8</v>
      </c>
      <c r="K1079" s="14" t="s">
        <v>15</v>
      </c>
      <c r="L1079" s="14">
        <f>IF(OR(Table1[[#This Row],[Order_Status]]="Delivered",Table1[[#This Row],[Delivery_Date]]&lt;&gt;"Not Yet Delivered"),Table1[[#This Row],[Delivery_Date]]-Table1[[#This Row],[Order_Date]],"Not Applicable")</f>
        <v>4</v>
      </c>
      <c r="M1079" s="14">
        <f>Table1[[#This Row],[Unit_Cost]]-Table1[[#This Row],[Negotiated_Cost]]</f>
        <v>0.60000000000002274</v>
      </c>
      <c r="N1079" s="18">
        <f>Table1[[#This Row],[Defective_Units]]/Table1[[#This Row],[Quantity]]</f>
        <v>2.3121387283236993E-2</v>
      </c>
      <c r="O1079" s="26">
        <f>(Table1[[#This Row],[Unit_Cost]]-Table1[[#This Row],[Negotiated_Cost]])/Table1[[#This Row],[Unit_Cost]]</f>
        <v>6.5368021963657858E-4</v>
      </c>
    </row>
    <row r="1080" spans="1:15" x14ac:dyDescent="0.25">
      <c r="A1080" t="s">
        <v>1115</v>
      </c>
      <c r="B1080" t="s">
        <v>35</v>
      </c>
      <c r="C1080" s="14" t="s">
        <v>55</v>
      </c>
      <c r="D1080" s="1">
        <v>45133</v>
      </c>
      <c r="E1080" s="13">
        <v>45161</v>
      </c>
      <c r="F1080" s="14" t="s">
        <v>14</v>
      </c>
      <c r="G1080">
        <v>115</v>
      </c>
      <c r="H1080">
        <v>14286.17</v>
      </c>
      <c r="I1080">
        <v>14205.93</v>
      </c>
      <c r="J1080">
        <v>0</v>
      </c>
      <c r="K1080" s="14" t="s">
        <v>15</v>
      </c>
      <c r="L1080" s="14">
        <f>IF(OR(Table1[[#This Row],[Order_Status]]="Delivered",Table1[[#This Row],[Delivery_Date]]&lt;&gt;"Not Yet Delivered"),Table1[[#This Row],[Delivery_Date]]-Table1[[#This Row],[Order_Date]],"Not Applicable")</f>
        <v>28</v>
      </c>
      <c r="M1080" s="14">
        <f>Table1[[#This Row],[Unit_Cost]]-Table1[[#This Row],[Negotiated_Cost]]</f>
        <v>80.239999999999782</v>
      </c>
      <c r="N1080" s="18">
        <f>Table1[[#This Row],[Defective_Units]]/Table1[[#This Row],[Quantity]]</f>
        <v>0</v>
      </c>
      <c r="O1080" s="26">
        <f>(Table1[[#This Row],[Unit_Cost]]-Table1[[#This Row],[Negotiated_Cost]])/Table1[[#This Row],[Unit_Cost]]</f>
        <v>5.6166208297955145E-3</v>
      </c>
    </row>
    <row r="1081" spans="1:15" x14ac:dyDescent="0.25">
      <c r="A1081" t="s">
        <v>1116</v>
      </c>
      <c r="B1081" t="s">
        <v>32</v>
      </c>
      <c r="C1081" s="14" t="s">
        <v>36</v>
      </c>
      <c r="D1081" s="1">
        <v>44996</v>
      </c>
      <c r="E1081" s="14" t="s">
        <v>2057</v>
      </c>
      <c r="F1081" s="14" t="s">
        <v>33</v>
      </c>
      <c r="G1081">
        <v>114</v>
      </c>
      <c r="H1081">
        <v>496.52</v>
      </c>
      <c r="I1081">
        <v>487.4</v>
      </c>
      <c r="J1081">
        <v>2</v>
      </c>
      <c r="K1081" s="14" t="s">
        <v>15</v>
      </c>
      <c r="L1081" s="14" t="str">
        <f>IF(OR(Table1[[#This Row],[Order_Status]]="Delivered",Table1[[#This Row],[Delivery_Date]]&lt;&gt;"Not Yet Delivered"),Table1[[#This Row],[Delivery_Date]]-Table1[[#This Row],[Order_Date]],"Not Applicable")</f>
        <v>Not Applicable</v>
      </c>
      <c r="M1081" s="14">
        <f>Table1[[#This Row],[Unit_Cost]]-Table1[[#This Row],[Negotiated_Cost]]</f>
        <v>9.1200000000000045</v>
      </c>
      <c r="N1081" s="18">
        <f>Table1[[#This Row],[Defective_Units]]/Table1[[#This Row],[Quantity]]</f>
        <v>1.7543859649122806E-2</v>
      </c>
      <c r="O1081" s="26">
        <f>(Table1[[#This Row],[Unit_Cost]]-Table1[[#This Row],[Negotiated_Cost]])/Table1[[#This Row],[Unit_Cost]]</f>
        <v>1.836784016756627E-2</v>
      </c>
    </row>
    <row r="1082" spans="1:15" x14ac:dyDescent="0.25">
      <c r="A1082" t="s">
        <v>1117</v>
      </c>
      <c r="B1082" t="s">
        <v>35</v>
      </c>
      <c r="C1082" s="14" t="s">
        <v>44</v>
      </c>
      <c r="D1082" s="1">
        <v>45097</v>
      </c>
      <c r="E1082" s="13">
        <v>45119</v>
      </c>
      <c r="F1082" s="14" t="s">
        <v>14</v>
      </c>
      <c r="G1082">
        <v>479</v>
      </c>
      <c r="H1082">
        <v>8757.4500000000007</v>
      </c>
      <c r="I1082">
        <v>8685.94</v>
      </c>
      <c r="J1082">
        <v>4</v>
      </c>
      <c r="K1082" s="14" t="s">
        <v>15</v>
      </c>
      <c r="L1082" s="14">
        <f>IF(OR(Table1[[#This Row],[Order_Status]]="Delivered",Table1[[#This Row],[Delivery_Date]]&lt;&gt;"Not Yet Delivered"),Table1[[#This Row],[Delivery_Date]]-Table1[[#This Row],[Order_Date]],"Not Applicable")</f>
        <v>22</v>
      </c>
      <c r="M1082" s="14">
        <f>Table1[[#This Row],[Unit_Cost]]-Table1[[#This Row],[Negotiated_Cost]]</f>
        <v>71.510000000000218</v>
      </c>
      <c r="N1082" s="18">
        <f>Table1[[#This Row],[Defective_Units]]/Table1[[#This Row],[Quantity]]</f>
        <v>8.350730688935281E-3</v>
      </c>
      <c r="O1082" s="26">
        <f>(Table1[[#This Row],[Unit_Cost]]-Table1[[#This Row],[Negotiated_Cost]])/Table1[[#This Row],[Unit_Cost]]</f>
        <v>8.1656189872622974E-3</v>
      </c>
    </row>
    <row r="1083" spans="1:15" x14ac:dyDescent="0.25">
      <c r="A1083" t="s">
        <v>1118</v>
      </c>
      <c r="B1083" t="s">
        <v>20</v>
      </c>
      <c r="C1083" s="14" t="s">
        <v>13</v>
      </c>
      <c r="D1083" s="1">
        <v>45082</v>
      </c>
      <c r="E1083" s="13">
        <v>45095</v>
      </c>
      <c r="F1083" s="14" t="s">
        <v>14</v>
      </c>
      <c r="G1083">
        <v>57</v>
      </c>
      <c r="H1083">
        <v>4171.3999999999996</v>
      </c>
      <c r="I1083">
        <v>4130.22</v>
      </c>
      <c r="J1083">
        <v>0</v>
      </c>
      <c r="K1083" s="14" t="s">
        <v>15</v>
      </c>
      <c r="L1083" s="14">
        <f>IF(OR(Table1[[#This Row],[Order_Status]]="Delivered",Table1[[#This Row],[Delivery_Date]]&lt;&gt;"Not Yet Delivered"),Table1[[#This Row],[Delivery_Date]]-Table1[[#This Row],[Order_Date]],"Not Applicable")</f>
        <v>13</v>
      </c>
      <c r="M1083" s="14">
        <f>Table1[[#This Row],[Unit_Cost]]-Table1[[#This Row],[Negotiated_Cost]]</f>
        <v>41.179999999999382</v>
      </c>
      <c r="N1083" s="18">
        <f>Table1[[#This Row],[Defective_Units]]/Table1[[#This Row],[Quantity]]</f>
        <v>0</v>
      </c>
      <c r="O1083" s="26">
        <f>(Table1[[#This Row],[Unit_Cost]]-Table1[[#This Row],[Negotiated_Cost]])/Table1[[#This Row],[Unit_Cost]]</f>
        <v>9.8719854245575556E-3</v>
      </c>
    </row>
    <row r="1084" spans="1:15" x14ac:dyDescent="0.25">
      <c r="A1084" t="s">
        <v>1119</v>
      </c>
      <c r="B1084" t="s">
        <v>32</v>
      </c>
      <c r="C1084" s="14" t="s">
        <v>48</v>
      </c>
      <c r="D1084" s="1">
        <v>45590</v>
      </c>
      <c r="E1084" s="13">
        <v>45606</v>
      </c>
      <c r="F1084" s="14" t="s">
        <v>37</v>
      </c>
      <c r="G1084">
        <v>28</v>
      </c>
      <c r="H1084">
        <v>5825.61</v>
      </c>
      <c r="I1084">
        <v>5652.65</v>
      </c>
      <c r="J1084">
        <v>0</v>
      </c>
      <c r="K1084" s="14" t="s">
        <v>15</v>
      </c>
      <c r="L1084" s="14">
        <f>IF(OR(Table1[[#This Row],[Order_Status]]="Delivered",Table1[[#This Row],[Delivery_Date]]&lt;&gt;"Not Yet Delivered"),Table1[[#This Row],[Delivery_Date]]-Table1[[#This Row],[Order_Date]],"Not Applicable")</f>
        <v>16</v>
      </c>
      <c r="M1084" s="14">
        <f>Table1[[#This Row],[Unit_Cost]]-Table1[[#This Row],[Negotiated_Cost]]</f>
        <v>172.96000000000004</v>
      </c>
      <c r="N1084" s="18">
        <f>Table1[[#This Row],[Defective_Units]]/Table1[[#This Row],[Quantity]]</f>
        <v>0</v>
      </c>
      <c r="O1084" s="26">
        <f>(Table1[[#This Row],[Unit_Cost]]-Table1[[#This Row],[Negotiated_Cost]])/Table1[[#This Row],[Unit_Cost]]</f>
        <v>2.9689594737718462E-2</v>
      </c>
    </row>
    <row r="1085" spans="1:15" x14ac:dyDescent="0.25">
      <c r="A1085" t="s">
        <v>1120</v>
      </c>
      <c r="B1085" t="s">
        <v>35</v>
      </c>
      <c r="C1085" s="14" t="s">
        <v>13</v>
      </c>
      <c r="D1085" s="1">
        <v>44968</v>
      </c>
      <c r="E1085" s="13">
        <v>44984</v>
      </c>
      <c r="F1085" s="14" t="s">
        <v>14</v>
      </c>
      <c r="G1085">
        <v>371</v>
      </c>
      <c r="H1085">
        <v>3988.25</v>
      </c>
      <c r="I1085">
        <v>3935.12</v>
      </c>
      <c r="J1085">
        <v>5</v>
      </c>
      <c r="K1085" s="14" t="s">
        <v>15</v>
      </c>
      <c r="L1085" s="14">
        <f>IF(OR(Table1[[#This Row],[Order_Status]]="Delivered",Table1[[#This Row],[Delivery_Date]]&lt;&gt;"Not Yet Delivered"),Table1[[#This Row],[Delivery_Date]]-Table1[[#This Row],[Order_Date]],"Not Applicable")</f>
        <v>16</v>
      </c>
      <c r="M1085" s="14">
        <f>Table1[[#This Row],[Unit_Cost]]-Table1[[#This Row],[Negotiated_Cost]]</f>
        <v>53.130000000000109</v>
      </c>
      <c r="N1085" s="18">
        <f>Table1[[#This Row],[Defective_Units]]/Table1[[#This Row],[Quantity]]</f>
        <v>1.3477088948787063E-2</v>
      </c>
      <c r="O1085" s="26">
        <f>(Table1[[#This Row],[Unit_Cost]]-Table1[[#This Row],[Negotiated_Cost]])/Table1[[#This Row],[Unit_Cost]]</f>
        <v>1.3321632294866197E-2</v>
      </c>
    </row>
    <row r="1086" spans="1:15" x14ac:dyDescent="0.25">
      <c r="A1086" t="s">
        <v>1121</v>
      </c>
      <c r="B1086" t="s">
        <v>40</v>
      </c>
      <c r="C1086" s="14" t="s">
        <v>30</v>
      </c>
      <c r="D1086" s="1">
        <v>44975</v>
      </c>
      <c r="E1086" s="13">
        <v>44977</v>
      </c>
      <c r="F1086" s="14" t="s">
        <v>14</v>
      </c>
      <c r="G1086">
        <v>119</v>
      </c>
      <c r="H1086">
        <v>948.75</v>
      </c>
      <c r="I1086">
        <v>924.73</v>
      </c>
      <c r="J1086">
        <v>1</v>
      </c>
      <c r="K1086" s="14" t="s">
        <v>15</v>
      </c>
      <c r="L1086" s="14">
        <f>IF(OR(Table1[[#This Row],[Order_Status]]="Delivered",Table1[[#This Row],[Delivery_Date]]&lt;&gt;"Not Yet Delivered"),Table1[[#This Row],[Delivery_Date]]-Table1[[#This Row],[Order_Date]],"Not Applicable")</f>
        <v>2</v>
      </c>
      <c r="M1086" s="14">
        <f>Table1[[#This Row],[Unit_Cost]]-Table1[[#This Row],[Negotiated_Cost]]</f>
        <v>24.019999999999982</v>
      </c>
      <c r="N1086" s="18">
        <f>Table1[[#This Row],[Defective_Units]]/Table1[[#This Row],[Quantity]]</f>
        <v>8.4033613445378148E-3</v>
      </c>
      <c r="O1086" s="26">
        <f>(Table1[[#This Row],[Unit_Cost]]-Table1[[#This Row],[Negotiated_Cost]])/Table1[[#This Row],[Unit_Cost]]</f>
        <v>2.5317523056653472E-2</v>
      </c>
    </row>
    <row r="1087" spans="1:15" x14ac:dyDescent="0.25">
      <c r="A1087" t="s">
        <v>1122</v>
      </c>
      <c r="B1087" t="s">
        <v>27</v>
      </c>
      <c r="C1087" s="14" t="s">
        <v>44</v>
      </c>
      <c r="D1087" s="1">
        <v>45139</v>
      </c>
      <c r="E1087" s="13">
        <v>45165</v>
      </c>
      <c r="F1087" s="14" t="s">
        <v>37</v>
      </c>
      <c r="G1087">
        <v>185</v>
      </c>
      <c r="H1087">
        <v>8753.27</v>
      </c>
      <c r="I1087">
        <v>8606.0499999999993</v>
      </c>
      <c r="J1087">
        <v>0</v>
      </c>
      <c r="K1087" s="14" t="s">
        <v>15</v>
      </c>
      <c r="L1087" s="14">
        <f>IF(OR(Table1[[#This Row],[Order_Status]]="Delivered",Table1[[#This Row],[Delivery_Date]]&lt;&gt;"Not Yet Delivered"),Table1[[#This Row],[Delivery_Date]]-Table1[[#This Row],[Order_Date]],"Not Applicable")</f>
        <v>26</v>
      </c>
      <c r="M1087" s="14">
        <f>Table1[[#This Row],[Unit_Cost]]-Table1[[#This Row],[Negotiated_Cost]]</f>
        <v>147.22000000000116</v>
      </c>
      <c r="N1087" s="18">
        <f>Table1[[#This Row],[Defective_Units]]/Table1[[#This Row],[Quantity]]</f>
        <v>0</v>
      </c>
      <c r="O1087" s="26">
        <f>(Table1[[#This Row],[Unit_Cost]]-Table1[[#This Row],[Negotiated_Cost]])/Table1[[#This Row],[Unit_Cost]]</f>
        <v>1.6818857409859535E-2</v>
      </c>
    </row>
    <row r="1088" spans="1:15" x14ac:dyDescent="0.25">
      <c r="A1088" t="s">
        <v>1123</v>
      </c>
      <c r="B1088" t="s">
        <v>12</v>
      </c>
      <c r="C1088" s="14" t="s">
        <v>50</v>
      </c>
      <c r="D1088" s="1">
        <v>45014</v>
      </c>
      <c r="E1088" s="14" t="s">
        <v>2057</v>
      </c>
      <c r="F1088" s="14" t="s">
        <v>33</v>
      </c>
      <c r="G1088">
        <v>155</v>
      </c>
      <c r="H1088">
        <v>51471.88</v>
      </c>
      <c r="I1088">
        <v>50505.01</v>
      </c>
      <c r="J1088">
        <v>2</v>
      </c>
      <c r="K1088" s="14" t="s">
        <v>15</v>
      </c>
      <c r="L1088" s="14" t="str">
        <f>IF(OR(Table1[[#This Row],[Order_Status]]="Delivered",Table1[[#This Row],[Delivery_Date]]&lt;&gt;"Not Yet Delivered"),Table1[[#This Row],[Delivery_Date]]-Table1[[#This Row],[Order_Date]],"Not Applicable")</f>
        <v>Not Applicable</v>
      </c>
      <c r="M1088" s="14">
        <f>Table1[[#This Row],[Unit_Cost]]-Table1[[#This Row],[Negotiated_Cost]]</f>
        <v>966.86999999999534</v>
      </c>
      <c r="N1088" s="18">
        <f>Table1[[#This Row],[Defective_Units]]/Table1[[#This Row],[Quantity]]</f>
        <v>1.2903225806451613E-2</v>
      </c>
      <c r="O1088" s="26">
        <f>(Table1[[#This Row],[Unit_Cost]]-Table1[[#This Row],[Negotiated_Cost]])/Table1[[#This Row],[Unit_Cost]]</f>
        <v>1.878443142158389E-2</v>
      </c>
    </row>
    <row r="1089" spans="1:15" x14ac:dyDescent="0.25">
      <c r="A1089" t="s">
        <v>1124</v>
      </c>
      <c r="B1089" t="s">
        <v>20</v>
      </c>
      <c r="C1089" s="14" t="s">
        <v>44</v>
      </c>
      <c r="D1089" s="1">
        <v>45396</v>
      </c>
      <c r="E1089" s="13">
        <v>45418</v>
      </c>
      <c r="F1089" s="14" t="s">
        <v>14</v>
      </c>
      <c r="G1089">
        <v>354</v>
      </c>
      <c r="H1089">
        <v>7897.84</v>
      </c>
      <c r="I1089">
        <v>7677.4</v>
      </c>
      <c r="J1089">
        <v>1</v>
      </c>
      <c r="K1089" s="14" t="s">
        <v>15</v>
      </c>
      <c r="L1089" s="14">
        <f>IF(OR(Table1[[#This Row],[Order_Status]]="Delivered",Table1[[#This Row],[Delivery_Date]]&lt;&gt;"Not Yet Delivered"),Table1[[#This Row],[Delivery_Date]]-Table1[[#This Row],[Order_Date]],"Not Applicable")</f>
        <v>22</v>
      </c>
      <c r="M1089" s="14">
        <f>Table1[[#This Row],[Unit_Cost]]-Table1[[#This Row],[Negotiated_Cost]]</f>
        <v>220.44000000000051</v>
      </c>
      <c r="N1089" s="18">
        <f>Table1[[#This Row],[Defective_Units]]/Table1[[#This Row],[Quantity]]</f>
        <v>2.8248587570621469E-3</v>
      </c>
      <c r="O1089" s="26">
        <f>(Table1[[#This Row],[Unit_Cost]]-Table1[[#This Row],[Negotiated_Cost]])/Table1[[#This Row],[Unit_Cost]]</f>
        <v>2.7911428947661705E-2</v>
      </c>
    </row>
    <row r="1090" spans="1:15" x14ac:dyDescent="0.25">
      <c r="A1090" t="s">
        <v>1125</v>
      </c>
      <c r="B1090" t="s">
        <v>27</v>
      </c>
      <c r="C1090" s="14" t="s">
        <v>50</v>
      </c>
      <c r="D1090" s="1">
        <v>45573</v>
      </c>
      <c r="E1090" s="13">
        <v>45576</v>
      </c>
      <c r="F1090" s="14" t="s">
        <v>14</v>
      </c>
      <c r="G1090">
        <v>33</v>
      </c>
      <c r="H1090">
        <v>55564.1</v>
      </c>
      <c r="I1090">
        <v>54368.56</v>
      </c>
      <c r="J1090">
        <v>0</v>
      </c>
      <c r="K1090" s="14" t="s">
        <v>15</v>
      </c>
      <c r="L1090" s="14">
        <f>IF(OR(Table1[[#This Row],[Order_Status]]="Delivered",Table1[[#This Row],[Delivery_Date]]&lt;&gt;"Not Yet Delivered"),Table1[[#This Row],[Delivery_Date]]-Table1[[#This Row],[Order_Date]],"Not Applicable")</f>
        <v>3</v>
      </c>
      <c r="M1090" s="14">
        <f>Table1[[#This Row],[Unit_Cost]]-Table1[[#This Row],[Negotiated_Cost]]</f>
        <v>1195.5400000000009</v>
      </c>
      <c r="N1090" s="18">
        <f>Table1[[#This Row],[Defective_Units]]/Table1[[#This Row],[Quantity]]</f>
        <v>0</v>
      </c>
      <c r="O1090" s="26">
        <f>(Table1[[#This Row],[Unit_Cost]]-Table1[[#This Row],[Negotiated_Cost]])/Table1[[#This Row],[Unit_Cost]]</f>
        <v>2.1516410776022662E-2</v>
      </c>
    </row>
    <row r="1091" spans="1:15" x14ac:dyDescent="0.25">
      <c r="A1091" t="s">
        <v>1126</v>
      </c>
      <c r="B1091" t="s">
        <v>27</v>
      </c>
      <c r="C1091" s="14" t="s">
        <v>13</v>
      </c>
      <c r="D1091" s="1">
        <v>45470</v>
      </c>
      <c r="E1091" s="13">
        <v>45499</v>
      </c>
      <c r="F1091" s="14" t="s">
        <v>14</v>
      </c>
      <c r="G1091">
        <v>309</v>
      </c>
      <c r="H1091">
        <v>4532.91</v>
      </c>
      <c r="I1091">
        <v>4269.1899999999996</v>
      </c>
      <c r="J1091">
        <v>5</v>
      </c>
      <c r="K1091" s="14" t="s">
        <v>15</v>
      </c>
      <c r="L1091" s="14">
        <f>IF(OR(Table1[[#This Row],[Order_Status]]="Delivered",Table1[[#This Row],[Delivery_Date]]&lt;&gt;"Not Yet Delivered"),Table1[[#This Row],[Delivery_Date]]-Table1[[#This Row],[Order_Date]],"Not Applicable")</f>
        <v>29</v>
      </c>
      <c r="M1091" s="14">
        <f>Table1[[#This Row],[Unit_Cost]]-Table1[[#This Row],[Negotiated_Cost]]</f>
        <v>263.72000000000025</v>
      </c>
      <c r="N1091" s="18">
        <f>Table1[[#This Row],[Defective_Units]]/Table1[[#This Row],[Quantity]]</f>
        <v>1.6181229773462782E-2</v>
      </c>
      <c r="O1091" s="26">
        <f>(Table1[[#This Row],[Unit_Cost]]-Table1[[#This Row],[Negotiated_Cost]])/Table1[[#This Row],[Unit_Cost]]</f>
        <v>5.8178962300156026E-2</v>
      </c>
    </row>
    <row r="1092" spans="1:15" x14ac:dyDescent="0.25">
      <c r="A1092" t="s">
        <v>1127</v>
      </c>
      <c r="B1092" t="s">
        <v>12</v>
      </c>
      <c r="C1092" s="14" t="s">
        <v>28</v>
      </c>
      <c r="D1092" s="1">
        <v>45353</v>
      </c>
      <c r="E1092" s="13">
        <v>45370</v>
      </c>
      <c r="F1092" s="14" t="s">
        <v>14</v>
      </c>
      <c r="G1092">
        <v>61</v>
      </c>
      <c r="H1092">
        <v>51377.68</v>
      </c>
      <c r="I1092">
        <v>51376.13</v>
      </c>
      <c r="J1092">
        <v>0</v>
      </c>
      <c r="K1092" s="14" t="s">
        <v>15</v>
      </c>
      <c r="L1092" s="14">
        <f>IF(OR(Table1[[#This Row],[Order_Status]]="Delivered",Table1[[#This Row],[Delivery_Date]]&lt;&gt;"Not Yet Delivered"),Table1[[#This Row],[Delivery_Date]]-Table1[[#This Row],[Order_Date]],"Not Applicable")</f>
        <v>17</v>
      </c>
      <c r="M1092" s="14">
        <f>Table1[[#This Row],[Unit_Cost]]-Table1[[#This Row],[Negotiated_Cost]]</f>
        <v>1.5500000000029104</v>
      </c>
      <c r="N1092" s="18">
        <f>Table1[[#This Row],[Defective_Units]]/Table1[[#This Row],[Quantity]]</f>
        <v>0</v>
      </c>
      <c r="O1092" s="26">
        <f>(Table1[[#This Row],[Unit_Cost]]-Table1[[#This Row],[Negotiated_Cost]])/Table1[[#This Row],[Unit_Cost]]</f>
        <v>3.0168742535725831E-5</v>
      </c>
    </row>
    <row r="1093" spans="1:15" x14ac:dyDescent="0.25">
      <c r="A1093" t="s">
        <v>1128</v>
      </c>
      <c r="B1093" t="s">
        <v>27</v>
      </c>
      <c r="C1093" s="14" t="s">
        <v>55</v>
      </c>
      <c r="D1093" s="1">
        <v>45629</v>
      </c>
      <c r="E1093" s="13">
        <v>45643</v>
      </c>
      <c r="F1093" s="14" t="s">
        <v>14</v>
      </c>
      <c r="G1093">
        <v>338</v>
      </c>
      <c r="H1093">
        <v>14025.96</v>
      </c>
      <c r="I1093">
        <v>14002.54</v>
      </c>
      <c r="J1093">
        <v>8</v>
      </c>
      <c r="K1093" s="14" t="s">
        <v>15</v>
      </c>
      <c r="L1093" s="14">
        <f>IF(OR(Table1[[#This Row],[Order_Status]]="Delivered",Table1[[#This Row],[Delivery_Date]]&lt;&gt;"Not Yet Delivered"),Table1[[#This Row],[Delivery_Date]]-Table1[[#This Row],[Order_Date]],"Not Applicable")</f>
        <v>14</v>
      </c>
      <c r="M1093" s="14">
        <f>Table1[[#This Row],[Unit_Cost]]-Table1[[#This Row],[Negotiated_Cost]]</f>
        <v>23.419999999998254</v>
      </c>
      <c r="N1093" s="18">
        <f>Table1[[#This Row],[Defective_Units]]/Table1[[#This Row],[Quantity]]</f>
        <v>2.3668639053254437E-2</v>
      </c>
      <c r="O1093" s="26">
        <f>(Table1[[#This Row],[Unit_Cost]]-Table1[[#This Row],[Negotiated_Cost]])/Table1[[#This Row],[Unit_Cost]]</f>
        <v>1.669760929020064E-3</v>
      </c>
    </row>
    <row r="1094" spans="1:15" x14ac:dyDescent="0.25">
      <c r="A1094" t="s">
        <v>1129</v>
      </c>
      <c r="B1094" t="s">
        <v>20</v>
      </c>
      <c r="C1094" s="14" t="s">
        <v>30</v>
      </c>
      <c r="D1094" s="1">
        <v>45094</v>
      </c>
      <c r="E1094" s="13">
        <v>45123</v>
      </c>
      <c r="F1094" s="14" t="s">
        <v>14</v>
      </c>
      <c r="G1094">
        <v>218</v>
      </c>
      <c r="H1094">
        <v>827.34</v>
      </c>
      <c r="I1094">
        <v>787.08</v>
      </c>
      <c r="J1094">
        <v>5</v>
      </c>
      <c r="K1094" s="14" t="s">
        <v>15</v>
      </c>
      <c r="L1094" s="14">
        <f>IF(OR(Table1[[#This Row],[Order_Status]]="Delivered",Table1[[#This Row],[Delivery_Date]]&lt;&gt;"Not Yet Delivered"),Table1[[#This Row],[Delivery_Date]]-Table1[[#This Row],[Order_Date]],"Not Applicable")</f>
        <v>29</v>
      </c>
      <c r="M1094" s="14">
        <f>Table1[[#This Row],[Unit_Cost]]-Table1[[#This Row],[Negotiated_Cost]]</f>
        <v>40.259999999999991</v>
      </c>
      <c r="N1094" s="18">
        <f>Table1[[#This Row],[Defective_Units]]/Table1[[#This Row],[Quantity]]</f>
        <v>2.2935779816513763E-2</v>
      </c>
      <c r="O1094" s="26">
        <f>(Table1[[#This Row],[Unit_Cost]]-Table1[[#This Row],[Negotiated_Cost]])/Table1[[#This Row],[Unit_Cost]]</f>
        <v>4.8661976938139083E-2</v>
      </c>
    </row>
    <row r="1095" spans="1:15" x14ac:dyDescent="0.25">
      <c r="A1095" t="s">
        <v>1130</v>
      </c>
      <c r="B1095" t="s">
        <v>40</v>
      </c>
      <c r="C1095" s="14" t="s">
        <v>50</v>
      </c>
      <c r="D1095" s="1">
        <v>45424</v>
      </c>
      <c r="E1095" s="13">
        <v>45429</v>
      </c>
      <c r="F1095" s="14" t="s">
        <v>14</v>
      </c>
      <c r="G1095">
        <v>238</v>
      </c>
      <c r="H1095">
        <v>57250.34</v>
      </c>
      <c r="I1095">
        <v>55354.99</v>
      </c>
      <c r="J1095">
        <v>7</v>
      </c>
      <c r="K1095" s="14" t="s">
        <v>15</v>
      </c>
      <c r="L1095" s="14">
        <f>IF(OR(Table1[[#This Row],[Order_Status]]="Delivered",Table1[[#This Row],[Delivery_Date]]&lt;&gt;"Not Yet Delivered"),Table1[[#This Row],[Delivery_Date]]-Table1[[#This Row],[Order_Date]],"Not Applicable")</f>
        <v>5</v>
      </c>
      <c r="M1095" s="14">
        <f>Table1[[#This Row],[Unit_Cost]]-Table1[[#This Row],[Negotiated_Cost]]</f>
        <v>1895.3499999999985</v>
      </c>
      <c r="N1095" s="18">
        <f>Table1[[#This Row],[Defective_Units]]/Table1[[#This Row],[Quantity]]</f>
        <v>2.9411764705882353E-2</v>
      </c>
      <c r="O1095" s="26">
        <f>(Table1[[#This Row],[Unit_Cost]]-Table1[[#This Row],[Negotiated_Cost]])/Table1[[#This Row],[Unit_Cost]]</f>
        <v>3.3106353604188177E-2</v>
      </c>
    </row>
    <row r="1096" spans="1:15" x14ac:dyDescent="0.25">
      <c r="A1096" t="s">
        <v>1131</v>
      </c>
      <c r="B1096" t="s">
        <v>46</v>
      </c>
      <c r="C1096" s="14" t="s">
        <v>30</v>
      </c>
      <c r="D1096" s="1">
        <v>45435</v>
      </c>
      <c r="E1096" s="13">
        <v>45444</v>
      </c>
      <c r="F1096" s="14" t="s">
        <v>14</v>
      </c>
      <c r="G1096">
        <v>241</v>
      </c>
      <c r="H1096">
        <v>876.05</v>
      </c>
      <c r="I1096">
        <v>847.93</v>
      </c>
      <c r="J1096">
        <v>0</v>
      </c>
      <c r="K1096" s="14" t="s">
        <v>15</v>
      </c>
      <c r="L1096" s="14">
        <f>IF(OR(Table1[[#This Row],[Order_Status]]="Delivered",Table1[[#This Row],[Delivery_Date]]&lt;&gt;"Not Yet Delivered"),Table1[[#This Row],[Delivery_Date]]-Table1[[#This Row],[Order_Date]],"Not Applicable")</f>
        <v>9</v>
      </c>
      <c r="M1096" s="14">
        <f>Table1[[#This Row],[Unit_Cost]]-Table1[[#This Row],[Negotiated_Cost]]</f>
        <v>28.120000000000005</v>
      </c>
      <c r="N1096" s="18">
        <f>Table1[[#This Row],[Defective_Units]]/Table1[[#This Row],[Quantity]]</f>
        <v>0</v>
      </c>
      <c r="O1096" s="26">
        <f>(Table1[[#This Row],[Unit_Cost]]-Table1[[#This Row],[Negotiated_Cost]])/Table1[[#This Row],[Unit_Cost]]</f>
        <v>3.2098624507733584E-2</v>
      </c>
    </row>
    <row r="1097" spans="1:15" x14ac:dyDescent="0.25">
      <c r="A1097" t="s">
        <v>1132</v>
      </c>
      <c r="B1097" t="s">
        <v>35</v>
      </c>
      <c r="C1097" s="14" t="s">
        <v>36</v>
      </c>
      <c r="D1097" s="1">
        <v>45189</v>
      </c>
      <c r="E1097" s="13">
        <v>45216</v>
      </c>
      <c r="F1097" s="14" t="s">
        <v>14</v>
      </c>
      <c r="G1097">
        <v>55</v>
      </c>
      <c r="H1097">
        <v>522.14</v>
      </c>
      <c r="I1097">
        <v>502.52</v>
      </c>
      <c r="J1097">
        <v>0</v>
      </c>
      <c r="K1097" s="14" t="s">
        <v>15</v>
      </c>
      <c r="L1097" s="14">
        <f>IF(OR(Table1[[#This Row],[Order_Status]]="Delivered",Table1[[#This Row],[Delivery_Date]]&lt;&gt;"Not Yet Delivered"),Table1[[#This Row],[Delivery_Date]]-Table1[[#This Row],[Order_Date]],"Not Applicable")</f>
        <v>27</v>
      </c>
      <c r="M1097" s="14">
        <f>Table1[[#This Row],[Unit_Cost]]-Table1[[#This Row],[Negotiated_Cost]]</f>
        <v>19.620000000000005</v>
      </c>
      <c r="N1097" s="18">
        <f>Table1[[#This Row],[Defective_Units]]/Table1[[#This Row],[Quantity]]</f>
        <v>0</v>
      </c>
      <c r="O1097" s="26">
        <f>(Table1[[#This Row],[Unit_Cost]]-Table1[[#This Row],[Negotiated_Cost]])/Table1[[#This Row],[Unit_Cost]]</f>
        <v>3.757612900754588E-2</v>
      </c>
    </row>
    <row r="1098" spans="1:15" x14ac:dyDescent="0.25">
      <c r="A1098" t="s">
        <v>1133</v>
      </c>
      <c r="B1098" t="s">
        <v>32</v>
      </c>
      <c r="C1098" s="14" t="s">
        <v>24</v>
      </c>
      <c r="D1098" s="1">
        <v>45269</v>
      </c>
      <c r="E1098" s="13">
        <v>45286</v>
      </c>
      <c r="F1098" s="14" t="s">
        <v>14</v>
      </c>
      <c r="G1098">
        <v>371</v>
      </c>
      <c r="H1098">
        <v>10817.77</v>
      </c>
      <c r="I1098">
        <v>10289.64</v>
      </c>
      <c r="J1098">
        <v>4</v>
      </c>
      <c r="K1098" s="14" t="s">
        <v>15</v>
      </c>
      <c r="L1098" s="14">
        <f>IF(OR(Table1[[#This Row],[Order_Status]]="Delivered",Table1[[#This Row],[Delivery_Date]]&lt;&gt;"Not Yet Delivered"),Table1[[#This Row],[Delivery_Date]]-Table1[[#This Row],[Order_Date]],"Not Applicable")</f>
        <v>17</v>
      </c>
      <c r="M1098" s="14">
        <f>Table1[[#This Row],[Unit_Cost]]-Table1[[#This Row],[Negotiated_Cost]]</f>
        <v>528.13000000000102</v>
      </c>
      <c r="N1098" s="18">
        <f>Table1[[#This Row],[Defective_Units]]/Table1[[#This Row],[Quantity]]</f>
        <v>1.078167115902965E-2</v>
      </c>
      <c r="O1098" s="26">
        <f>(Table1[[#This Row],[Unit_Cost]]-Table1[[#This Row],[Negotiated_Cost]])/Table1[[#This Row],[Unit_Cost]]</f>
        <v>4.8820597960577916E-2</v>
      </c>
    </row>
    <row r="1099" spans="1:15" x14ac:dyDescent="0.25">
      <c r="A1099" t="s">
        <v>1134</v>
      </c>
      <c r="B1099" t="s">
        <v>12</v>
      </c>
      <c r="C1099" s="14" t="s">
        <v>55</v>
      </c>
      <c r="D1099" s="1">
        <v>45379</v>
      </c>
      <c r="E1099" s="13">
        <v>45387</v>
      </c>
      <c r="F1099" s="14" t="s">
        <v>14</v>
      </c>
      <c r="G1099">
        <v>437</v>
      </c>
      <c r="H1099">
        <v>15216.45</v>
      </c>
      <c r="I1099">
        <v>14693.94</v>
      </c>
      <c r="J1099">
        <v>3</v>
      </c>
      <c r="K1099" s="14" t="s">
        <v>25</v>
      </c>
      <c r="L1099" s="14">
        <f>IF(OR(Table1[[#This Row],[Order_Status]]="Delivered",Table1[[#This Row],[Delivery_Date]]&lt;&gt;"Not Yet Delivered"),Table1[[#This Row],[Delivery_Date]]-Table1[[#This Row],[Order_Date]],"Not Applicable")</f>
        <v>8</v>
      </c>
      <c r="M1099" s="14">
        <f>Table1[[#This Row],[Unit_Cost]]-Table1[[#This Row],[Negotiated_Cost]]</f>
        <v>522.51000000000022</v>
      </c>
      <c r="N1099" s="18">
        <f>Table1[[#This Row],[Defective_Units]]/Table1[[#This Row],[Quantity]]</f>
        <v>6.8649885583524023E-3</v>
      </c>
      <c r="O1099" s="26">
        <f>(Table1[[#This Row],[Unit_Cost]]-Table1[[#This Row],[Negotiated_Cost]])/Table1[[#This Row],[Unit_Cost]]</f>
        <v>3.433849550979369E-2</v>
      </c>
    </row>
    <row r="1100" spans="1:15" x14ac:dyDescent="0.25">
      <c r="A1100" t="s">
        <v>1135</v>
      </c>
      <c r="B1100" t="s">
        <v>20</v>
      </c>
      <c r="C1100" s="14" t="s">
        <v>21</v>
      </c>
      <c r="D1100" s="1">
        <v>45091</v>
      </c>
      <c r="E1100" s="13">
        <v>45110</v>
      </c>
      <c r="F1100" s="14" t="s">
        <v>14</v>
      </c>
      <c r="G1100">
        <v>370</v>
      </c>
      <c r="H1100">
        <v>114.7</v>
      </c>
      <c r="I1100">
        <v>108.43</v>
      </c>
      <c r="J1100">
        <v>2</v>
      </c>
      <c r="K1100" s="14" t="s">
        <v>25</v>
      </c>
      <c r="L1100" s="14">
        <f>IF(OR(Table1[[#This Row],[Order_Status]]="Delivered",Table1[[#This Row],[Delivery_Date]]&lt;&gt;"Not Yet Delivered"),Table1[[#This Row],[Delivery_Date]]-Table1[[#This Row],[Order_Date]],"Not Applicable")</f>
        <v>19</v>
      </c>
      <c r="M1100" s="14">
        <f>Table1[[#This Row],[Unit_Cost]]-Table1[[#This Row],[Negotiated_Cost]]</f>
        <v>6.269999999999996</v>
      </c>
      <c r="N1100" s="18">
        <f>Table1[[#This Row],[Defective_Units]]/Table1[[#This Row],[Quantity]]</f>
        <v>5.4054054054054057E-3</v>
      </c>
      <c r="O1100" s="26">
        <f>(Table1[[#This Row],[Unit_Cost]]-Table1[[#This Row],[Negotiated_Cost]])/Table1[[#This Row],[Unit_Cost]]</f>
        <v>5.4664341761115919E-2</v>
      </c>
    </row>
    <row r="1101" spans="1:15" x14ac:dyDescent="0.25">
      <c r="A1101" t="s">
        <v>1136</v>
      </c>
      <c r="B1101" t="s">
        <v>40</v>
      </c>
      <c r="C1101" s="14" t="s">
        <v>28</v>
      </c>
      <c r="D1101" s="1">
        <v>45647</v>
      </c>
      <c r="E1101" s="13">
        <v>45677</v>
      </c>
      <c r="F1101" s="14" t="s">
        <v>37</v>
      </c>
      <c r="G1101">
        <v>213</v>
      </c>
      <c r="H1101">
        <v>50090.34</v>
      </c>
      <c r="I1101">
        <v>47815.14</v>
      </c>
      <c r="J1101">
        <v>2</v>
      </c>
      <c r="K1101" s="14" t="s">
        <v>15</v>
      </c>
      <c r="L1101" s="14">
        <f>IF(OR(Table1[[#This Row],[Order_Status]]="Delivered",Table1[[#This Row],[Delivery_Date]]&lt;&gt;"Not Yet Delivered"),Table1[[#This Row],[Delivery_Date]]-Table1[[#This Row],[Order_Date]],"Not Applicable")</f>
        <v>30</v>
      </c>
      <c r="M1101" s="14">
        <f>Table1[[#This Row],[Unit_Cost]]-Table1[[#This Row],[Negotiated_Cost]]</f>
        <v>2275.1999999999971</v>
      </c>
      <c r="N1101" s="18">
        <f>Table1[[#This Row],[Defective_Units]]/Table1[[#This Row],[Quantity]]</f>
        <v>9.3896713615023476E-3</v>
      </c>
      <c r="O1101" s="26">
        <f>(Table1[[#This Row],[Unit_Cost]]-Table1[[#This Row],[Negotiated_Cost]])/Table1[[#This Row],[Unit_Cost]]</f>
        <v>4.54219316538877E-2</v>
      </c>
    </row>
    <row r="1102" spans="1:15" x14ac:dyDescent="0.25">
      <c r="A1102" t="s">
        <v>1137</v>
      </c>
      <c r="B1102" t="s">
        <v>40</v>
      </c>
      <c r="C1102" s="14" t="s">
        <v>21</v>
      </c>
      <c r="D1102" s="1">
        <v>45285</v>
      </c>
      <c r="E1102" s="13">
        <v>45314</v>
      </c>
      <c r="F1102" s="14" t="s">
        <v>14</v>
      </c>
      <c r="G1102">
        <v>452</v>
      </c>
      <c r="H1102">
        <v>132.27000000000001</v>
      </c>
      <c r="I1102">
        <v>124.93</v>
      </c>
      <c r="J1102">
        <v>6</v>
      </c>
      <c r="K1102" s="14" t="s">
        <v>15</v>
      </c>
      <c r="L1102" s="14">
        <f>IF(OR(Table1[[#This Row],[Order_Status]]="Delivered",Table1[[#This Row],[Delivery_Date]]&lt;&gt;"Not Yet Delivered"),Table1[[#This Row],[Delivery_Date]]-Table1[[#This Row],[Order_Date]],"Not Applicable")</f>
        <v>29</v>
      </c>
      <c r="M1102" s="14">
        <f>Table1[[#This Row],[Unit_Cost]]-Table1[[#This Row],[Negotiated_Cost]]</f>
        <v>7.3400000000000034</v>
      </c>
      <c r="N1102" s="18">
        <f>Table1[[#This Row],[Defective_Units]]/Table1[[#This Row],[Quantity]]</f>
        <v>1.3274336283185841E-2</v>
      </c>
      <c r="O1102" s="26">
        <f>(Table1[[#This Row],[Unit_Cost]]-Table1[[#This Row],[Negotiated_Cost]])/Table1[[#This Row],[Unit_Cost]]</f>
        <v>5.549255311106073E-2</v>
      </c>
    </row>
    <row r="1103" spans="1:15" x14ac:dyDescent="0.25">
      <c r="A1103" t="s">
        <v>1138</v>
      </c>
      <c r="B1103" t="s">
        <v>40</v>
      </c>
      <c r="C1103" s="14" t="s">
        <v>28</v>
      </c>
      <c r="D1103" s="1">
        <v>44984</v>
      </c>
      <c r="E1103" s="13">
        <v>44996</v>
      </c>
      <c r="F1103" s="14" t="s">
        <v>14</v>
      </c>
      <c r="G1103">
        <v>258</v>
      </c>
      <c r="H1103">
        <v>49698.02</v>
      </c>
      <c r="I1103">
        <v>47394.16</v>
      </c>
      <c r="J1103">
        <v>3</v>
      </c>
      <c r="K1103" s="14" t="s">
        <v>15</v>
      </c>
      <c r="L1103" s="14">
        <f>IF(OR(Table1[[#This Row],[Order_Status]]="Delivered",Table1[[#This Row],[Delivery_Date]]&lt;&gt;"Not Yet Delivered"),Table1[[#This Row],[Delivery_Date]]-Table1[[#This Row],[Order_Date]],"Not Applicable")</f>
        <v>12</v>
      </c>
      <c r="M1103" s="14">
        <f>Table1[[#This Row],[Unit_Cost]]-Table1[[#This Row],[Negotiated_Cost]]</f>
        <v>2303.8599999999933</v>
      </c>
      <c r="N1103" s="18">
        <f>Table1[[#This Row],[Defective_Units]]/Table1[[#This Row],[Quantity]]</f>
        <v>1.1627906976744186E-2</v>
      </c>
      <c r="O1103" s="26">
        <f>(Table1[[#This Row],[Unit_Cost]]-Table1[[#This Row],[Negotiated_Cost]])/Table1[[#This Row],[Unit_Cost]]</f>
        <v>4.6357178817184132E-2</v>
      </c>
    </row>
    <row r="1104" spans="1:15" x14ac:dyDescent="0.25">
      <c r="A1104" t="s">
        <v>1139</v>
      </c>
      <c r="B1104" t="s">
        <v>35</v>
      </c>
      <c r="C1104" s="14" t="s">
        <v>13</v>
      </c>
      <c r="D1104" s="1">
        <v>45505</v>
      </c>
      <c r="E1104" s="13">
        <v>45529</v>
      </c>
      <c r="F1104" s="14" t="s">
        <v>37</v>
      </c>
      <c r="G1104">
        <v>225</v>
      </c>
      <c r="H1104">
        <v>4042.11</v>
      </c>
      <c r="I1104">
        <v>3883.49</v>
      </c>
      <c r="J1104">
        <v>0</v>
      </c>
      <c r="K1104" s="14" t="s">
        <v>15</v>
      </c>
      <c r="L1104" s="14">
        <f>IF(OR(Table1[[#This Row],[Order_Status]]="Delivered",Table1[[#This Row],[Delivery_Date]]&lt;&gt;"Not Yet Delivered"),Table1[[#This Row],[Delivery_Date]]-Table1[[#This Row],[Order_Date]],"Not Applicable")</f>
        <v>24</v>
      </c>
      <c r="M1104" s="14">
        <f>Table1[[#This Row],[Unit_Cost]]-Table1[[#This Row],[Negotiated_Cost]]</f>
        <v>158.62000000000035</v>
      </c>
      <c r="N1104" s="18">
        <f>Table1[[#This Row],[Defective_Units]]/Table1[[#This Row],[Quantity]]</f>
        <v>0</v>
      </c>
      <c r="O1104" s="26">
        <f>(Table1[[#This Row],[Unit_Cost]]-Table1[[#This Row],[Negotiated_Cost]])/Table1[[#This Row],[Unit_Cost]]</f>
        <v>3.9241881096754007E-2</v>
      </c>
    </row>
    <row r="1105" spans="1:15" x14ac:dyDescent="0.25">
      <c r="A1105" t="s">
        <v>1140</v>
      </c>
      <c r="B1105" t="s">
        <v>32</v>
      </c>
      <c r="C1105" s="14" t="s">
        <v>13</v>
      </c>
      <c r="D1105" s="1">
        <v>45400</v>
      </c>
      <c r="E1105" s="14" t="s">
        <v>2057</v>
      </c>
      <c r="F1105" s="14" t="s">
        <v>22</v>
      </c>
      <c r="G1105">
        <v>110</v>
      </c>
      <c r="H1105">
        <v>4015.58</v>
      </c>
      <c r="I1105">
        <v>3798.26</v>
      </c>
      <c r="J1105">
        <v>2</v>
      </c>
      <c r="K1105" s="14" t="s">
        <v>15</v>
      </c>
      <c r="L1105" s="14" t="str">
        <f>IF(OR(Table1[[#This Row],[Order_Status]]="Delivered",Table1[[#This Row],[Delivery_Date]]&lt;&gt;"Not Yet Delivered"),Table1[[#This Row],[Delivery_Date]]-Table1[[#This Row],[Order_Date]],"Not Applicable")</f>
        <v>Not Applicable</v>
      </c>
      <c r="M1105" s="14">
        <f>Table1[[#This Row],[Unit_Cost]]-Table1[[#This Row],[Negotiated_Cost]]</f>
        <v>217.31999999999971</v>
      </c>
      <c r="N1105" s="18">
        <f>Table1[[#This Row],[Defective_Units]]/Table1[[#This Row],[Quantity]]</f>
        <v>1.8181818181818181E-2</v>
      </c>
      <c r="O1105" s="26">
        <f>(Table1[[#This Row],[Unit_Cost]]-Table1[[#This Row],[Negotiated_Cost]])/Table1[[#This Row],[Unit_Cost]]</f>
        <v>5.4119205693822489E-2</v>
      </c>
    </row>
    <row r="1106" spans="1:15" x14ac:dyDescent="0.25">
      <c r="A1106" t="s">
        <v>1141</v>
      </c>
      <c r="B1106" t="s">
        <v>46</v>
      </c>
      <c r="C1106" s="14" t="s">
        <v>28</v>
      </c>
      <c r="D1106" s="1">
        <v>45019</v>
      </c>
      <c r="E1106" s="13">
        <v>45025</v>
      </c>
      <c r="F1106" s="14" t="s">
        <v>37</v>
      </c>
      <c r="G1106">
        <v>357</v>
      </c>
      <c r="H1106">
        <v>45278.5</v>
      </c>
      <c r="I1106">
        <v>43933.06</v>
      </c>
      <c r="J1106">
        <v>9</v>
      </c>
      <c r="K1106" s="14" t="s">
        <v>15</v>
      </c>
      <c r="L1106" s="14">
        <f>IF(OR(Table1[[#This Row],[Order_Status]]="Delivered",Table1[[#This Row],[Delivery_Date]]&lt;&gt;"Not Yet Delivered"),Table1[[#This Row],[Delivery_Date]]-Table1[[#This Row],[Order_Date]],"Not Applicable")</f>
        <v>6</v>
      </c>
      <c r="M1106" s="14">
        <f>Table1[[#This Row],[Unit_Cost]]-Table1[[#This Row],[Negotiated_Cost]]</f>
        <v>1345.4400000000023</v>
      </c>
      <c r="N1106" s="18">
        <f>Table1[[#This Row],[Defective_Units]]/Table1[[#This Row],[Quantity]]</f>
        <v>2.5210084033613446E-2</v>
      </c>
      <c r="O1106" s="26">
        <f>(Table1[[#This Row],[Unit_Cost]]-Table1[[#This Row],[Negotiated_Cost]])/Table1[[#This Row],[Unit_Cost]]</f>
        <v>2.9714765285952547E-2</v>
      </c>
    </row>
    <row r="1107" spans="1:15" x14ac:dyDescent="0.25">
      <c r="A1107" t="s">
        <v>1142</v>
      </c>
      <c r="B1107" t="s">
        <v>46</v>
      </c>
      <c r="C1107" s="14" t="s">
        <v>21</v>
      </c>
      <c r="D1107" s="1">
        <v>45529</v>
      </c>
      <c r="E1107" s="13">
        <v>45534</v>
      </c>
      <c r="F1107" s="14" t="s">
        <v>14</v>
      </c>
      <c r="G1107">
        <v>240</v>
      </c>
      <c r="H1107">
        <v>111.82</v>
      </c>
      <c r="I1107">
        <v>108.06</v>
      </c>
      <c r="J1107">
        <v>3</v>
      </c>
      <c r="K1107" s="14" t="s">
        <v>15</v>
      </c>
      <c r="L1107" s="14">
        <f>IF(OR(Table1[[#This Row],[Order_Status]]="Delivered",Table1[[#This Row],[Delivery_Date]]&lt;&gt;"Not Yet Delivered"),Table1[[#This Row],[Delivery_Date]]-Table1[[#This Row],[Order_Date]],"Not Applicable")</f>
        <v>5</v>
      </c>
      <c r="M1107" s="14">
        <f>Table1[[#This Row],[Unit_Cost]]-Table1[[#This Row],[Negotiated_Cost]]</f>
        <v>3.7599999999999909</v>
      </c>
      <c r="N1107" s="18">
        <f>Table1[[#This Row],[Defective_Units]]/Table1[[#This Row],[Quantity]]</f>
        <v>1.2500000000000001E-2</v>
      </c>
      <c r="O1107" s="26">
        <f>(Table1[[#This Row],[Unit_Cost]]-Table1[[#This Row],[Negotiated_Cost]])/Table1[[#This Row],[Unit_Cost]]</f>
        <v>3.3625469504560822E-2</v>
      </c>
    </row>
    <row r="1108" spans="1:15" x14ac:dyDescent="0.25">
      <c r="A1108" t="s">
        <v>1143</v>
      </c>
      <c r="B1108" t="s">
        <v>20</v>
      </c>
      <c r="C1108" s="14" t="s">
        <v>28</v>
      </c>
      <c r="D1108" s="1">
        <v>45610</v>
      </c>
      <c r="E1108" s="13">
        <v>45626</v>
      </c>
      <c r="F1108" s="14" t="s">
        <v>37</v>
      </c>
      <c r="G1108">
        <v>276</v>
      </c>
      <c r="H1108">
        <v>45264.03</v>
      </c>
      <c r="I1108">
        <v>44484.63</v>
      </c>
      <c r="J1108">
        <v>0</v>
      </c>
      <c r="K1108" s="14" t="s">
        <v>15</v>
      </c>
      <c r="L1108" s="14">
        <f>IF(OR(Table1[[#This Row],[Order_Status]]="Delivered",Table1[[#This Row],[Delivery_Date]]&lt;&gt;"Not Yet Delivered"),Table1[[#This Row],[Delivery_Date]]-Table1[[#This Row],[Order_Date]],"Not Applicable")</f>
        <v>16</v>
      </c>
      <c r="M1108" s="14">
        <f>Table1[[#This Row],[Unit_Cost]]-Table1[[#This Row],[Negotiated_Cost]]</f>
        <v>779.40000000000146</v>
      </c>
      <c r="N1108" s="18">
        <f>Table1[[#This Row],[Defective_Units]]/Table1[[#This Row],[Quantity]]</f>
        <v>0</v>
      </c>
      <c r="O1108" s="26">
        <f>(Table1[[#This Row],[Unit_Cost]]-Table1[[#This Row],[Negotiated_Cost]])/Table1[[#This Row],[Unit_Cost]]</f>
        <v>1.7218970560067264E-2</v>
      </c>
    </row>
    <row r="1109" spans="1:15" x14ac:dyDescent="0.25">
      <c r="A1109" t="s">
        <v>1144</v>
      </c>
      <c r="B1109" t="s">
        <v>17</v>
      </c>
      <c r="C1109" s="14" t="s">
        <v>55</v>
      </c>
      <c r="D1109" s="1">
        <v>45097</v>
      </c>
      <c r="E1109" s="13">
        <v>45126</v>
      </c>
      <c r="F1109" s="14" t="s">
        <v>14</v>
      </c>
      <c r="G1109">
        <v>217</v>
      </c>
      <c r="H1109">
        <v>13063.13</v>
      </c>
      <c r="I1109">
        <v>12609.42</v>
      </c>
      <c r="J1109">
        <v>1</v>
      </c>
      <c r="K1109" s="14" t="s">
        <v>15</v>
      </c>
      <c r="L1109" s="14">
        <f>IF(OR(Table1[[#This Row],[Order_Status]]="Delivered",Table1[[#This Row],[Delivery_Date]]&lt;&gt;"Not Yet Delivered"),Table1[[#This Row],[Delivery_Date]]-Table1[[#This Row],[Order_Date]],"Not Applicable")</f>
        <v>29</v>
      </c>
      <c r="M1109" s="14">
        <f>Table1[[#This Row],[Unit_Cost]]-Table1[[#This Row],[Negotiated_Cost]]</f>
        <v>453.70999999999913</v>
      </c>
      <c r="N1109" s="18">
        <f>Table1[[#This Row],[Defective_Units]]/Table1[[#This Row],[Quantity]]</f>
        <v>4.608294930875576E-3</v>
      </c>
      <c r="O1109" s="26">
        <f>(Table1[[#This Row],[Unit_Cost]]-Table1[[#This Row],[Negotiated_Cost]])/Table1[[#This Row],[Unit_Cost]]</f>
        <v>3.4732104786525067E-2</v>
      </c>
    </row>
    <row r="1110" spans="1:15" x14ac:dyDescent="0.25">
      <c r="A1110" t="s">
        <v>1145</v>
      </c>
      <c r="B1110" t="s">
        <v>27</v>
      </c>
      <c r="C1110" s="14" t="s">
        <v>44</v>
      </c>
      <c r="D1110" s="1">
        <v>45606</v>
      </c>
      <c r="E1110" s="13">
        <v>45620</v>
      </c>
      <c r="F1110" s="14" t="s">
        <v>14</v>
      </c>
      <c r="G1110">
        <v>266</v>
      </c>
      <c r="H1110">
        <v>8918.65</v>
      </c>
      <c r="I1110">
        <v>8595.91</v>
      </c>
      <c r="J1110">
        <v>2</v>
      </c>
      <c r="K1110" s="14" t="s">
        <v>15</v>
      </c>
      <c r="L1110" s="14">
        <f>IF(OR(Table1[[#This Row],[Order_Status]]="Delivered",Table1[[#This Row],[Delivery_Date]]&lt;&gt;"Not Yet Delivered"),Table1[[#This Row],[Delivery_Date]]-Table1[[#This Row],[Order_Date]],"Not Applicable")</f>
        <v>14</v>
      </c>
      <c r="M1110" s="14">
        <f>Table1[[#This Row],[Unit_Cost]]-Table1[[#This Row],[Negotiated_Cost]]</f>
        <v>322.73999999999978</v>
      </c>
      <c r="N1110" s="18">
        <f>Table1[[#This Row],[Defective_Units]]/Table1[[#This Row],[Quantity]]</f>
        <v>7.5187969924812026E-3</v>
      </c>
      <c r="O1110" s="26">
        <f>(Table1[[#This Row],[Unit_Cost]]-Table1[[#This Row],[Negotiated_Cost]])/Table1[[#This Row],[Unit_Cost]]</f>
        <v>3.6187091095625436E-2</v>
      </c>
    </row>
    <row r="1111" spans="1:15" x14ac:dyDescent="0.25">
      <c r="A1111" t="s">
        <v>1146</v>
      </c>
      <c r="B1111" t="s">
        <v>46</v>
      </c>
      <c r="C1111" s="14" t="s">
        <v>42</v>
      </c>
      <c r="D1111" s="1">
        <v>45002</v>
      </c>
      <c r="E1111" s="13">
        <v>45025</v>
      </c>
      <c r="F1111" s="14" t="s">
        <v>14</v>
      </c>
      <c r="G1111">
        <v>13</v>
      </c>
      <c r="H1111">
        <v>11908.51</v>
      </c>
      <c r="I1111">
        <v>11756.99</v>
      </c>
      <c r="J1111">
        <v>0</v>
      </c>
      <c r="K1111" s="14" t="s">
        <v>15</v>
      </c>
      <c r="L1111" s="14">
        <f>IF(OR(Table1[[#This Row],[Order_Status]]="Delivered",Table1[[#This Row],[Delivery_Date]]&lt;&gt;"Not Yet Delivered"),Table1[[#This Row],[Delivery_Date]]-Table1[[#This Row],[Order_Date]],"Not Applicable")</f>
        <v>23</v>
      </c>
      <c r="M1111" s="14">
        <f>Table1[[#This Row],[Unit_Cost]]-Table1[[#This Row],[Negotiated_Cost]]</f>
        <v>151.52000000000044</v>
      </c>
      <c r="N1111" s="18">
        <f>Table1[[#This Row],[Defective_Units]]/Table1[[#This Row],[Quantity]]</f>
        <v>0</v>
      </c>
      <c r="O1111" s="26">
        <f>(Table1[[#This Row],[Unit_Cost]]-Table1[[#This Row],[Negotiated_Cost]])/Table1[[#This Row],[Unit_Cost]]</f>
        <v>1.2723674078453177E-2</v>
      </c>
    </row>
    <row r="1112" spans="1:15" x14ac:dyDescent="0.25">
      <c r="A1112" t="s">
        <v>1147</v>
      </c>
      <c r="B1112" t="s">
        <v>12</v>
      </c>
      <c r="C1112" s="14" t="s">
        <v>24</v>
      </c>
      <c r="D1112" s="1">
        <v>45560</v>
      </c>
      <c r="E1112" s="13">
        <v>45585</v>
      </c>
      <c r="F1112" s="14" t="s">
        <v>14</v>
      </c>
      <c r="G1112">
        <v>171</v>
      </c>
      <c r="H1112">
        <v>13498.63</v>
      </c>
      <c r="I1112">
        <v>13255.42</v>
      </c>
      <c r="J1112">
        <v>4</v>
      </c>
      <c r="K1112" s="14" t="s">
        <v>15</v>
      </c>
      <c r="L1112" s="14">
        <f>IF(OR(Table1[[#This Row],[Order_Status]]="Delivered",Table1[[#This Row],[Delivery_Date]]&lt;&gt;"Not Yet Delivered"),Table1[[#This Row],[Delivery_Date]]-Table1[[#This Row],[Order_Date]],"Not Applicable")</f>
        <v>25</v>
      </c>
      <c r="M1112" s="14">
        <f>Table1[[#This Row],[Unit_Cost]]-Table1[[#This Row],[Negotiated_Cost]]</f>
        <v>243.20999999999913</v>
      </c>
      <c r="N1112" s="18">
        <f>Table1[[#This Row],[Defective_Units]]/Table1[[#This Row],[Quantity]]</f>
        <v>2.3391812865497075E-2</v>
      </c>
      <c r="O1112" s="26">
        <f>(Table1[[#This Row],[Unit_Cost]]-Table1[[#This Row],[Negotiated_Cost]])/Table1[[#This Row],[Unit_Cost]]</f>
        <v>1.8017383986374851E-2</v>
      </c>
    </row>
    <row r="1113" spans="1:15" x14ac:dyDescent="0.25">
      <c r="A1113" t="s">
        <v>1148</v>
      </c>
      <c r="B1113" t="s">
        <v>32</v>
      </c>
      <c r="C1113" s="14" t="s">
        <v>36</v>
      </c>
      <c r="D1113" s="1">
        <v>44988</v>
      </c>
      <c r="E1113" s="13">
        <v>45017</v>
      </c>
      <c r="F1113" s="14" t="s">
        <v>14</v>
      </c>
      <c r="G1113">
        <v>426</v>
      </c>
      <c r="H1113">
        <v>485.67</v>
      </c>
      <c r="I1113">
        <v>483.38</v>
      </c>
      <c r="J1113">
        <v>1</v>
      </c>
      <c r="K1113" s="14" t="s">
        <v>15</v>
      </c>
      <c r="L1113" s="14">
        <f>IF(OR(Table1[[#This Row],[Order_Status]]="Delivered",Table1[[#This Row],[Delivery_Date]]&lt;&gt;"Not Yet Delivered"),Table1[[#This Row],[Delivery_Date]]-Table1[[#This Row],[Order_Date]],"Not Applicable")</f>
        <v>29</v>
      </c>
      <c r="M1113" s="14">
        <f>Table1[[#This Row],[Unit_Cost]]-Table1[[#This Row],[Negotiated_Cost]]</f>
        <v>2.2900000000000205</v>
      </c>
      <c r="N1113" s="18">
        <f>Table1[[#This Row],[Defective_Units]]/Table1[[#This Row],[Quantity]]</f>
        <v>2.3474178403755869E-3</v>
      </c>
      <c r="O1113" s="26">
        <f>(Table1[[#This Row],[Unit_Cost]]-Table1[[#This Row],[Negotiated_Cost]])/Table1[[#This Row],[Unit_Cost]]</f>
        <v>4.7151357917928228E-3</v>
      </c>
    </row>
    <row r="1114" spans="1:15" x14ac:dyDescent="0.25">
      <c r="A1114" t="s">
        <v>1149</v>
      </c>
      <c r="B1114" t="s">
        <v>35</v>
      </c>
      <c r="C1114" s="14" t="s">
        <v>24</v>
      </c>
      <c r="D1114" s="1">
        <v>45089</v>
      </c>
      <c r="E1114" s="14" t="s">
        <v>2057</v>
      </c>
      <c r="F1114" s="14" t="s">
        <v>22</v>
      </c>
      <c r="G1114">
        <v>279</v>
      </c>
      <c r="H1114">
        <v>12643.03</v>
      </c>
      <c r="I1114">
        <v>12546.09</v>
      </c>
      <c r="J1114">
        <v>2</v>
      </c>
      <c r="K1114" s="14" t="s">
        <v>25</v>
      </c>
      <c r="L1114" s="14" t="str">
        <f>IF(OR(Table1[[#This Row],[Order_Status]]="Delivered",Table1[[#This Row],[Delivery_Date]]&lt;&gt;"Not Yet Delivered"),Table1[[#This Row],[Delivery_Date]]-Table1[[#This Row],[Order_Date]],"Not Applicable")</f>
        <v>Not Applicable</v>
      </c>
      <c r="M1114" s="14">
        <f>Table1[[#This Row],[Unit_Cost]]-Table1[[#This Row],[Negotiated_Cost]]</f>
        <v>96.940000000000509</v>
      </c>
      <c r="N1114" s="18">
        <f>Table1[[#This Row],[Defective_Units]]/Table1[[#This Row],[Quantity]]</f>
        <v>7.1684587813620072E-3</v>
      </c>
      <c r="O1114" s="26">
        <f>(Table1[[#This Row],[Unit_Cost]]-Table1[[#This Row],[Negotiated_Cost]])/Table1[[#This Row],[Unit_Cost]]</f>
        <v>7.6674657894508285E-3</v>
      </c>
    </row>
    <row r="1115" spans="1:15" x14ac:dyDescent="0.25">
      <c r="A1115" t="s">
        <v>1150</v>
      </c>
      <c r="B1115" t="s">
        <v>27</v>
      </c>
      <c r="C1115" s="14" t="s">
        <v>36</v>
      </c>
      <c r="D1115" s="1">
        <v>44992</v>
      </c>
      <c r="E1115" s="14" t="s">
        <v>2057</v>
      </c>
      <c r="F1115" s="14" t="s">
        <v>33</v>
      </c>
      <c r="G1115">
        <v>335</v>
      </c>
      <c r="H1115">
        <v>588.83000000000004</v>
      </c>
      <c r="I1115">
        <v>563.24</v>
      </c>
      <c r="J1115">
        <v>2</v>
      </c>
      <c r="K1115" s="14" t="s">
        <v>15</v>
      </c>
      <c r="L1115" s="14" t="str">
        <f>IF(OR(Table1[[#This Row],[Order_Status]]="Delivered",Table1[[#This Row],[Delivery_Date]]&lt;&gt;"Not Yet Delivered"),Table1[[#This Row],[Delivery_Date]]-Table1[[#This Row],[Order_Date]],"Not Applicable")</f>
        <v>Not Applicable</v>
      </c>
      <c r="M1115" s="14">
        <f>Table1[[#This Row],[Unit_Cost]]-Table1[[#This Row],[Negotiated_Cost]]</f>
        <v>25.590000000000032</v>
      </c>
      <c r="N1115" s="18">
        <f>Table1[[#This Row],[Defective_Units]]/Table1[[#This Row],[Quantity]]</f>
        <v>5.9701492537313433E-3</v>
      </c>
      <c r="O1115" s="26">
        <f>(Table1[[#This Row],[Unit_Cost]]-Table1[[#This Row],[Negotiated_Cost]])/Table1[[#This Row],[Unit_Cost]]</f>
        <v>4.3459062887420866E-2</v>
      </c>
    </row>
    <row r="1116" spans="1:15" x14ac:dyDescent="0.25">
      <c r="A1116" t="s">
        <v>1151</v>
      </c>
      <c r="B1116" t="s">
        <v>35</v>
      </c>
      <c r="C1116" s="14" t="s">
        <v>24</v>
      </c>
      <c r="D1116" s="1">
        <v>45104</v>
      </c>
      <c r="E1116" s="13">
        <v>45115</v>
      </c>
      <c r="F1116" s="14" t="s">
        <v>14</v>
      </c>
      <c r="G1116">
        <v>423</v>
      </c>
      <c r="H1116">
        <v>12475.39</v>
      </c>
      <c r="I1116">
        <v>12101.91</v>
      </c>
      <c r="J1116">
        <v>2</v>
      </c>
      <c r="K1116" s="14" t="s">
        <v>15</v>
      </c>
      <c r="L1116" s="14">
        <f>IF(OR(Table1[[#This Row],[Order_Status]]="Delivered",Table1[[#This Row],[Delivery_Date]]&lt;&gt;"Not Yet Delivered"),Table1[[#This Row],[Delivery_Date]]-Table1[[#This Row],[Order_Date]],"Not Applicable")</f>
        <v>11</v>
      </c>
      <c r="M1116" s="14">
        <f>Table1[[#This Row],[Unit_Cost]]-Table1[[#This Row],[Negotiated_Cost]]</f>
        <v>373.47999999999956</v>
      </c>
      <c r="N1116" s="18">
        <f>Table1[[#This Row],[Defective_Units]]/Table1[[#This Row],[Quantity]]</f>
        <v>4.7281323877068557E-3</v>
      </c>
      <c r="O1116" s="26">
        <f>(Table1[[#This Row],[Unit_Cost]]-Table1[[#This Row],[Negotiated_Cost]])/Table1[[#This Row],[Unit_Cost]]</f>
        <v>2.9937340636244605E-2</v>
      </c>
    </row>
    <row r="1117" spans="1:15" x14ac:dyDescent="0.25">
      <c r="A1117" t="s">
        <v>1152</v>
      </c>
      <c r="B1117" t="s">
        <v>20</v>
      </c>
      <c r="C1117" s="14" t="s">
        <v>24</v>
      </c>
      <c r="D1117" s="1">
        <v>44955</v>
      </c>
      <c r="E1117" s="13">
        <v>44957</v>
      </c>
      <c r="F1117" s="14" t="s">
        <v>14</v>
      </c>
      <c r="G1117">
        <v>267</v>
      </c>
      <c r="H1117">
        <v>11737.86</v>
      </c>
      <c r="I1117">
        <v>11408.23</v>
      </c>
      <c r="J1117">
        <v>1</v>
      </c>
      <c r="K1117" s="14" t="s">
        <v>15</v>
      </c>
      <c r="L1117" s="14">
        <f>IF(OR(Table1[[#This Row],[Order_Status]]="Delivered",Table1[[#This Row],[Delivery_Date]]&lt;&gt;"Not Yet Delivered"),Table1[[#This Row],[Delivery_Date]]-Table1[[#This Row],[Order_Date]],"Not Applicable")</f>
        <v>2</v>
      </c>
      <c r="M1117" s="14">
        <f>Table1[[#This Row],[Unit_Cost]]-Table1[[#This Row],[Negotiated_Cost]]</f>
        <v>329.63000000000102</v>
      </c>
      <c r="N1117" s="18">
        <f>Table1[[#This Row],[Defective_Units]]/Table1[[#This Row],[Quantity]]</f>
        <v>3.7453183520599251E-3</v>
      </c>
      <c r="O1117" s="26">
        <f>(Table1[[#This Row],[Unit_Cost]]-Table1[[#This Row],[Negotiated_Cost]])/Table1[[#This Row],[Unit_Cost]]</f>
        <v>2.8082631757407314E-2</v>
      </c>
    </row>
    <row r="1118" spans="1:15" x14ac:dyDescent="0.25">
      <c r="A1118" t="s">
        <v>1153</v>
      </c>
      <c r="B1118" t="s">
        <v>40</v>
      </c>
      <c r="C1118" s="14" t="s">
        <v>44</v>
      </c>
      <c r="D1118" s="1">
        <v>45221</v>
      </c>
      <c r="E1118" s="14" t="s">
        <v>2057</v>
      </c>
      <c r="F1118" s="14" t="s">
        <v>33</v>
      </c>
      <c r="G1118">
        <v>455</v>
      </c>
      <c r="H1118">
        <v>9529.49</v>
      </c>
      <c r="I1118">
        <v>9278.0499999999993</v>
      </c>
      <c r="J1118">
        <v>2</v>
      </c>
      <c r="K1118" s="14" t="s">
        <v>15</v>
      </c>
      <c r="L1118" s="14" t="str">
        <f>IF(OR(Table1[[#This Row],[Order_Status]]="Delivered",Table1[[#This Row],[Delivery_Date]]&lt;&gt;"Not Yet Delivered"),Table1[[#This Row],[Delivery_Date]]-Table1[[#This Row],[Order_Date]],"Not Applicable")</f>
        <v>Not Applicable</v>
      </c>
      <c r="M1118" s="14">
        <f>Table1[[#This Row],[Unit_Cost]]-Table1[[#This Row],[Negotiated_Cost]]</f>
        <v>251.44000000000051</v>
      </c>
      <c r="N1118" s="18">
        <f>Table1[[#This Row],[Defective_Units]]/Table1[[#This Row],[Quantity]]</f>
        <v>4.3956043956043956E-3</v>
      </c>
      <c r="O1118" s="26">
        <f>(Table1[[#This Row],[Unit_Cost]]-Table1[[#This Row],[Negotiated_Cost]])/Table1[[#This Row],[Unit_Cost]]</f>
        <v>2.6385462390956967E-2</v>
      </c>
    </row>
    <row r="1119" spans="1:15" x14ac:dyDescent="0.25">
      <c r="A1119" t="s">
        <v>1154</v>
      </c>
      <c r="B1119" t="s">
        <v>32</v>
      </c>
      <c r="C1119" s="14" t="s">
        <v>18</v>
      </c>
      <c r="D1119" s="1">
        <v>45423</v>
      </c>
      <c r="E1119" s="13">
        <v>45425</v>
      </c>
      <c r="F1119" s="14" t="s">
        <v>14</v>
      </c>
      <c r="G1119">
        <v>210</v>
      </c>
      <c r="H1119">
        <v>4529.2700000000004</v>
      </c>
      <c r="I1119">
        <v>4369.4799999999996</v>
      </c>
      <c r="J1119">
        <v>3</v>
      </c>
      <c r="K1119" s="14" t="s">
        <v>15</v>
      </c>
      <c r="L1119" s="14">
        <f>IF(OR(Table1[[#This Row],[Order_Status]]="Delivered",Table1[[#This Row],[Delivery_Date]]&lt;&gt;"Not Yet Delivered"),Table1[[#This Row],[Delivery_Date]]-Table1[[#This Row],[Order_Date]],"Not Applicable")</f>
        <v>2</v>
      </c>
      <c r="M1119" s="14">
        <f>Table1[[#This Row],[Unit_Cost]]-Table1[[#This Row],[Negotiated_Cost]]</f>
        <v>159.79000000000087</v>
      </c>
      <c r="N1119" s="18">
        <f>Table1[[#This Row],[Defective_Units]]/Table1[[#This Row],[Quantity]]</f>
        <v>1.4285714285714285E-2</v>
      </c>
      <c r="O1119" s="26">
        <f>(Table1[[#This Row],[Unit_Cost]]-Table1[[#This Row],[Negotiated_Cost]])/Table1[[#This Row],[Unit_Cost]]</f>
        <v>3.5279415888211756E-2</v>
      </c>
    </row>
    <row r="1120" spans="1:15" x14ac:dyDescent="0.25">
      <c r="A1120" t="s">
        <v>1155</v>
      </c>
      <c r="B1120" t="s">
        <v>27</v>
      </c>
      <c r="C1120" s="14" t="s">
        <v>42</v>
      </c>
      <c r="D1120" s="1">
        <v>45396</v>
      </c>
      <c r="E1120" s="13">
        <v>45409</v>
      </c>
      <c r="F1120" s="14" t="s">
        <v>14</v>
      </c>
      <c r="G1120">
        <v>25</v>
      </c>
      <c r="H1120">
        <v>12129.83</v>
      </c>
      <c r="I1120">
        <v>11504.5</v>
      </c>
      <c r="J1120">
        <v>0</v>
      </c>
      <c r="K1120" s="14" t="s">
        <v>15</v>
      </c>
      <c r="L1120" s="14">
        <f>IF(OR(Table1[[#This Row],[Order_Status]]="Delivered",Table1[[#This Row],[Delivery_Date]]&lt;&gt;"Not Yet Delivered"),Table1[[#This Row],[Delivery_Date]]-Table1[[#This Row],[Order_Date]],"Not Applicable")</f>
        <v>13</v>
      </c>
      <c r="M1120" s="14">
        <f>Table1[[#This Row],[Unit_Cost]]-Table1[[#This Row],[Negotiated_Cost]]</f>
        <v>625.32999999999993</v>
      </c>
      <c r="N1120" s="18">
        <f>Table1[[#This Row],[Defective_Units]]/Table1[[#This Row],[Quantity]]</f>
        <v>0</v>
      </c>
      <c r="O1120" s="26">
        <f>(Table1[[#This Row],[Unit_Cost]]-Table1[[#This Row],[Negotiated_Cost]])/Table1[[#This Row],[Unit_Cost]]</f>
        <v>5.1553072054595979E-2</v>
      </c>
    </row>
    <row r="1121" spans="1:15" x14ac:dyDescent="0.25">
      <c r="A1121" t="s">
        <v>1156</v>
      </c>
      <c r="B1121" t="s">
        <v>12</v>
      </c>
      <c r="C1121" s="14" t="s">
        <v>50</v>
      </c>
      <c r="D1121" s="1">
        <v>45431</v>
      </c>
      <c r="E1121" s="13">
        <v>45458</v>
      </c>
      <c r="F1121" s="14" t="s">
        <v>14</v>
      </c>
      <c r="G1121">
        <v>402</v>
      </c>
      <c r="H1121">
        <v>56695.78</v>
      </c>
      <c r="I1121">
        <v>55178.400000000001</v>
      </c>
      <c r="J1121">
        <v>2</v>
      </c>
      <c r="K1121" s="14" t="s">
        <v>15</v>
      </c>
      <c r="L1121" s="14">
        <f>IF(OR(Table1[[#This Row],[Order_Status]]="Delivered",Table1[[#This Row],[Delivery_Date]]&lt;&gt;"Not Yet Delivered"),Table1[[#This Row],[Delivery_Date]]-Table1[[#This Row],[Order_Date]],"Not Applicable")</f>
        <v>27</v>
      </c>
      <c r="M1121" s="14">
        <f>Table1[[#This Row],[Unit_Cost]]-Table1[[#This Row],[Negotiated_Cost]]</f>
        <v>1517.3799999999974</v>
      </c>
      <c r="N1121" s="18">
        <f>Table1[[#This Row],[Defective_Units]]/Table1[[#This Row],[Quantity]]</f>
        <v>4.9751243781094526E-3</v>
      </c>
      <c r="O1121" s="26">
        <f>(Table1[[#This Row],[Unit_Cost]]-Table1[[#This Row],[Negotiated_Cost]])/Table1[[#This Row],[Unit_Cost]]</f>
        <v>2.6763543953359448E-2</v>
      </c>
    </row>
    <row r="1122" spans="1:15" x14ac:dyDescent="0.25">
      <c r="A1122" t="s">
        <v>1157</v>
      </c>
      <c r="B1122" t="s">
        <v>20</v>
      </c>
      <c r="C1122" s="14" t="s">
        <v>18</v>
      </c>
      <c r="D1122" s="1">
        <v>45473</v>
      </c>
      <c r="E1122" s="13">
        <v>45488</v>
      </c>
      <c r="F1122" s="14" t="s">
        <v>14</v>
      </c>
      <c r="G1122">
        <v>18</v>
      </c>
      <c r="H1122">
        <v>5087.74</v>
      </c>
      <c r="I1122">
        <v>4879.88</v>
      </c>
      <c r="J1122">
        <v>0</v>
      </c>
      <c r="K1122" s="14" t="s">
        <v>15</v>
      </c>
      <c r="L1122" s="14">
        <f>IF(OR(Table1[[#This Row],[Order_Status]]="Delivered",Table1[[#This Row],[Delivery_Date]]&lt;&gt;"Not Yet Delivered"),Table1[[#This Row],[Delivery_Date]]-Table1[[#This Row],[Order_Date]],"Not Applicable")</f>
        <v>15</v>
      </c>
      <c r="M1122" s="14">
        <f>Table1[[#This Row],[Unit_Cost]]-Table1[[#This Row],[Negotiated_Cost]]</f>
        <v>207.85999999999967</v>
      </c>
      <c r="N1122" s="18">
        <f>Table1[[#This Row],[Defective_Units]]/Table1[[#This Row],[Quantity]]</f>
        <v>0</v>
      </c>
      <c r="O1122" s="26">
        <f>(Table1[[#This Row],[Unit_Cost]]-Table1[[#This Row],[Negotiated_Cost]])/Table1[[#This Row],[Unit_Cost]]</f>
        <v>4.0855075141418326E-2</v>
      </c>
    </row>
    <row r="1123" spans="1:15" x14ac:dyDescent="0.25">
      <c r="A1123" t="s">
        <v>1158</v>
      </c>
      <c r="B1123" t="s">
        <v>20</v>
      </c>
      <c r="C1123" s="14" t="s">
        <v>42</v>
      </c>
      <c r="D1123" s="1">
        <v>45421</v>
      </c>
      <c r="E1123" s="13">
        <v>45446</v>
      </c>
      <c r="F1123" s="14" t="s">
        <v>37</v>
      </c>
      <c r="G1123">
        <v>421</v>
      </c>
      <c r="H1123">
        <v>11104.85</v>
      </c>
      <c r="I1123">
        <v>10775.95</v>
      </c>
      <c r="J1123">
        <v>2</v>
      </c>
      <c r="K1123" s="14" t="s">
        <v>15</v>
      </c>
      <c r="L1123" s="14">
        <f>IF(OR(Table1[[#This Row],[Order_Status]]="Delivered",Table1[[#This Row],[Delivery_Date]]&lt;&gt;"Not Yet Delivered"),Table1[[#This Row],[Delivery_Date]]-Table1[[#This Row],[Order_Date]],"Not Applicable")</f>
        <v>25</v>
      </c>
      <c r="M1123" s="14">
        <f>Table1[[#This Row],[Unit_Cost]]-Table1[[#This Row],[Negotiated_Cost]]</f>
        <v>328.89999999999964</v>
      </c>
      <c r="N1123" s="18">
        <f>Table1[[#This Row],[Defective_Units]]/Table1[[#This Row],[Quantity]]</f>
        <v>4.7505938242280287E-3</v>
      </c>
      <c r="O1123" s="26">
        <f>(Table1[[#This Row],[Unit_Cost]]-Table1[[#This Row],[Negotiated_Cost]])/Table1[[#This Row],[Unit_Cost]]</f>
        <v>2.9617689568071575E-2</v>
      </c>
    </row>
    <row r="1124" spans="1:15" x14ac:dyDescent="0.25">
      <c r="A1124" t="s">
        <v>1159</v>
      </c>
      <c r="B1124" t="s">
        <v>32</v>
      </c>
      <c r="C1124" s="14" t="s">
        <v>50</v>
      </c>
      <c r="D1124" s="1">
        <v>44936</v>
      </c>
      <c r="E1124" s="13">
        <v>44946</v>
      </c>
      <c r="F1124" s="14" t="s">
        <v>14</v>
      </c>
      <c r="G1124">
        <v>156</v>
      </c>
      <c r="H1124">
        <v>48155.23</v>
      </c>
      <c r="I1124">
        <v>45809.23</v>
      </c>
      <c r="J1124">
        <v>0</v>
      </c>
      <c r="K1124" s="14" t="s">
        <v>15</v>
      </c>
      <c r="L1124" s="14">
        <f>IF(OR(Table1[[#This Row],[Order_Status]]="Delivered",Table1[[#This Row],[Delivery_Date]]&lt;&gt;"Not Yet Delivered"),Table1[[#This Row],[Delivery_Date]]-Table1[[#This Row],[Order_Date]],"Not Applicable")</f>
        <v>10</v>
      </c>
      <c r="M1124" s="14">
        <f>Table1[[#This Row],[Unit_Cost]]-Table1[[#This Row],[Negotiated_Cost]]</f>
        <v>2346</v>
      </c>
      <c r="N1124" s="18">
        <f>Table1[[#This Row],[Defective_Units]]/Table1[[#This Row],[Quantity]]</f>
        <v>0</v>
      </c>
      <c r="O1124" s="26">
        <f>(Table1[[#This Row],[Unit_Cost]]-Table1[[#This Row],[Negotiated_Cost]])/Table1[[#This Row],[Unit_Cost]]</f>
        <v>4.8717449797249436E-2</v>
      </c>
    </row>
    <row r="1125" spans="1:15" x14ac:dyDescent="0.25">
      <c r="A1125" t="s">
        <v>1160</v>
      </c>
      <c r="B1125" t="s">
        <v>46</v>
      </c>
      <c r="C1125" s="14" t="s">
        <v>55</v>
      </c>
      <c r="D1125" s="1">
        <v>45233</v>
      </c>
      <c r="E1125" s="13">
        <v>45246</v>
      </c>
      <c r="F1125" s="14" t="s">
        <v>37</v>
      </c>
      <c r="G1125">
        <v>40</v>
      </c>
      <c r="H1125">
        <v>13620.45</v>
      </c>
      <c r="I1125">
        <v>13317.35</v>
      </c>
      <c r="J1125">
        <v>1</v>
      </c>
      <c r="K1125" s="14" t="s">
        <v>15</v>
      </c>
      <c r="L1125" s="14">
        <f>IF(OR(Table1[[#This Row],[Order_Status]]="Delivered",Table1[[#This Row],[Delivery_Date]]&lt;&gt;"Not Yet Delivered"),Table1[[#This Row],[Delivery_Date]]-Table1[[#This Row],[Order_Date]],"Not Applicable")</f>
        <v>13</v>
      </c>
      <c r="M1125" s="14">
        <f>Table1[[#This Row],[Unit_Cost]]-Table1[[#This Row],[Negotiated_Cost]]</f>
        <v>303.10000000000036</v>
      </c>
      <c r="N1125" s="18">
        <f>Table1[[#This Row],[Defective_Units]]/Table1[[#This Row],[Quantity]]</f>
        <v>2.5000000000000001E-2</v>
      </c>
      <c r="O1125" s="26">
        <f>(Table1[[#This Row],[Unit_Cost]]-Table1[[#This Row],[Negotiated_Cost]])/Table1[[#This Row],[Unit_Cost]]</f>
        <v>2.2253302937861843E-2</v>
      </c>
    </row>
    <row r="1126" spans="1:15" x14ac:dyDescent="0.25">
      <c r="A1126" t="s">
        <v>1161</v>
      </c>
      <c r="B1126" t="s">
        <v>27</v>
      </c>
      <c r="C1126" s="14" t="s">
        <v>36</v>
      </c>
      <c r="D1126" s="1">
        <v>45526</v>
      </c>
      <c r="E1126" s="13">
        <v>45555</v>
      </c>
      <c r="F1126" s="14" t="s">
        <v>14</v>
      </c>
      <c r="G1126">
        <v>492</v>
      </c>
      <c r="H1126">
        <v>541.11</v>
      </c>
      <c r="I1126">
        <v>514.69000000000005</v>
      </c>
      <c r="J1126">
        <v>5</v>
      </c>
      <c r="K1126" s="14" t="s">
        <v>15</v>
      </c>
      <c r="L1126" s="14">
        <f>IF(OR(Table1[[#This Row],[Order_Status]]="Delivered",Table1[[#This Row],[Delivery_Date]]&lt;&gt;"Not Yet Delivered"),Table1[[#This Row],[Delivery_Date]]-Table1[[#This Row],[Order_Date]],"Not Applicable")</f>
        <v>29</v>
      </c>
      <c r="M1126" s="14">
        <f>Table1[[#This Row],[Unit_Cost]]-Table1[[#This Row],[Negotiated_Cost]]</f>
        <v>26.419999999999959</v>
      </c>
      <c r="N1126" s="18">
        <f>Table1[[#This Row],[Defective_Units]]/Table1[[#This Row],[Quantity]]</f>
        <v>1.016260162601626E-2</v>
      </c>
      <c r="O1126" s="26">
        <f>(Table1[[#This Row],[Unit_Cost]]-Table1[[#This Row],[Negotiated_Cost]])/Table1[[#This Row],[Unit_Cost]]</f>
        <v>4.8825562270148323E-2</v>
      </c>
    </row>
    <row r="1127" spans="1:15" x14ac:dyDescent="0.25">
      <c r="A1127" t="s">
        <v>1162</v>
      </c>
      <c r="B1127" t="s">
        <v>32</v>
      </c>
      <c r="C1127" s="14" t="s">
        <v>36</v>
      </c>
      <c r="D1127" s="1">
        <v>45201</v>
      </c>
      <c r="E1127" s="13">
        <v>45211</v>
      </c>
      <c r="F1127" s="14" t="s">
        <v>14</v>
      </c>
      <c r="G1127">
        <v>22</v>
      </c>
      <c r="H1127">
        <v>519.76</v>
      </c>
      <c r="I1127">
        <v>504.48</v>
      </c>
      <c r="J1127">
        <v>0</v>
      </c>
      <c r="K1127" s="14" t="s">
        <v>15</v>
      </c>
      <c r="L1127" s="14">
        <f>IF(OR(Table1[[#This Row],[Order_Status]]="Delivered",Table1[[#This Row],[Delivery_Date]]&lt;&gt;"Not Yet Delivered"),Table1[[#This Row],[Delivery_Date]]-Table1[[#This Row],[Order_Date]],"Not Applicable")</f>
        <v>10</v>
      </c>
      <c r="M1127" s="14">
        <f>Table1[[#This Row],[Unit_Cost]]-Table1[[#This Row],[Negotiated_Cost]]</f>
        <v>15.279999999999973</v>
      </c>
      <c r="N1127" s="18">
        <f>Table1[[#This Row],[Defective_Units]]/Table1[[#This Row],[Quantity]]</f>
        <v>0</v>
      </c>
      <c r="O1127" s="26">
        <f>(Table1[[#This Row],[Unit_Cost]]-Table1[[#This Row],[Negotiated_Cost]])/Table1[[#This Row],[Unit_Cost]]</f>
        <v>2.9398183777127853E-2</v>
      </c>
    </row>
    <row r="1128" spans="1:15" x14ac:dyDescent="0.25">
      <c r="A1128" t="s">
        <v>1163</v>
      </c>
      <c r="B1128" t="s">
        <v>40</v>
      </c>
      <c r="C1128" s="14" t="s">
        <v>21</v>
      </c>
      <c r="D1128" s="1">
        <v>45143</v>
      </c>
      <c r="E1128" s="13">
        <v>45166</v>
      </c>
      <c r="F1128" s="14" t="s">
        <v>14</v>
      </c>
      <c r="G1128">
        <v>249</v>
      </c>
      <c r="H1128">
        <v>125.95</v>
      </c>
      <c r="I1128">
        <v>123.59</v>
      </c>
      <c r="J1128">
        <v>6</v>
      </c>
      <c r="K1128" s="14" t="s">
        <v>15</v>
      </c>
      <c r="L1128" s="14">
        <f>IF(OR(Table1[[#This Row],[Order_Status]]="Delivered",Table1[[#This Row],[Delivery_Date]]&lt;&gt;"Not Yet Delivered"),Table1[[#This Row],[Delivery_Date]]-Table1[[#This Row],[Order_Date]],"Not Applicable")</f>
        <v>23</v>
      </c>
      <c r="M1128" s="14">
        <f>Table1[[#This Row],[Unit_Cost]]-Table1[[#This Row],[Negotiated_Cost]]</f>
        <v>2.3599999999999994</v>
      </c>
      <c r="N1128" s="18">
        <f>Table1[[#This Row],[Defective_Units]]/Table1[[#This Row],[Quantity]]</f>
        <v>2.4096385542168676E-2</v>
      </c>
      <c r="O1128" s="26">
        <f>(Table1[[#This Row],[Unit_Cost]]-Table1[[#This Row],[Negotiated_Cost]])/Table1[[#This Row],[Unit_Cost]]</f>
        <v>1.8737594283445808E-2</v>
      </c>
    </row>
    <row r="1129" spans="1:15" x14ac:dyDescent="0.25">
      <c r="A1129" t="s">
        <v>1164</v>
      </c>
      <c r="B1129" t="s">
        <v>12</v>
      </c>
      <c r="C1129" s="14" t="s">
        <v>28</v>
      </c>
      <c r="D1129" s="1">
        <v>45568</v>
      </c>
      <c r="E1129" s="13">
        <v>45575</v>
      </c>
      <c r="F1129" s="14" t="s">
        <v>14</v>
      </c>
      <c r="G1129">
        <v>231</v>
      </c>
      <c r="H1129">
        <v>52090.879999999997</v>
      </c>
      <c r="I1129">
        <v>50763.21</v>
      </c>
      <c r="J1129">
        <v>5</v>
      </c>
      <c r="K1129" s="14" t="s">
        <v>15</v>
      </c>
      <c r="L1129" s="14">
        <f>IF(OR(Table1[[#This Row],[Order_Status]]="Delivered",Table1[[#This Row],[Delivery_Date]]&lt;&gt;"Not Yet Delivered"),Table1[[#This Row],[Delivery_Date]]-Table1[[#This Row],[Order_Date]],"Not Applicable")</f>
        <v>7</v>
      </c>
      <c r="M1129" s="14">
        <f>Table1[[#This Row],[Unit_Cost]]-Table1[[#This Row],[Negotiated_Cost]]</f>
        <v>1327.6699999999983</v>
      </c>
      <c r="N1129" s="18">
        <f>Table1[[#This Row],[Defective_Units]]/Table1[[#This Row],[Quantity]]</f>
        <v>2.1645021645021644E-2</v>
      </c>
      <c r="O1129" s="26">
        <f>(Table1[[#This Row],[Unit_Cost]]-Table1[[#This Row],[Negotiated_Cost]])/Table1[[#This Row],[Unit_Cost]]</f>
        <v>2.5487570952919175E-2</v>
      </c>
    </row>
    <row r="1130" spans="1:15" x14ac:dyDescent="0.25">
      <c r="A1130" t="s">
        <v>1165</v>
      </c>
      <c r="B1130" t="s">
        <v>46</v>
      </c>
      <c r="C1130" s="14" t="s">
        <v>48</v>
      </c>
      <c r="D1130" s="1">
        <v>45127</v>
      </c>
      <c r="E1130" s="13">
        <v>45137</v>
      </c>
      <c r="F1130" s="14" t="s">
        <v>37</v>
      </c>
      <c r="G1130">
        <v>63</v>
      </c>
      <c r="H1130">
        <v>6162.33</v>
      </c>
      <c r="I1130">
        <v>6151.55</v>
      </c>
      <c r="J1130">
        <v>1</v>
      </c>
      <c r="K1130" s="14" t="s">
        <v>15</v>
      </c>
      <c r="L1130" s="14">
        <f>IF(OR(Table1[[#This Row],[Order_Status]]="Delivered",Table1[[#This Row],[Delivery_Date]]&lt;&gt;"Not Yet Delivered"),Table1[[#This Row],[Delivery_Date]]-Table1[[#This Row],[Order_Date]],"Not Applicable")</f>
        <v>10</v>
      </c>
      <c r="M1130" s="14">
        <f>Table1[[#This Row],[Unit_Cost]]-Table1[[#This Row],[Negotiated_Cost]]</f>
        <v>10.779999999999745</v>
      </c>
      <c r="N1130" s="18">
        <f>Table1[[#This Row],[Defective_Units]]/Table1[[#This Row],[Quantity]]</f>
        <v>1.5873015873015872E-2</v>
      </c>
      <c r="O1130" s="26">
        <f>(Table1[[#This Row],[Unit_Cost]]-Table1[[#This Row],[Negotiated_Cost]])/Table1[[#This Row],[Unit_Cost]]</f>
        <v>1.7493383184606708E-3</v>
      </c>
    </row>
    <row r="1131" spans="1:15" x14ac:dyDescent="0.25">
      <c r="A1131" t="s">
        <v>1166</v>
      </c>
      <c r="B1131" t="s">
        <v>12</v>
      </c>
      <c r="C1131" s="14" t="s">
        <v>36</v>
      </c>
      <c r="D1131" s="1">
        <v>45281</v>
      </c>
      <c r="E1131" s="13">
        <v>45307</v>
      </c>
      <c r="F1131" s="14" t="s">
        <v>14</v>
      </c>
      <c r="G1131">
        <v>76</v>
      </c>
      <c r="H1131">
        <v>595.94000000000005</v>
      </c>
      <c r="I1131">
        <v>572.29999999999995</v>
      </c>
      <c r="J1131">
        <v>1</v>
      </c>
      <c r="K1131" s="14" t="s">
        <v>15</v>
      </c>
      <c r="L1131" s="14">
        <f>IF(OR(Table1[[#This Row],[Order_Status]]="Delivered",Table1[[#This Row],[Delivery_Date]]&lt;&gt;"Not Yet Delivered"),Table1[[#This Row],[Delivery_Date]]-Table1[[#This Row],[Order_Date]],"Not Applicable")</f>
        <v>26</v>
      </c>
      <c r="M1131" s="14">
        <f>Table1[[#This Row],[Unit_Cost]]-Table1[[#This Row],[Negotiated_Cost]]</f>
        <v>23.6400000000001</v>
      </c>
      <c r="N1131" s="18">
        <f>Table1[[#This Row],[Defective_Units]]/Table1[[#This Row],[Quantity]]</f>
        <v>1.3157894736842105E-2</v>
      </c>
      <c r="O1131" s="26">
        <f>(Table1[[#This Row],[Unit_Cost]]-Table1[[#This Row],[Negotiated_Cost]])/Table1[[#This Row],[Unit_Cost]]</f>
        <v>3.9668422995603747E-2</v>
      </c>
    </row>
    <row r="1132" spans="1:15" x14ac:dyDescent="0.25">
      <c r="A1132" t="s">
        <v>1167</v>
      </c>
      <c r="B1132" t="s">
        <v>12</v>
      </c>
      <c r="C1132" s="14" t="s">
        <v>13</v>
      </c>
      <c r="D1132" s="1">
        <v>45434</v>
      </c>
      <c r="E1132" s="13">
        <v>45444</v>
      </c>
      <c r="F1132" s="14" t="s">
        <v>14</v>
      </c>
      <c r="G1132">
        <v>383</v>
      </c>
      <c r="H1132">
        <v>4201.79</v>
      </c>
      <c r="I1132">
        <v>4178.09</v>
      </c>
      <c r="J1132">
        <v>7</v>
      </c>
      <c r="K1132" s="14" t="s">
        <v>15</v>
      </c>
      <c r="L1132" s="14">
        <f>IF(OR(Table1[[#This Row],[Order_Status]]="Delivered",Table1[[#This Row],[Delivery_Date]]&lt;&gt;"Not Yet Delivered"),Table1[[#This Row],[Delivery_Date]]-Table1[[#This Row],[Order_Date]],"Not Applicable")</f>
        <v>10</v>
      </c>
      <c r="M1132" s="14">
        <f>Table1[[#This Row],[Unit_Cost]]-Table1[[#This Row],[Negotiated_Cost]]</f>
        <v>23.699999999999818</v>
      </c>
      <c r="N1132" s="18">
        <f>Table1[[#This Row],[Defective_Units]]/Table1[[#This Row],[Quantity]]</f>
        <v>1.8276762402088774E-2</v>
      </c>
      <c r="O1132" s="26">
        <f>(Table1[[#This Row],[Unit_Cost]]-Table1[[#This Row],[Negotiated_Cost]])/Table1[[#This Row],[Unit_Cost]]</f>
        <v>5.6404532354067715E-3</v>
      </c>
    </row>
    <row r="1133" spans="1:15" x14ac:dyDescent="0.25">
      <c r="A1133" t="s">
        <v>1168</v>
      </c>
      <c r="B1133" t="s">
        <v>46</v>
      </c>
      <c r="C1133" s="14" t="s">
        <v>30</v>
      </c>
      <c r="D1133" s="1">
        <v>44953</v>
      </c>
      <c r="E1133" s="13">
        <v>44963</v>
      </c>
      <c r="F1133" s="14" t="s">
        <v>37</v>
      </c>
      <c r="G1133">
        <v>460</v>
      </c>
      <c r="H1133">
        <v>891.23</v>
      </c>
      <c r="I1133">
        <v>838.83</v>
      </c>
      <c r="J1133">
        <v>2</v>
      </c>
      <c r="K1133" s="14" t="s">
        <v>15</v>
      </c>
      <c r="L1133" s="14">
        <f>IF(OR(Table1[[#This Row],[Order_Status]]="Delivered",Table1[[#This Row],[Delivery_Date]]&lt;&gt;"Not Yet Delivered"),Table1[[#This Row],[Delivery_Date]]-Table1[[#This Row],[Order_Date]],"Not Applicable")</f>
        <v>10</v>
      </c>
      <c r="M1133" s="14">
        <f>Table1[[#This Row],[Unit_Cost]]-Table1[[#This Row],[Negotiated_Cost]]</f>
        <v>52.399999999999977</v>
      </c>
      <c r="N1133" s="18">
        <f>Table1[[#This Row],[Defective_Units]]/Table1[[#This Row],[Quantity]]</f>
        <v>4.3478260869565218E-3</v>
      </c>
      <c r="O1133" s="26">
        <f>(Table1[[#This Row],[Unit_Cost]]-Table1[[#This Row],[Negotiated_Cost]])/Table1[[#This Row],[Unit_Cost]]</f>
        <v>5.8795148278222208E-2</v>
      </c>
    </row>
    <row r="1134" spans="1:15" x14ac:dyDescent="0.25">
      <c r="A1134" t="s">
        <v>1169</v>
      </c>
      <c r="B1134" t="s">
        <v>32</v>
      </c>
      <c r="C1134" s="14" t="s">
        <v>30</v>
      </c>
      <c r="D1134" s="1">
        <v>45242</v>
      </c>
      <c r="E1134" s="14" t="s">
        <v>2057</v>
      </c>
      <c r="F1134" s="14" t="s">
        <v>33</v>
      </c>
      <c r="G1134">
        <v>5</v>
      </c>
      <c r="H1134">
        <v>871.13</v>
      </c>
      <c r="I1134">
        <v>835.98</v>
      </c>
      <c r="J1134">
        <v>2</v>
      </c>
      <c r="K1134" s="14" t="s">
        <v>15</v>
      </c>
      <c r="L1134" s="14" t="str">
        <f>IF(OR(Table1[[#This Row],[Order_Status]]="Delivered",Table1[[#This Row],[Delivery_Date]]&lt;&gt;"Not Yet Delivered"),Table1[[#This Row],[Delivery_Date]]-Table1[[#This Row],[Order_Date]],"Not Applicable")</f>
        <v>Not Applicable</v>
      </c>
      <c r="M1134" s="14">
        <f>Table1[[#This Row],[Unit_Cost]]-Table1[[#This Row],[Negotiated_Cost]]</f>
        <v>35.149999999999977</v>
      </c>
      <c r="N1134" s="18">
        <f>Table1[[#This Row],[Defective_Units]]/Table1[[#This Row],[Quantity]]</f>
        <v>0.4</v>
      </c>
      <c r="O1134" s="26">
        <f>(Table1[[#This Row],[Unit_Cost]]-Table1[[#This Row],[Negotiated_Cost]])/Table1[[#This Row],[Unit_Cost]]</f>
        <v>4.0349890372275064E-2</v>
      </c>
    </row>
    <row r="1135" spans="1:15" x14ac:dyDescent="0.25">
      <c r="A1135" t="s">
        <v>1170</v>
      </c>
      <c r="B1135" t="s">
        <v>12</v>
      </c>
      <c r="C1135" s="14" t="s">
        <v>18</v>
      </c>
      <c r="D1135" s="1">
        <v>45552</v>
      </c>
      <c r="E1135" s="13">
        <v>45556</v>
      </c>
      <c r="F1135" s="14" t="s">
        <v>37</v>
      </c>
      <c r="G1135">
        <v>466</v>
      </c>
      <c r="H1135">
        <v>5332.47</v>
      </c>
      <c r="I1135">
        <v>5149.84</v>
      </c>
      <c r="J1135">
        <v>12</v>
      </c>
      <c r="K1135" s="14" t="s">
        <v>15</v>
      </c>
      <c r="L1135" s="14">
        <f>IF(OR(Table1[[#This Row],[Order_Status]]="Delivered",Table1[[#This Row],[Delivery_Date]]&lt;&gt;"Not Yet Delivered"),Table1[[#This Row],[Delivery_Date]]-Table1[[#This Row],[Order_Date]],"Not Applicable")</f>
        <v>4</v>
      </c>
      <c r="M1135" s="14">
        <f>Table1[[#This Row],[Unit_Cost]]-Table1[[#This Row],[Negotiated_Cost]]</f>
        <v>182.63000000000011</v>
      </c>
      <c r="N1135" s="18">
        <f>Table1[[#This Row],[Defective_Units]]/Table1[[#This Row],[Quantity]]</f>
        <v>2.575107296137339E-2</v>
      </c>
      <c r="O1135" s="26">
        <f>(Table1[[#This Row],[Unit_Cost]]-Table1[[#This Row],[Negotiated_Cost]])/Table1[[#This Row],[Unit_Cost]]</f>
        <v>3.4248669003294929E-2</v>
      </c>
    </row>
    <row r="1136" spans="1:15" x14ac:dyDescent="0.25">
      <c r="A1136" t="s">
        <v>1171</v>
      </c>
      <c r="B1136" t="s">
        <v>35</v>
      </c>
      <c r="C1136" s="14" t="s">
        <v>30</v>
      </c>
      <c r="D1136" s="1">
        <v>45068</v>
      </c>
      <c r="E1136" s="14" t="s">
        <v>2057</v>
      </c>
      <c r="F1136" s="14" t="s">
        <v>33</v>
      </c>
      <c r="G1136">
        <v>214</v>
      </c>
      <c r="H1136">
        <v>873.2</v>
      </c>
      <c r="I1136">
        <v>861.53</v>
      </c>
      <c r="J1136">
        <v>2</v>
      </c>
      <c r="K1136" s="14" t="s">
        <v>15</v>
      </c>
      <c r="L1136" s="14" t="str">
        <f>IF(OR(Table1[[#This Row],[Order_Status]]="Delivered",Table1[[#This Row],[Delivery_Date]]&lt;&gt;"Not Yet Delivered"),Table1[[#This Row],[Delivery_Date]]-Table1[[#This Row],[Order_Date]],"Not Applicable")</f>
        <v>Not Applicable</v>
      </c>
      <c r="M1136" s="14">
        <f>Table1[[#This Row],[Unit_Cost]]-Table1[[#This Row],[Negotiated_Cost]]</f>
        <v>11.670000000000073</v>
      </c>
      <c r="N1136" s="18">
        <f>Table1[[#This Row],[Defective_Units]]/Table1[[#This Row],[Quantity]]</f>
        <v>9.3457943925233638E-3</v>
      </c>
      <c r="O1136" s="26">
        <f>(Table1[[#This Row],[Unit_Cost]]-Table1[[#This Row],[Negotiated_Cost]])/Table1[[#This Row],[Unit_Cost]]</f>
        <v>1.3364635822263023E-2</v>
      </c>
    </row>
    <row r="1137" spans="1:15" x14ac:dyDescent="0.25">
      <c r="A1137" t="s">
        <v>1172</v>
      </c>
      <c r="B1137" t="s">
        <v>17</v>
      </c>
      <c r="C1137" s="14" t="s">
        <v>48</v>
      </c>
      <c r="D1137" s="1">
        <v>45016</v>
      </c>
      <c r="E1137" s="13">
        <v>45046</v>
      </c>
      <c r="F1137" s="14" t="s">
        <v>37</v>
      </c>
      <c r="G1137">
        <v>264</v>
      </c>
      <c r="H1137">
        <v>5944.8</v>
      </c>
      <c r="I1137">
        <v>5819.48</v>
      </c>
      <c r="J1137">
        <v>2</v>
      </c>
      <c r="K1137" s="14" t="s">
        <v>15</v>
      </c>
      <c r="L1137" s="14">
        <f>IF(OR(Table1[[#This Row],[Order_Status]]="Delivered",Table1[[#This Row],[Delivery_Date]]&lt;&gt;"Not Yet Delivered"),Table1[[#This Row],[Delivery_Date]]-Table1[[#This Row],[Order_Date]],"Not Applicable")</f>
        <v>30</v>
      </c>
      <c r="M1137" s="14">
        <f>Table1[[#This Row],[Unit_Cost]]-Table1[[#This Row],[Negotiated_Cost]]</f>
        <v>125.32000000000062</v>
      </c>
      <c r="N1137" s="18">
        <f>Table1[[#This Row],[Defective_Units]]/Table1[[#This Row],[Quantity]]</f>
        <v>7.575757575757576E-3</v>
      </c>
      <c r="O1137" s="26">
        <f>(Table1[[#This Row],[Unit_Cost]]-Table1[[#This Row],[Negotiated_Cost]])/Table1[[#This Row],[Unit_Cost]]</f>
        <v>2.1080608262683456E-2</v>
      </c>
    </row>
    <row r="1138" spans="1:15" x14ac:dyDescent="0.25">
      <c r="A1138" t="s">
        <v>1173</v>
      </c>
      <c r="B1138" t="s">
        <v>17</v>
      </c>
      <c r="C1138" s="14" t="s">
        <v>30</v>
      </c>
      <c r="D1138" s="1">
        <v>45456</v>
      </c>
      <c r="E1138" s="13">
        <v>45473</v>
      </c>
      <c r="F1138" s="14" t="s">
        <v>14</v>
      </c>
      <c r="G1138">
        <v>446</v>
      </c>
      <c r="H1138">
        <v>849.72</v>
      </c>
      <c r="J1138">
        <v>3</v>
      </c>
      <c r="K1138" s="14" t="s">
        <v>15</v>
      </c>
      <c r="L1138" s="14">
        <f>IF(OR(Table1[[#This Row],[Order_Status]]="Delivered",Table1[[#This Row],[Delivery_Date]]&lt;&gt;"Not Yet Delivered"),Table1[[#This Row],[Delivery_Date]]-Table1[[#This Row],[Order_Date]],"Not Applicable")</f>
        <v>17</v>
      </c>
      <c r="M1138" s="14">
        <f>Table1[[#This Row],[Unit_Cost]]-Table1[[#This Row],[Negotiated_Cost]]</f>
        <v>849.72</v>
      </c>
      <c r="N1138" s="18">
        <f>Table1[[#This Row],[Defective_Units]]/Table1[[#This Row],[Quantity]]</f>
        <v>6.7264573991031393E-3</v>
      </c>
      <c r="O1138" s="26">
        <f>(Table1[[#This Row],[Unit_Cost]]-Table1[[#This Row],[Negotiated_Cost]])/Table1[[#This Row],[Unit_Cost]]</f>
        <v>1</v>
      </c>
    </row>
    <row r="1139" spans="1:15" x14ac:dyDescent="0.25">
      <c r="A1139" t="s">
        <v>1174</v>
      </c>
      <c r="B1139" t="s">
        <v>46</v>
      </c>
      <c r="C1139" s="14" t="s">
        <v>55</v>
      </c>
      <c r="D1139" s="1">
        <v>45538</v>
      </c>
      <c r="E1139" s="13">
        <v>45548</v>
      </c>
      <c r="F1139" s="14" t="s">
        <v>37</v>
      </c>
      <c r="G1139">
        <v>242</v>
      </c>
      <c r="H1139">
        <v>13761.18</v>
      </c>
      <c r="I1139">
        <v>13587.16</v>
      </c>
      <c r="J1139">
        <v>6</v>
      </c>
      <c r="K1139" s="14" t="s">
        <v>25</v>
      </c>
      <c r="L1139" s="14">
        <f>IF(OR(Table1[[#This Row],[Order_Status]]="Delivered",Table1[[#This Row],[Delivery_Date]]&lt;&gt;"Not Yet Delivered"),Table1[[#This Row],[Delivery_Date]]-Table1[[#This Row],[Order_Date]],"Not Applicable")</f>
        <v>10</v>
      </c>
      <c r="M1139" s="14">
        <f>Table1[[#This Row],[Unit_Cost]]-Table1[[#This Row],[Negotiated_Cost]]</f>
        <v>174.02000000000044</v>
      </c>
      <c r="N1139" s="18">
        <f>Table1[[#This Row],[Defective_Units]]/Table1[[#This Row],[Quantity]]</f>
        <v>2.4793388429752067E-2</v>
      </c>
      <c r="O1139" s="26">
        <f>(Table1[[#This Row],[Unit_Cost]]-Table1[[#This Row],[Negotiated_Cost]])/Table1[[#This Row],[Unit_Cost]]</f>
        <v>1.264571788175145E-2</v>
      </c>
    </row>
    <row r="1140" spans="1:15" x14ac:dyDescent="0.25">
      <c r="A1140" t="s">
        <v>1175</v>
      </c>
      <c r="B1140" t="s">
        <v>27</v>
      </c>
      <c r="C1140" s="14" t="s">
        <v>30</v>
      </c>
      <c r="D1140" s="1">
        <v>45427</v>
      </c>
      <c r="E1140" s="13">
        <v>45445</v>
      </c>
      <c r="F1140" s="14" t="s">
        <v>14</v>
      </c>
      <c r="G1140">
        <v>67</v>
      </c>
      <c r="H1140">
        <v>875.63</v>
      </c>
      <c r="I1140">
        <v>844.47</v>
      </c>
      <c r="J1140">
        <v>0</v>
      </c>
      <c r="K1140" s="14" t="s">
        <v>15</v>
      </c>
      <c r="L1140" s="14">
        <f>IF(OR(Table1[[#This Row],[Order_Status]]="Delivered",Table1[[#This Row],[Delivery_Date]]&lt;&gt;"Not Yet Delivered"),Table1[[#This Row],[Delivery_Date]]-Table1[[#This Row],[Order_Date]],"Not Applicable")</f>
        <v>18</v>
      </c>
      <c r="M1140" s="14">
        <f>Table1[[#This Row],[Unit_Cost]]-Table1[[#This Row],[Negotiated_Cost]]</f>
        <v>31.159999999999968</v>
      </c>
      <c r="N1140" s="18">
        <f>Table1[[#This Row],[Defective_Units]]/Table1[[#This Row],[Quantity]]</f>
        <v>0</v>
      </c>
      <c r="O1140" s="26">
        <f>(Table1[[#This Row],[Unit_Cost]]-Table1[[#This Row],[Negotiated_Cost]])/Table1[[#This Row],[Unit_Cost]]</f>
        <v>3.5585806790539347E-2</v>
      </c>
    </row>
    <row r="1141" spans="1:15" x14ac:dyDescent="0.25">
      <c r="A1141" t="s">
        <v>1176</v>
      </c>
      <c r="B1141" t="s">
        <v>32</v>
      </c>
      <c r="C1141" s="14" t="s">
        <v>48</v>
      </c>
      <c r="D1141" s="1">
        <v>45592</v>
      </c>
      <c r="E1141" s="13">
        <v>45608</v>
      </c>
      <c r="F1141" s="14" t="s">
        <v>14</v>
      </c>
      <c r="G1141">
        <v>249</v>
      </c>
      <c r="H1141">
        <v>6149.28</v>
      </c>
      <c r="I1141">
        <v>6089.69</v>
      </c>
      <c r="J1141">
        <v>1</v>
      </c>
      <c r="K1141" s="14" t="s">
        <v>15</v>
      </c>
      <c r="L1141" s="14">
        <f>IF(OR(Table1[[#This Row],[Order_Status]]="Delivered",Table1[[#This Row],[Delivery_Date]]&lt;&gt;"Not Yet Delivered"),Table1[[#This Row],[Delivery_Date]]-Table1[[#This Row],[Order_Date]],"Not Applicable")</f>
        <v>16</v>
      </c>
      <c r="M1141" s="14">
        <f>Table1[[#This Row],[Unit_Cost]]-Table1[[#This Row],[Negotiated_Cost]]</f>
        <v>59.590000000000146</v>
      </c>
      <c r="N1141" s="18">
        <f>Table1[[#This Row],[Defective_Units]]/Table1[[#This Row],[Quantity]]</f>
        <v>4.0160642570281121E-3</v>
      </c>
      <c r="O1141" s="26">
        <f>(Table1[[#This Row],[Unit_Cost]]-Table1[[#This Row],[Negotiated_Cost]])/Table1[[#This Row],[Unit_Cost]]</f>
        <v>9.6905653995264726E-3</v>
      </c>
    </row>
    <row r="1142" spans="1:15" x14ac:dyDescent="0.25">
      <c r="A1142" t="s">
        <v>1177</v>
      </c>
      <c r="B1142" t="s">
        <v>46</v>
      </c>
      <c r="C1142" s="14" t="s">
        <v>55</v>
      </c>
      <c r="D1142" s="1">
        <v>45431</v>
      </c>
      <c r="E1142" s="13">
        <v>45458</v>
      </c>
      <c r="F1142" s="14" t="s">
        <v>14</v>
      </c>
      <c r="G1142">
        <v>421</v>
      </c>
      <c r="H1142">
        <v>14457.62</v>
      </c>
      <c r="I1142">
        <v>14167.46</v>
      </c>
      <c r="J1142">
        <v>0</v>
      </c>
      <c r="K1142" s="14" t="s">
        <v>15</v>
      </c>
      <c r="L1142" s="14">
        <f>IF(OR(Table1[[#This Row],[Order_Status]]="Delivered",Table1[[#This Row],[Delivery_Date]]&lt;&gt;"Not Yet Delivered"),Table1[[#This Row],[Delivery_Date]]-Table1[[#This Row],[Order_Date]],"Not Applicable")</f>
        <v>27</v>
      </c>
      <c r="M1142" s="14">
        <f>Table1[[#This Row],[Unit_Cost]]-Table1[[#This Row],[Negotiated_Cost]]</f>
        <v>290.16000000000167</v>
      </c>
      <c r="N1142" s="18">
        <f>Table1[[#This Row],[Defective_Units]]/Table1[[#This Row],[Quantity]]</f>
        <v>0</v>
      </c>
      <c r="O1142" s="26">
        <f>(Table1[[#This Row],[Unit_Cost]]-Table1[[#This Row],[Negotiated_Cost]])/Table1[[#This Row],[Unit_Cost]]</f>
        <v>2.0069693352017942E-2</v>
      </c>
    </row>
    <row r="1143" spans="1:15" x14ac:dyDescent="0.25">
      <c r="A1143" t="s">
        <v>1178</v>
      </c>
      <c r="B1143" t="s">
        <v>17</v>
      </c>
      <c r="C1143" s="14" t="s">
        <v>18</v>
      </c>
      <c r="D1143" s="1">
        <v>45456</v>
      </c>
      <c r="E1143" s="13">
        <v>45459</v>
      </c>
      <c r="F1143" s="14" t="s">
        <v>14</v>
      </c>
      <c r="G1143">
        <v>317</v>
      </c>
      <c r="H1143">
        <v>4749.2</v>
      </c>
      <c r="I1143">
        <v>4524.05</v>
      </c>
      <c r="J1143">
        <v>3</v>
      </c>
      <c r="K1143" s="14" t="s">
        <v>15</v>
      </c>
      <c r="L1143" s="14">
        <f>IF(OR(Table1[[#This Row],[Order_Status]]="Delivered",Table1[[#This Row],[Delivery_Date]]&lt;&gt;"Not Yet Delivered"),Table1[[#This Row],[Delivery_Date]]-Table1[[#This Row],[Order_Date]],"Not Applicable")</f>
        <v>3</v>
      </c>
      <c r="M1143" s="14">
        <f>Table1[[#This Row],[Unit_Cost]]-Table1[[#This Row],[Negotiated_Cost]]</f>
        <v>225.14999999999964</v>
      </c>
      <c r="N1143" s="18">
        <f>Table1[[#This Row],[Defective_Units]]/Table1[[#This Row],[Quantity]]</f>
        <v>9.4637223974763408E-3</v>
      </c>
      <c r="O1143" s="26">
        <f>(Table1[[#This Row],[Unit_Cost]]-Table1[[#This Row],[Negotiated_Cost]])/Table1[[#This Row],[Unit_Cost]]</f>
        <v>4.7407984502653003E-2</v>
      </c>
    </row>
    <row r="1144" spans="1:15" x14ac:dyDescent="0.25">
      <c r="A1144" t="s">
        <v>1179</v>
      </c>
      <c r="B1144" t="s">
        <v>27</v>
      </c>
      <c r="C1144" s="14" t="s">
        <v>18</v>
      </c>
      <c r="D1144" s="1">
        <v>45084</v>
      </c>
      <c r="E1144" s="14" t="s">
        <v>2057</v>
      </c>
      <c r="F1144" s="14" t="s">
        <v>33</v>
      </c>
      <c r="G1144">
        <v>469</v>
      </c>
      <c r="H1144">
        <v>5509.12</v>
      </c>
      <c r="I1144">
        <v>5364.56</v>
      </c>
      <c r="J1144">
        <v>2</v>
      </c>
      <c r="K1144" s="14" t="s">
        <v>15</v>
      </c>
      <c r="L1144" s="14" t="str">
        <f>IF(OR(Table1[[#This Row],[Order_Status]]="Delivered",Table1[[#This Row],[Delivery_Date]]&lt;&gt;"Not Yet Delivered"),Table1[[#This Row],[Delivery_Date]]-Table1[[#This Row],[Order_Date]],"Not Applicable")</f>
        <v>Not Applicable</v>
      </c>
      <c r="M1144" s="14">
        <f>Table1[[#This Row],[Unit_Cost]]-Table1[[#This Row],[Negotiated_Cost]]</f>
        <v>144.55999999999949</v>
      </c>
      <c r="N1144" s="18">
        <f>Table1[[#This Row],[Defective_Units]]/Table1[[#This Row],[Quantity]]</f>
        <v>4.2643923240938165E-3</v>
      </c>
      <c r="O1144" s="26">
        <f>(Table1[[#This Row],[Unit_Cost]]-Table1[[#This Row],[Negotiated_Cost]])/Table1[[#This Row],[Unit_Cost]]</f>
        <v>2.6240125464683923E-2</v>
      </c>
    </row>
    <row r="1145" spans="1:15" x14ac:dyDescent="0.25">
      <c r="A1145" t="s">
        <v>1180</v>
      </c>
      <c r="B1145" t="s">
        <v>40</v>
      </c>
      <c r="C1145" s="14" t="s">
        <v>44</v>
      </c>
      <c r="D1145" s="1">
        <v>44989</v>
      </c>
      <c r="E1145" s="14" t="s">
        <v>2057</v>
      </c>
      <c r="F1145" s="14" t="s">
        <v>22</v>
      </c>
      <c r="G1145">
        <v>52</v>
      </c>
      <c r="H1145">
        <v>8955.19</v>
      </c>
      <c r="I1145">
        <v>8803.16</v>
      </c>
      <c r="J1145">
        <v>2</v>
      </c>
      <c r="K1145" s="14" t="s">
        <v>15</v>
      </c>
      <c r="L1145" s="14" t="str">
        <f>IF(OR(Table1[[#This Row],[Order_Status]]="Delivered",Table1[[#This Row],[Delivery_Date]]&lt;&gt;"Not Yet Delivered"),Table1[[#This Row],[Delivery_Date]]-Table1[[#This Row],[Order_Date]],"Not Applicable")</f>
        <v>Not Applicable</v>
      </c>
      <c r="M1145" s="14">
        <f>Table1[[#This Row],[Unit_Cost]]-Table1[[#This Row],[Negotiated_Cost]]</f>
        <v>152.03000000000065</v>
      </c>
      <c r="N1145" s="18">
        <f>Table1[[#This Row],[Defective_Units]]/Table1[[#This Row],[Quantity]]</f>
        <v>3.8461538461538464E-2</v>
      </c>
      <c r="O1145" s="26">
        <f>(Table1[[#This Row],[Unit_Cost]]-Table1[[#This Row],[Negotiated_Cost]])/Table1[[#This Row],[Unit_Cost]]</f>
        <v>1.6976747562028348E-2</v>
      </c>
    </row>
    <row r="1146" spans="1:15" x14ac:dyDescent="0.25">
      <c r="A1146" t="s">
        <v>1181</v>
      </c>
      <c r="B1146" t="s">
        <v>35</v>
      </c>
      <c r="C1146" s="14" t="s">
        <v>28</v>
      </c>
      <c r="D1146" s="1">
        <v>45618</v>
      </c>
      <c r="E1146" s="13">
        <v>45645</v>
      </c>
      <c r="F1146" s="14" t="s">
        <v>37</v>
      </c>
      <c r="G1146">
        <v>276</v>
      </c>
      <c r="H1146">
        <v>50701</v>
      </c>
      <c r="I1146">
        <v>49402.879999999997</v>
      </c>
      <c r="J1146">
        <v>0</v>
      </c>
      <c r="K1146" s="14" t="s">
        <v>15</v>
      </c>
      <c r="L1146" s="14">
        <f>IF(OR(Table1[[#This Row],[Order_Status]]="Delivered",Table1[[#This Row],[Delivery_Date]]&lt;&gt;"Not Yet Delivered"),Table1[[#This Row],[Delivery_Date]]-Table1[[#This Row],[Order_Date]],"Not Applicable")</f>
        <v>27</v>
      </c>
      <c r="M1146" s="14">
        <f>Table1[[#This Row],[Unit_Cost]]-Table1[[#This Row],[Negotiated_Cost]]</f>
        <v>1298.1200000000026</v>
      </c>
      <c r="N1146" s="18">
        <f>Table1[[#This Row],[Defective_Units]]/Table1[[#This Row],[Quantity]]</f>
        <v>0</v>
      </c>
      <c r="O1146" s="26">
        <f>(Table1[[#This Row],[Unit_Cost]]-Table1[[#This Row],[Negotiated_Cost]])/Table1[[#This Row],[Unit_Cost]]</f>
        <v>2.5603439774363475E-2</v>
      </c>
    </row>
    <row r="1147" spans="1:15" x14ac:dyDescent="0.25">
      <c r="A1147" t="s">
        <v>1182</v>
      </c>
      <c r="B1147" t="s">
        <v>12</v>
      </c>
      <c r="C1147" s="14" t="s">
        <v>24</v>
      </c>
      <c r="D1147" s="1">
        <v>45171</v>
      </c>
      <c r="E1147" s="14" t="s">
        <v>2057</v>
      </c>
      <c r="F1147" s="14" t="s">
        <v>33</v>
      </c>
      <c r="G1147">
        <v>126</v>
      </c>
      <c r="H1147">
        <v>13782.32</v>
      </c>
      <c r="I1147">
        <v>13279.11</v>
      </c>
      <c r="J1147">
        <v>2</v>
      </c>
      <c r="K1147" s="14" t="s">
        <v>15</v>
      </c>
      <c r="L1147" s="14" t="str">
        <f>IF(OR(Table1[[#This Row],[Order_Status]]="Delivered",Table1[[#This Row],[Delivery_Date]]&lt;&gt;"Not Yet Delivered"),Table1[[#This Row],[Delivery_Date]]-Table1[[#This Row],[Order_Date]],"Not Applicable")</f>
        <v>Not Applicable</v>
      </c>
      <c r="M1147" s="14">
        <f>Table1[[#This Row],[Unit_Cost]]-Table1[[#This Row],[Negotiated_Cost]]</f>
        <v>503.20999999999913</v>
      </c>
      <c r="N1147" s="18">
        <f>Table1[[#This Row],[Defective_Units]]/Table1[[#This Row],[Quantity]]</f>
        <v>1.5873015873015872E-2</v>
      </c>
      <c r="O1147" s="26">
        <f>(Table1[[#This Row],[Unit_Cost]]-Table1[[#This Row],[Negotiated_Cost]])/Table1[[#This Row],[Unit_Cost]]</f>
        <v>3.651126951050325E-2</v>
      </c>
    </row>
    <row r="1148" spans="1:15" x14ac:dyDescent="0.25">
      <c r="A1148" t="s">
        <v>1183</v>
      </c>
      <c r="B1148" t="s">
        <v>35</v>
      </c>
      <c r="C1148" s="14" t="s">
        <v>30</v>
      </c>
      <c r="D1148" s="1">
        <v>44982</v>
      </c>
      <c r="E1148" s="13">
        <v>45002</v>
      </c>
      <c r="F1148" s="14" t="s">
        <v>14</v>
      </c>
      <c r="G1148">
        <v>283</v>
      </c>
      <c r="H1148">
        <v>944.08</v>
      </c>
      <c r="I1148">
        <v>892.93</v>
      </c>
      <c r="J1148">
        <v>0</v>
      </c>
      <c r="K1148" s="14" t="s">
        <v>25</v>
      </c>
      <c r="L1148" s="14">
        <f>IF(OR(Table1[[#This Row],[Order_Status]]="Delivered",Table1[[#This Row],[Delivery_Date]]&lt;&gt;"Not Yet Delivered"),Table1[[#This Row],[Delivery_Date]]-Table1[[#This Row],[Order_Date]],"Not Applicable")</f>
        <v>20</v>
      </c>
      <c r="M1148" s="14">
        <f>Table1[[#This Row],[Unit_Cost]]-Table1[[#This Row],[Negotiated_Cost]]</f>
        <v>51.150000000000091</v>
      </c>
      <c r="N1148" s="18">
        <f>Table1[[#This Row],[Defective_Units]]/Table1[[#This Row],[Quantity]]</f>
        <v>0</v>
      </c>
      <c r="O1148" s="26">
        <f>(Table1[[#This Row],[Unit_Cost]]-Table1[[#This Row],[Negotiated_Cost]])/Table1[[#This Row],[Unit_Cost]]</f>
        <v>5.4179730531310998E-2</v>
      </c>
    </row>
    <row r="1149" spans="1:15" x14ac:dyDescent="0.25">
      <c r="A1149" t="s">
        <v>1184</v>
      </c>
      <c r="B1149" t="s">
        <v>17</v>
      </c>
      <c r="C1149" s="14" t="s">
        <v>21</v>
      </c>
      <c r="D1149" s="1">
        <v>44941</v>
      </c>
      <c r="E1149" s="13">
        <v>44959</v>
      </c>
      <c r="F1149" s="14" t="s">
        <v>14</v>
      </c>
      <c r="G1149">
        <v>374</v>
      </c>
      <c r="H1149">
        <v>110.16</v>
      </c>
      <c r="I1149">
        <v>107.14</v>
      </c>
      <c r="J1149">
        <v>5</v>
      </c>
      <c r="K1149" s="14" t="s">
        <v>15</v>
      </c>
      <c r="L1149" s="14">
        <f>IF(OR(Table1[[#This Row],[Order_Status]]="Delivered",Table1[[#This Row],[Delivery_Date]]&lt;&gt;"Not Yet Delivered"),Table1[[#This Row],[Delivery_Date]]-Table1[[#This Row],[Order_Date]],"Not Applicable")</f>
        <v>18</v>
      </c>
      <c r="M1149" s="14">
        <f>Table1[[#This Row],[Unit_Cost]]-Table1[[#This Row],[Negotiated_Cost]]</f>
        <v>3.019999999999996</v>
      </c>
      <c r="N1149" s="18">
        <f>Table1[[#This Row],[Defective_Units]]/Table1[[#This Row],[Quantity]]</f>
        <v>1.3368983957219251E-2</v>
      </c>
      <c r="O1149" s="26">
        <f>(Table1[[#This Row],[Unit_Cost]]-Table1[[#This Row],[Negotiated_Cost]])/Table1[[#This Row],[Unit_Cost]]</f>
        <v>2.7414669571532282E-2</v>
      </c>
    </row>
    <row r="1150" spans="1:15" x14ac:dyDescent="0.25">
      <c r="A1150" t="s">
        <v>1185</v>
      </c>
      <c r="B1150" t="s">
        <v>27</v>
      </c>
      <c r="C1150" s="14" t="s">
        <v>21</v>
      </c>
      <c r="D1150" s="1">
        <v>45549</v>
      </c>
      <c r="E1150" s="13">
        <v>45562</v>
      </c>
      <c r="F1150" s="14" t="s">
        <v>14</v>
      </c>
      <c r="G1150">
        <v>5</v>
      </c>
      <c r="H1150">
        <v>127.32</v>
      </c>
      <c r="I1150">
        <v>126.51</v>
      </c>
      <c r="J1150">
        <v>0</v>
      </c>
      <c r="K1150" s="14" t="s">
        <v>25</v>
      </c>
      <c r="L1150" s="14">
        <f>IF(OR(Table1[[#This Row],[Order_Status]]="Delivered",Table1[[#This Row],[Delivery_Date]]&lt;&gt;"Not Yet Delivered"),Table1[[#This Row],[Delivery_Date]]-Table1[[#This Row],[Order_Date]],"Not Applicable")</f>
        <v>13</v>
      </c>
      <c r="M1150" s="14">
        <f>Table1[[#This Row],[Unit_Cost]]-Table1[[#This Row],[Negotiated_Cost]]</f>
        <v>0.80999999999998806</v>
      </c>
      <c r="N1150" s="18">
        <f>Table1[[#This Row],[Defective_Units]]/Table1[[#This Row],[Quantity]]</f>
        <v>0</v>
      </c>
      <c r="O1150" s="26">
        <f>(Table1[[#This Row],[Unit_Cost]]-Table1[[#This Row],[Negotiated_Cost]])/Table1[[#This Row],[Unit_Cost]]</f>
        <v>6.361922714420265E-3</v>
      </c>
    </row>
    <row r="1151" spans="1:15" x14ac:dyDescent="0.25">
      <c r="A1151" t="s">
        <v>1186</v>
      </c>
      <c r="B1151" t="s">
        <v>40</v>
      </c>
      <c r="C1151" s="14" t="s">
        <v>13</v>
      </c>
      <c r="D1151" s="1">
        <v>45656</v>
      </c>
      <c r="E1151" s="13">
        <v>45673</v>
      </c>
      <c r="F1151" s="14" t="s">
        <v>37</v>
      </c>
      <c r="G1151">
        <v>34</v>
      </c>
      <c r="H1151">
        <v>4601.26</v>
      </c>
      <c r="I1151">
        <v>4348.03</v>
      </c>
      <c r="J1151">
        <v>0</v>
      </c>
      <c r="K1151" s="14" t="s">
        <v>15</v>
      </c>
      <c r="L1151" s="14">
        <f>IF(OR(Table1[[#This Row],[Order_Status]]="Delivered",Table1[[#This Row],[Delivery_Date]]&lt;&gt;"Not Yet Delivered"),Table1[[#This Row],[Delivery_Date]]-Table1[[#This Row],[Order_Date]],"Not Applicable")</f>
        <v>17</v>
      </c>
      <c r="M1151" s="14">
        <f>Table1[[#This Row],[Unit_Cost]]-Table1[[#This Row],[Negotiated_Cost]]</f>
        <v>253.23000000000047</v>
      </c>
      <c r="N1151" s="18">
        <f>Table1[[#This Row],[Defective_Units]]/Table1[[#This Row],[Quantity]]</f>
        <v>0</v>
      </c>
      <c r="O1151" s="26">
        <f>(Table1[[#This Row],[Unit_Cost]]-Table1[[#This Row],[Negotiated_Cost]])/Table1[[#This Row],[Unit_Cost]]</f>
        <v>5.5034925216136552E-2</v>
      </c>
    </row>
    <row r="1152" spans="1:15" x14ac:dyDescent="0.25">
      <c r="A1152" t="s">
        <v>1187</v>
      </c>
      <c r="B1152" t="s">
        <v>46</v>
      </c>
      <c r="C1152" s="14" t="s">
        <v>30</v>
      </c>
      <c r="D1152" s="1">
        <v>45261</v>
      </c>
      <c r="E1152" s="13">
        <v>45290</v>
      </c>
      <c r="F1152" s="14" t="s">
        <v>14</v>
      </c>
      <c r="G1152">
        <v>316</v>
      </c>
      <c r="H1152">
        <v>872.92</v>
      </c>
      <c r="I1152">
        <v>834.68</v>
      </c>
      <c r="J1152">
        <v>7</v>
      </c>
      <c r="K1152" s="14" t="s">
        <v>15</v>
      </c>
      <c r="L1152" s="14">
        <f>IF(OR(Table1[[#This Row],[Order_Status]]="Delivered",Table1[[#This Row],[Delivery_Date]]&lt;&gt;"Not Yet Delivered"),Table1[[#This Row],[Delivery_Date]]-Table1[[#This Row],[Order_Date]],"Not Applicable")</f>
        <v>29</v>
      </c>
      <c r="M1152" s="14">
        <f>Table1[[#This Row],[Unit_Cost]]-Table1[[#This Row],[Negotiated_Cost]]</f>
        <v>38.240000000000009</v>
      </c>
      <c r="N1152" s="18">
        <f>Table1[[#This Row],[Defective_Units]]/Table1[[#This Row],[Quantity]]</f>
        <v>2.2151898734177215E-2</v>
      </c>
      <c r="O1152" s="26">
        <f>(Table1[[#This Row],[Unit_Cost]]-Table1[[#This Row],[Negotiated_Cost]])/Table1[[#This Row],[Unit_Cost]]</f>
        <v>4.380699262246255E-2</v>
      </c>
    </row>
    <row r="1153" spans="1:15" x14ac:dyDescent="0.25">
      <c r="A1153" t="s">
        <v>1188</v>
      </c>
      <c r="B1153" t="s">
        <v>12</v>
      </c>
      <c r="C1153" s="14" t="s">
        <v>44</v>
      </c>
      <c r="D1153" s="1">
        <v>45530</v>
      </c>
      <c r="E1153" s="13">
        <v>45560</v>
      </c>
      <c r="F1153" s="14" t="s">
        <v>37</v>
      </c>
      <c r="G1153">
        <v>380</v>
      </c>
      <c r="H1153">
        <v>8763.7900000000009</v>
      </c>
      <c r="I1153">
        <v>8628.02</v>
      </c>
      <c r="J1153">
        <v>11</v>
      </c>
      <c r="K1153" s="14" t="s">
        <v>15</v>
      </c>
      <c r="L1153" s="14">
        <f>IF(OR(Table1[[#This Row],[Order_Status]]="Delivered",Table1[[#This Row],[Delivery_Date]]&lt;&gt;"Not Yet Delivered"),Table1[[#This Row],[Delivery_Date]]-Table1[[#This Row],[Order_Date]],"Not Applicable")</f>
        <v>30</v>
      </c>
      <c r="M1153" s="14">
        <f>Table1[[#This Row],[Unit_Cost]]-Table1[[#This Row],[Negotiated_Cost]]</f>
        <v>135.77000000000044</v>
      </c>
      <c r="N1153" s="18">
        <f>Table1[[#This Row],[Defective_Units]]/Table1[[#This Row],[Quantity]]</f>
        <v>2.8947368421052631E-2</v>
      </c>
      <c r="O1153" s="26">
        <f>(Table1[[#This Row],[Unit_Cost]]-Table1[[#This Row],[Negotiated_Cost]])/Table1[[#This Row],[Unit_Cost]]</f>
        <v>1.5492155791044791E-2</v>
      </c>
    </row>
    <row r="1154" spans="1:15" x14ac:dyDescent="0.25">
      <c r="A1154" t="s">
        <v>1189</v>
      </c>
      <c r="B1154" t="s">
        <v>32</v>
      </c>
      <c r="C1154" s="14" t="s">
        <v>42</v>
      </c>
      <c r="D1154" s="1">
        <v>44992</v>
      </c>
      <c r="E1154" s="13">
        <v>45006</v>
      </c>
      <c r="F1154" s="14" t="s">
        <v>14</v>
      </c>
      <c r="G1154">
        <v>284</v>
      </c>
      <c r="H1154">
        <v>11029.12</v>
      </c>
      <c r="I1154">
        <v>10741.56</v>
      </c>
      <c r="J1154">
        <v>1</v>
      </c>
      <c r="K1154" s="14" t="s">
        <v>15</v>
      </c>
      <c r="L1154" s="14">
        <f>IF(OR(Table1[[#This Row],[Order_Status]]="Delivered",Table1[[#This Row],[Delivery_Date]]&lt;&gt;"Not Yet Delivered"),Table1[[#This Row],[Delivery_Date]]-Table1[[#This Row],[Order_Date]],"Not Applicable")</f>
        <v>14</v>
      </c>
      <c r="M1154" s="14">
        <f>Table1[[#This Row],[Unit_Cost]]-Table1[[#This Row],[Negotiated_Cost]]</f>
        <v>287.56000000000131</v>
      </c>
      <c r="N1154" s="18">
        <f>Table1[[#This Row],[Defective_Units]]/Table1[[#This Row],[Quantity]]</f>
        <v>3.5211267605633804E-3</v>
      </c>
      <c r="O1154" s="26">
        <f>(Table1[[#This Row],[Unit_Cost]]-Table1[[#This Row],[Negotiated_Cost]])/Table1[[#This Row],[Unit_Cost]]</f>
        <v>2.6072796379040329E-2</v>
      </c>
    </row>
    <row r="1155" spans="1:15" x14ac:dyDescent="0.25">
      <c r="A1155" t="s">
        <v>1190</v>
      </c>
      <c r="B1155" t="s">
        <v>17</v>
      </c>
      <c r="C1155" s="14" t="s">
        <v>44</v>
      </c>
      <c r="D1155" s="1">
        <v>44985</v>
      </c>
      <c r="E1155" s="13">
        <v>44993</v>
      </c>
      <c r="F1155" s="14" t="s">
        <v>14</v>
      </c>
      <c r="G1155">
        <v>390</v>
      </c>
      <c r="H1155">
        <v>8404.67</v>
      </c>
      <c r="I1155">
        <v>8278.65</v>
      </c>
      <c r="J1155">
        <v>6</v>
      </c>
      <c r="K1155" s="14" t="s">
        <v>25</v>
      </c>
      <c r="L1155" s="14">
        <f>IF(OR(Table1[[#This Row],[Order_Status]]="Delivered",Table1[[#This Row],[Delivery_Date]]&lt;&gt;"Not Yet Delivered"),Table1[[#This Row],[Delivery_Date]]-Table1[[#This Row],[Order_Date]],"Not Applicable")</f>
        <v>8</v>
      </c>
      <c r="M1155" s="14">
        <f>Table1[[#This Row],[Unit_Cost]]-Table1[[#This Row],[Negotiated_Cost]]</f>
        <v>126.02000000000044</v>
      </c>
      <c r="N1155" s="18">
        <f>Table1[[#This Row],[Defective_Units]]/Table1[[#This Row],[Quantity]]</f>
        <v>1.5384615384615385E-2</v>
      </c>
      <c r="O1155" s="26">
        <f>(Table1[[#This Row],[Unit_Cost]]-Table1[[#This Row],[Negotiated_Cost]])/Table1[[#This Row],[Unit_Cost]]</f>
        <v>1.4994044977375725E-2</v>
      </c>
    </row>
    <row r="1156" spans="1:15" x14ac:dyDescent="0.25">
      <c r="A1156" t="s">
        <v>1191</v>
      </c>
      <c r="B1156" t="s">
        <v>17</v>
      </c>
      <c r="C1156" s="14" t="s">
        <v>13</v>
      </c>
      <c r="D1156" s="1">
        <v>45349</v>
      </c>
      <c r="E1156" s="13">
        <v>45372</v>
      </c>
      <c r="F1156" s="14" t="s">
        <v>14</v>
      </c>
      <c r="G1156">
        <v>352</v>
      </c>
      <c r="H1156">
        <v>3919.06</v>
      </c>
      <c r="I1156">
        <v>3908.05</v>
      </c>
      <c r="J1156">
        <v>2</v>
      </c>
      <c r="K1156" s="14" t="s">
        <v>15</v>
      </c>
      <c r="L1156" s="14">
        <f>IF(OR(Table1[[#This Row],[Order_Status]]="Delivered",Table1[[#This Row],[Delivery_Date]]&lt;&gt;"Not Yet Delivered"),Table1[[#This Row],[Delivery_Date]]-Table1[[#This Row],[Order_Date]],"Not Applicable")</f>
        <v>23</v>
      </c>
      <c r="M1156" s="14">
        <f>Table1[[#This Row],[Unit_Cost]]-Table1[[#This Row],[Negotiated_Cost]]</f>
        <v>11.009999999999764</v>
      </c>
      <c r="N1156" s="18">
        <f>Table1[[#This Row],[Defective_Units]]/Table1[[#This Row],[Quantity]]</f>
        <v>5.681818181818182E-3</v>
      </c>
      <c r="O1156" s="26">
        <f>(Table1[[#This Row],[Unit_Cost]]-Table1[[#This Row],[Negotiated_Cost]])/Table1[[#This Row],[Unit_Cost]]</f>
        <v>2.8093471393649916E-3</v>
      </c>
    </row>
    <row r="1157" spans="1:15" x14ac:dyDescent="0.25">
      <c r="A1157" t="s">
        <v>1192</v>
      </c>
      <c r="B1157" t="s">
        <v>20</v>
      </c>
      <c r="C1157" s="14" t="s">
        <v>13</v>
      </c>
      <c r="D1157" s="1">
        <v>45345</v>
      </c>
      <c r="E1157" s="13">
        <v>45352</v>
      </c>
      <c r="F1157" s="14" t="s">
        <v>14</v>
      </c>
      <c r="G1157">
        <v>354</v>
      </c>
      <c r="H1157">
        <v>4248.7</v>
      </c>
      <c r="I1157">
        <v>4117.43</v>
      </c>
      <c r="J1157">
        <v>9</v>
      </c>
      <c r="K1157" s="14" t="s">
        <v>25</v>
      </c>
      <c r="L1157" s="14">
        <f>IF(OR(Table1[[#This Row],[Order_Status]]="Delivered",Table1[[#This Row],[Delivery_Date]]&lt;&gt;"Not Yet Delivered"),Table1[[#This Row],[Delivery_Date]]-Table1[[#This Row],[Order_Date]],"Not Applicable")</f>
        <v>7</v>
      </c>
      <c r="M1157" s="14">
        <f>Table1[[#This Row],[Unit_Cost]]-Table1[[#This Row],[Negotiated_Cost]]</f>
        <v>131.26999999999953</v>
      </c>
      <c r="N1157" s="18">
        <f>Table1[[#This Row],[Defective_Units]]/Table1[[#This Row],[Quantity]]</f>
        <v>2.5423728813559324E-2</v>
      </c>
      <c r="O1157" s="26">
        <f>(Table1[[#This Row],[Unit_Cost]]-Table1[[#This Row],[Negotiated_Cost]])/Table1[[#This Row],[Unit_Cost]]</f>
        <v>3.0896509520559119E-2</v>
      </c>
    </row>
    <row r="1158" spans="1:15" x14ac:dyDescent="0.25">
      <c r="A1158" t="s">
        <v>1193</v>
      </c>
      <c r="B1158" t="s">
        <v>46</v>
      </c>
      <c r="C1158" s="14" t="s">
        <v>36</v>
      </c>
      <c r="D1158" s="1">
        <v>45221</v>
      </c>
      <c r="E1158" s="13">
        <v>45238</v>
      </c>
      <c r="F1158" s="14" t="s">
        <v>14</v>
      </c>
      <c r="G1158">
        <v>187</v>
      </c>
      <c r="H1158">
        <v>560.36</v>
      </c>
      <c r="I1158">
        <v>532.79</v>
      </c>
      <c r="J1158">
        <v>3</v>
      </c>
      <c r="K1158" s="14" t="s">
        <v>15</v>
      </c>
      <c r="L1158" s="14">
        <f>IF(OR(Table1[[#This Row],[Order_Status]]="Delivered",Table1[[#This Row],[Delivery_Date]]&lt;&gt;"Not Yet Delivered"),Table1[[#This Row],[Delivery_Date]]-Table1[[#This Row],[Order_Date]],"Not Applicable")</f>
        <v>17</v>
      </c>
      <c r="M1158" s="14">
        <f>Table1[[#This Row],[Unit_Cost]]-Table1[[#This Row],[Negotiated_Cost]]</f>
        <v>27.57000000000005</v>
      </c>
      <c r="N1158" s="18">
        <f>Table1[[#This Row],[Defective_Units]]/Table1[[#This Row],[Quantity]]</f>
        <v>1.6042780748663103E-2</v>
      </c>
      <c r="O1158" s="26">
        <f>(Table1[[#This Row],[Unit_Cost]]-Table1[[#This Row],[Negotiated_Cost]])/Table1[[#This Row],[Unit_Cost]]</f>
        <v>4.920051395531453E-2</v>
      </c>
    </row>
    <row r="1159" spans="1:15" x14ac:dyDescent="0.25">
      <c r="A1159" t="s">
        <v>1194</v>
      </c>
      <c r="B1159" t="s">
        <v>17</v>
      </c>
      <c r="C1159" s="14" t="s">
        <v>50</v>
      </c>
      <c r="D1159" s="1">
        <v>45482</v>
      </c>
      <c r="E1159" s="13">
        <v>45487</v>
      </c>
      <c r="F1159" s="14" t="s">
        <v>14</v>
      </c>
      <c r="G1159">
        <v>72</v>
      </c>
      <c r="H1159">
        <v>50402.04</v>
      </c>
      <c r="I1159">
        <v>50057.51</v>
      </c>
      <c r="J1159">
        <v>0</v>
      </c>
      <c r="K1159" s="14" t="s">
        <v>15</v>
      </c>
      <c r="L1159" s="14">
        <f>IF(OR(Table1[[#This Row],[Order_Status]]="Delivered",Table1[[#This Row],[Delivery_Date]]&lt;&gt;"Not Yet Delivered"),Table1[[#This Row],[Delivery_Date]]-Table1[[#This Row],[Order_Date]],"Not Applicable")</f>
        <v>5</v>
      </c>
      <c r="M1159" s="14">
        <f>Table1[[#This Row],[Unit_Cost]]-Table1[[#This Row],[Negotiated_Cost]]</f>
        <v>344.52999999999884</v>
      </c>
      <c r="N1159" s="18">
        <f>Table1[[#This Row],[Defective_Units]]/Table1[[#This Row],[Quantity]]</f>
        <v>0</v>
      </c>
      <c r="O1159" s="26">
        <f>(Table1[[#This Row],[Unit_Cost]]-Table1[[#This Row],[Negotiated_Cost]])/Table1[[#This Row],[Unit_Cost]]</f>
        <v>6.8356360179071887E-3</v>
      </c>
    </row>
    <row r="1160" spans="1:15" x14ac:dyDescent="0.25">
      <c r="A1160" t="s">
        <v>1195</v>
      </c>
      <c r="B1160" t="s">
        <v>32</v>
      </c>
      <c r="C1160" s="14" t="s">
        <v>18</v>
      </c>
      <c r="D1160" s="1">
        <v>45494</v>
      </c>
      <c r="E1160" s="13">
        <v>45505</v>
      </c>
      <c r="F1160" s="14" t="s">
        <v>14</v>
      </c>
      <c r="G1160">
        <v>42</v>
      </c>
      <c r="H1160">
        <v>4743.42</v>
      </c>
      <c r="I1160">
        <v>4733.76</v>
      </c>
      <c r="J1160">
        <v>0</v>
      </c>
      <c r="K1160" s="14" t="s">
        <v>15</v>
      </c>
      <c r="L1160" s="14">
        <f>IF(OR(Table1[[#This Row],[Order_Status]]="Delivered",Table1[[#This Row],[Delivery_Date]]&lt;&gt;"Not Yet Delivered"),Table1[[#This Row],[Delivery_Date]]-Table1[[#This Row],[Order_Date]],"Not Applicable")</f>
        <v>11</v>
      </c>
      <c r="M1160" s="14">
        <f>Table1[[#This Row],[Unit_Cost]]-Table1[[#This Row],[Negotiated_Cost]]</f>
        <v>9.6599999999998545</v>
      </c>
      <c r="N1160" s="18">
        <f>Table1[[#This Row],[Defective_Units]]/Table1[[#This Row],[Quantity]]</f>
        <v>0</v>
      </c>
      <c r="O1160" s="26">
        <f>(Table1[[#This Row],[Unit_Cost]]-Table1[[#This Row],[Negotiated_Cost]])/Table1[[#This Row],[Unit_Cost]]</f>
        <v>2.0365053062979567E-3</v>
      </c>
    </row>
    <row r="1161" spans="1:15" x14ac:dyDescent="0.25">
      <c r="A1161" t="s">
        <v>1196</v>
      </c>
      <c r="B1161" t="s">
        <v>17</v>
      </c>
      <c r="C1161" s="14" t="s">
        <v>28</v>
      </c>
      <c r="D1161" s="1">
        <v>45437</v>
      </c>
      <c r="E1161" s="13">
        <v>45465</v>
      </c>
      <c r="F1161" s="14" t="s">
        <v>14</v>
      </c>
      <c r="G1161">
        <v>404</v>
      </c>
      <c r="H1161">
        <v>47351.98</v>
      </c>
      <c r="I1161">
        <v>47047.4</v>
      </c>
      <c r="J1161">
        <v>2</v>
      </c>
      <c r="K1161" s="14" t="s">
        <v>25</v>
      </c>
      <c r="L1161" s="14">
        <f>IF(OR(Table1[[#This Row],[Order_Status]]="Delivered",Table1[[#This Row],[Delivery_Date]]&lt;&gt;"Not Yet Delivered"),Table1[[#This Row],[Delivery_Date]]-Table1[[#This Row],[Order_Date]],"Not Applicable")</f>
        <v>28</v>
      </c>
      <c r="M1161" s="14">
        <f>Table1[[#This Row],[Unit_Cost]]-Table1[[#This Row],[Negotiated_Cost]]</f>
        <v>304.58000000000175</v>
      </c>
      <c r="N1161" s="18">
        <f>Table1[[#This Row],[Defective_Units]]/Table1[[#This Row],[Quantity]]</f>
        <v>4.9504950495049506E-3</v>
      </c>
      <c r="O1161" s="26">
        <f>(Table1[[#This Row],[Unit_Cost]]-Table1[[#This Row],[Negotiated_Cost]])/Table1[[#This Row],[Unit_Cost]]</f>
        <v>6.4322547863891171E-3</v>
      </c>
    </row>
    <row r="1162" spans="1:15" x14ac:dyDescent="0.25">
      <c r="A1162" t="s">
        <v>1197</v>
      </c>
      <c r="B1162" t="s">
        <v>46</v>
      </c>
      <c r="C1162" s="14" t="s">
        <v>28</v>
      </c>
      <c r="D1162" s="1">
        <v>45146</v>
      </c>
      <c r="E1162" s="13">
        <v>45160</v>
      </c>
      <c r="F1162" s="14" t="s">
        <v>14</v>
      </c>
      <c r="G1162">
        <v>87</v>
      </c>
      <c r="H1162">
        <v>49764.74</v>
      </c>
      <c r="I1162">
        <v>47649.29</v>
      </c>
      <c r="J1162">
        <v>0</v>
      </c>
      <c r="K1162" s="14" t="s">
        <v>15</v>
      </c>
      <c r="L1162" s="14">
        <f>IF(OR(Table1[[#This Row],[Order_Status]]="Delivered",Table1[[#This Row],[Delivery_Date]]&lt;&gt;"Not Yet Delivered"),Table1[[#This Row],[Delivery_Date]]-Table1[[#This Row],[Order_Date]],"Not Applicable")</f>
        <v>14</v>
      </c>
      <c r="M1162" s="14">
        <f>Table1[[#This Row],[Unit_Cost]]-Table1[[#This Row],[Negotiated_Cost]]</f>
        <v>2115.4499999999971</v>
      </c>
      <c r="N1162" s="18">
        <f>Table1[[#This Row],[Defective_Units]]/Table1[[#This Row],[Quantity]]</f>
        <v>0</v>
      </c>
      <c r="O1162" s="26">
        <f>(Table1[[#This Row],[Unit_Cost]]-Table1[[#This Row],[Negotiated_Cost]])/Table1[[#This Row],[Unit_Cost]]</f>
        <v>4.2509013409896185E-2</v>
      </c>
    </row>
    <row r="1163" spans="1:15" x14ac:dyDescent="0.25">
      <c r="A1163" t="s">
        <v>1198</v>
      </c>
      <c r="B1163" t="s">
        <v>40</v>
      </c>
      <c r="C1163" s="14" t="s">
        <v>44</v>
      </c>
      <c r="D1163" s="1">
        <v>45254</v>
      </c>
      <c r="E1163" s="13">
        <v>45258</v>
      </c>
      <c r="F1163" s="14" t="s">
        <v>14</v>
      </c>
      <c r="G1163">
        <v>47</v>
      </c>
      <c r="H1163">
        <v>9311.48</v>
      </c>
      <c r="I1163">
        <v>8882.48</v>
      </c>
      <c r="J1163">
        <v>2</v>
      </c>
      <c r="K1163" s="14" t="s">
        <v>15</v>
      </c>
      <c r="L1163" s="14">
        <f>IF(OR(Table1[[#This Row],[Order_Status]]="Delivered",Table1[[#This Row],[Delivery_Date]]&lt;&gt;"Not Yet Delivered"),Table1[[#This Row],[Delivery_Date]]-Table1[[#This Row],[Order_Date]],"Not Applicable")</f>
        <v>4</v>
      </c>
      <c r="M1163" s="14">
        <f>Table1[[#This Row],[Unit_Cost]]-Table1[[#This Row],[Negotiated_Cost]]</f>
        <v>429</v>
      </c>
      <c r="N1163" s="18">
        <f>Table1[[#This Row],[Defective_Units]]/Table1[[#This Row],[Quantity]]</f>
        <v>4.2553191489361701E-2</v>
      </c>
      <c r="O1163" s="26">
        <f>(Table1[[#This Row],[Unit_Cost]]-Table1[[#This Row],[Negotiated_Cost]])/Table1[[#This Row],[Unit_Cost]]</f>
        <v>4.6072160386963192E-2</v>
      </c>
    </row>
    <row r="1164" spans="1:15" x14ac:dyDescent="0.25">
      <c r="A1164" t="s">
        <v>1199</v>
      </c>
      <c r="B1164" t="s">
        <v>46</v>
      </c>
      <c r="C1164" s="14" t="s">
        <v>24</v>
      </c>
      <c r="D1164" s="1">
        <v>45202</v>
      </c>
      <c r="E1164" s="13">
        <v>45219</v>
      </c>
      <c r="F1164" s="14" t="s">
        <v>37</v>
      </c>
      <c r="G1164">
        <v>156</v>
      </c>
      <c r="H1164">
        <v>11835.82</v>
      </c>
      <c r="I1164">
        <v>11367.84</v>
      </c>
      <c r="J1164">
        <v>3</v>
      </c>
      <c r="K1164" s="14" t="s">
        <v>15</v>
      </c>
      <c r="L1164" s="14">
        <f>IF(OR(Table1[[#This Row],[Order_Status]]="Delivered",Table1[[#This Row],[Delivery_Date]]&lt;&gt;"Not Yet Delivered"),Table1[[#This Row],[Delivery_Date]]-Table1[[#This Row],[Order_Date]],"Not Applicable")</f>
        <v>17</v>
      </c>
      <c r="M1164" s="14">
        <f>Table1[[#This Row],[Unit_Cost]]-Table1[[#This Row],[Negotiated_Cost]]</f>
        <v>467.97999999999956</v>
      </c>
      <c r="N1164" s="18">
        <f>Table1[[#This Row],[Defective_Units]]/Table1[[#This Row],[Quantity]]</f>
        <v>1.9230769230769232E-2</v>
      </c>
      <c r="O1164" s="26">
        <f>(Table1[[#This Row],[Unit_Cost]]-Table1[[#This Row],[Negotiated_Cost]])/Table1[[#This Row],[Unit_Cost]]</f>
        <v>3.95392968125571E-2</v>
      </c>
    </row>
    <row r="1165" spans="1:15" x14ac:dyDescent="0.25">
      <c r="A1165" t="s">
        <v>1200</v>
      </c>
      <c r="B1165" t="s">
        <v>46</v>
      </c>
      <c r="C1165" s="14" t="s">
        <v>13</v>
      </c>
      <c r="D1165" s="1">
        <v>45232</v>
      </c>
      <c r="E1165" s="13">
        <v>45249</v>
      </c>
      <c r="F1165" s="14" t="s">
        <v>14</v>
      </c>
      <c r="G1165">
        <v>76</v>
      </c>
      <c r="H1165">
        <v>4259.18</v>
      </c>
      <c r="I1165">
        <v>4119.33</v>
      </c>
      <c r="J1165">
        <v>1</v>
      </c>
      <c r="K1165" s="14" t="s">
        <v>15</v>
      </c>
      <c r="L1165" s="14">
        <f>IF(OR(Table1[[#This Row],[Order_Status]]="Delivered",Table1[[#This Row],[Delivery_Date]]&lt;&gt;"Not Yet Delivered"),Table1[[#This Row],[Delivery_Date]]-Table1[[#This Row],[Order_Date]],"Not Applicable")</f>
        <v>17</v>
      </c>
      <c r="M1165" s="14">
        <f>Table1[[#This Row],[Unit_Cost]]-Table1[[#This Row],[Negotiated_Cost]]</f>
        <v>139.85000000000036</v>
      </c>
      <c r="N1165" s="18">
        <f>Table1[[#This Row],[Defective_Units]]/Table1[[#This Row],[Quantity]]</f>
        <v>1.3157894736842105E-2</v>
      </c>
      <c r="O1165" s="26">
        <f>(Table1[[#This Row],[Unit_Cost]]-Table1[[#This Row],[Negotiated_Cost]])/Table1[[#This Row],[Unit_Cost]]</f>
        <v>3.2834958841842878E-2</v>
      </c>
    </row>
    <row r="1166" spans="1:15" x14ac:dyDescent="0.25">
      <c r="A1166" t="s">
        <v>1201</v>
      </c>
      <c r="B1166" t="s">
        <v>46</v>
      </c>
      <c r="C1166" s="14" t="s">
        <v>24</v>
      </c>
      <c r="D1166" s="1">
        <v>45091</v>
      </c>
      <c r="E1166" s="13">
        <v>45114</v>
      </c>
      <c r="F1166" s="14" t="s">
        <v>14</v>
      </c>
      <c r="G1166">
        <v>382</v>
      </c>
      <c r="H1166">
        <v>12576.36</v>
      </c>
      <c r="I1166">
        <v>12050.96</v>
      </c>
      <c r="J1166">
        <v>5</v>
      </c>
      <c r="K1166" s="14" t="s">
        <v>15</v>
      </c>
      <c r="L1166" s="14">
        <f>IF(OR(Table1[[#This Row],[Order_Status]]="Delivered",Table1[[#This Row],[Delivery_Date]]&lt;&gt;"Not Yet Delivered"),Table1[[#This Row],[Delivery_Date]]-Table1[[#This Row],[Order_Date]],"Not Applicable")</f>
        <v>23</v>
      </c>
      <c r="M1166" s="14">
        <f>Table1[[#This Row],[Unit_Cost]]-Table1[[#This Row],[Negotiated_Cost]]</f>
        <v>525.40000000000146</v>
      </c>
      <c r="N1166" s="18">
        <f>Table1[[#This Row],[Defective_Units]]/Table1[[#This Row],[Quantity]]</f>
        <v>1.3089005235602094E-2</v>
      </c>
      <c r="O1166" s="26">
        <f>(Table1[[#This Row],[Unit_Cost]]-Table1[[#This Row],[Negotiated_Cost]])/Table1[[#This Row],[Unit_Cost]]</f>
        <v>4.1776793921293714E-2</v>
      </c>
    </row>
    <row r="1167" spans="1:15" x14ac:dyDescent="0.25">
      <c r="A1167" t="s">
        <v>1202</v>
      </c>
      <c r="B1167" t="s">
        <v>27</v>
      </c>
      <c r="C1167" s="14" t="s">
        <v>50</v>
      </c>
      <c r="D1167" s="1">
        <v>45160</v>
      </c>
      <c r="E1167" s="13">
        <v>45176</v>
      </c>
      <c r="F1167" s="14" t="s">
        <v>37</v>
      </c>
      <c r="G1167">
        <v>340</v>
      </c>
      <c r="H1167">
        <v>53402.49</v>
      </c>
      <c r="I1167">
        <v>52299.61</v>
      </c>
      <c r="J1167">
        <v>0</v>
      </c>
      <c r="K1167" s="14" t="s">
        <v>15</v>
      </c>
      <c r="L1167" s="14">
        <f>IF(OR(Table1[[#This Row],[Order_Status]]="Delivered",Table1[[#This Row],[Delivery_Date]]&lt;&gt;"Not Yet Delivered"),Table1[[#This Row],[Delivery_Date]]-Table1[[#This Row],[Order_Date]],"Not Applicable")</f>
        <v>16</v>
      </c>
      <c r="M1167" s="14">
        <f>Table1[[#This Row],[Unit_Cost]]-Table1[[#This Row],[Negotiated_Cost]]</f>
        <v>1102.8799999999974</v>
      </c>
      <c r="N1167" s="18">
        <f>Table1[[#This Row],[Defective_Units]]/Table1[[#This Row],[Quantity]]</f>
        <v>0</v>
      </c>
      <c r="O1167" s="26">
        <f>(Table1[[#This Row],[Unit_Cost]]-Table1[[#This Row],[Negotiated_Cost]])/Table1[[#This Row],[Unit_Cost]]</f>
        <v>2.0652220523799496E-2</v>
      </c>
    </row>
    <row r="1168" spans="1:15" x14ac:dyDescent="0.25">
      <c r="A1168" t="s">
        <v>1203</v>
      </c>
      <c r="B1168" t="s">
        <v>17</v>
      </c>
      <c r="C1168" s="14" t="s">
        <v>30</v>
      </c>
      <c r="D1168" s="1">
        <v>45391</v>
      </c>
      <c r="E1168" s="13">
        <v>45420</v>
      </c>
      <c r="F1168" s="14" t="s">
        <v>14</v>
      </c>
      <c r="G1168">
        <v>212</v>
      </c>
      <c r="H1168">
        <v>817.7</v>
      </c>
      <c r="I1168">
        <v>776.56</v>
      </c>
      <c r="J1168">
        <v>8</v>
      </c>
      <c r="K1168" s="14" t="s">
        <v>15</v>
      </c>
      <c r="L1168" s="14">
        <f>IF(OR(Table1[[#This Row],[Order_Status]]="Delivered",Table1[[#This Row],[Delivery_Date]]&lt;&gt;"Not Yet Delivered"),Table1[[#This Row],[Delivery_Date]]-Table1[[#This Row],[Order_Date]],"Not Applicable")</f>
        <v>29</v>
      </c>
      <c r="M1168" s="14">
        <f>Table1[[#This Row],[Unit_Cost]]-Table1[[#This Row],[Negotiated_Cost]]</f>
        <v>41.1400000000001</v>
      </c>
      <c r="N1168" s="18">
        <f>Table1[[#This Row],[Defective_Units]]/Table1[[#This Row],[Quantity]]</f>
        <v>3.7735849056603772E-2</v>
      </c>
      <c r="O1168" s="26">
        <f>(Table1[[#This Row],[Unit_Cost]]-Table1[[#This Row],[Negotiated_Cost]])/Table1[[#This Row],[Unit_Cost]]</f>
        <v>5.0311850311850433E-2</v>
      </c>
    </row>
    <row r="1169" spans="1:15" x14ac:dyDescent="0.25">
      <c r="A1169" t="s">
        <v>1204</v>
      </c>
      <c r="B1169" t="s">
        <v>20</v>
      </c>
      <c r="C1169" s="14" t="s">
        <v>50</v>
      </c>
      <c r="D1169" s="1">
        <v>45487</v>
      </c>
      <c r="E1169" s="13">
        <v>45490</v>
      </c>
      <c r="F1169" s="14" t="s">
        <v>14</v>
      </c>
      <c r="G1169">
        <v>488</v>
      </c>
      <c r="H1169">
        <v>47932.03</v>
      </c>
      <c r="I1169">
        <v>47851.78</v>
      </c>
      <c r="J1169">
        <v>3</v>
      </c>
      <c r="K1169" s="14" t="s">
        <v>15</v>
      </c>
      <c r="L1169" s="14">
        <f>IF(OR(Table1[[#This Row],[Order_Status]]="Delivered",Table1[[#This Row],[Delivery_Date]]&lt;&gt;"Not Yet Delivered"),Table1[[#This Row],[Delivery_Date]]-Table1[[#This Row],[Order_Date]],"Not Applicable")</f>
        <v>3</v>
      </c>
      <c r="M1169" s="14">
        <f>Table1[[#This Row],[Unit_Cost]]-Table1[[#This Row],[Negotiated_Cost]]</f>
        <v>80.25</v>
      </c>
      <c r="N1169" s="18">
        <f>Table1[[#This Row],[Defective_Units]]/Table1[[#This Row],[Quantity]]</f>
        <v>6.1475409836065573E-3</v>
      </c>
      <c r="O1169" s="26">
        <f>(Table1[[#This Row],[Unit_Cost]]-Table1[[#This Row],[Negotiated_Cost]])/Table1[[#This Row],[Unit_Cost]]</f>
        <v>1.6742458018156126E-3</v>
      </c>
    </row>
    <row r="1170" spans="1:15" x14ac:dyDescent="0.25">
      <c r="A1170" t="s">
        <v>1205</v>
      </c>
      <c r="B1170" t="s">
        <v>40</v>
      </c>
      <c r="C1170" s="14" t="s">
        <v>30</v>
      </c>
      <c r="D1170" s="1">
        <v>45031</v>
      </c>
      <c r="E1170" s="13">
        <v>45049</v>
      </c>
      <c r="F1170" s="14" t="s">
        <v>14</v>
      </c>
      <c r="G1170">
        <v>167</v>
      </c>
      <c r="H1170">
        <v>950.96</v>
      </c>
      <c r="I1170">
        <v>903.47</v>
      </c>
      <c r="J1170">
        <v>0</v>
      </c>
      <c r="K1170" s="14" t="s">
        <v>15</v>
      </c>
      <c r="L1170" s="14">
        <f>IF(OR(Table1[[#This Row],[Order_Status]]="Delivered",Table1[[#This Row],[Delivery_Date]]&lt;&gt;"Not Yet Delivered"),Table1[[#This Row],[Delivery_Date]]-Table1[[#This Row],[Order_Date]],"Not Applicable")</f>
        <v>18</v>
      </c>
      <c r="M1170" s="14">
        <f>Table1[[#This Row],[Unit_Cost]]-Table1[[#This Row],[Negotiated_Cost]]</f>
        <v>47.490000000000009</v>
      </c>
      <c r="N1170" s="18">
        <f>Table1[[#This Row],[Defective_Units]]/Table1[[#This Row],[Quantity]]</f>
        <v>0</v>
      </c>
      <c r="O1170" s="26">
        <f>(Table1[[#This Row],[Unit_Cost]]-Table1[[#This Row],[Negotiated_Cost]])/Table1[[#This Row],[Unit_Cost]]</f>
        <v>4.993900900143014E-2</v>
      </c>
    </row>
    <row r="1171" spans="1:15" x14ac:dyDescent="0.25">
      <c r="A1171" t="s">
        <v>1206</v>
      </c>
      <c r="B1171" t="s">
        <v>40</v>
      </c>
      <c r="C1171" s="14" t="s">
        <v>28</v>
      </c>
      <c r="D1171" s="1">
        <v>45167</v>
      </c>
      <c r="E1171" s="13">
        <v>45189</v>
      </c>
      <c r="F1171" s="14" t="s">
        <v>37</v>
      </c>
      <c r="G1171">
        <v>22</v>
      </c>
      <c r="H1171">
        <v>53376.59</v>
      </c>
      <c r="I1171">
        <v>53107.34</v>
      </c>
      <c r="J1171">
        <v>0</v>
      </c>
      <c r="K1171" s="14" t="s">
        <v>15</v>
      </c>
      <c r="L1171" s="14">
        <f>IF(OR(Table1[[#This Row],[Order_Status]]="Delivered",Table1[[#This Row],[Delivery_Date]]&lt;&gt;"Not Yet Delivered"),Table1[[#This Row],[Delivery_Date]]-Table1[[#This Row],[Order_Date]],"Not Applicable")</f>
        <v>22</v>
      </c>
      <c r="M1171" s="14">
        <f>Table1[[#This Row],[Unit_Cost]]-Table1[[#This Row],[Negotiated_Cost]]</f>
        <v>269.25</v>
      </c>
      <c r="N1171" s="18">
        <f>Table1[[#This Row],[Defective_Units]]/Table1[[#This Row],[Quantity]]</f>
        <v>0</v>
      </c>
      <c r="O1171" s="26">
        <f>(Table1[[#This Row],[Unit_Cost]]-Table1[[#This Row],[Negotiated_Cost]])/Table1[[#This Row],[Unit_Cost]]</f>
        <v>5.0443462199439874E-3</v>
      </c>
    </row>
    <row r="1172" spans="1:15" x14ac:dyDescent="0.25">
      <c r="A1172" t="s">
        <v>1207</v>
      </c>
      <c r="B1172" t="s">
        <v>17</v>
      </c>
      <c r="C1172" s="14" t="s">
        <v>18</v>
      </c>
      <c r="D1172" s="1">
        <v>45309</v>
      </c>
      <c r="E1172" s="13">
        <v>45324</v>
      </c>
      <c r="F1172" s="14" t="s">
        <v>14</v>
      </c>
      <c r="G1172">
        <v>243</v>
      </c>
      <c r="H1172">
        <v>5076.3599999999997</v>
      </c>
      <c r="I1172">
        <v>4921.95</v>
      </c>
      <c r="J1172">
        <v>3</v>
      </c>
      <c r="K1172" s="14" t="s">
        <v>15</v>
      </c>
      <c r="L1172" s="14">
        <f>IF(OR(Table1[[#This Row],[Order_Status]]="Delivered",Table1[[#This Row],[Delivery_Date]]&lt;&gt;"Not Yet Delivered"),Table1[[#This Row],[Delivery_Date]]-Table1[[#This Row],[Order_Date]],"Not Applicable")</f>
        <v>15</v>
      </c>
      <c r="M1172" s="14">
        <f>Table1[[#This Row],[Unit_Cost]]-Table1[[#This Row],[Negotiated_Cost]]</f>
        <v>154.40999999999985</v>
      </c>
      <c r="N1172" s="18">
        <f>Table1[[#This Row],[Defective_Units]]/Table1[[#This Row],[Quantity]]</f>
        <v>1.2345679012345678E-2</v>
      </c>
      <c r="O1172" s="26">
        <f>(Table1[[#This Row],[Unit_Cost]]-Table1[[#This Row],[Negotiated_Cost]])/Table1[[#This Row],[Unit_Cost]]</f>
        <v>3.0417464482424387E-2</v>
      </c>
    </row>
    <row r="1173" spans="1:15" x14ac:dyDescent="0.25">
      <c r="A1173" t="s">
        <v>1208</v>
      </c>
      <c r="B1173" t="s">
        <v>20</v>
      </c>
      <c r="C1173" s="14" t="s">
        <v>18</v>
      </c>
      <c r="D1173" s="1">
        <v>45301</v>
      </c>
      <c r="E1173" s="13">
        <v>45327</v>
      </c>
      <c r="F1173" s="14" t="s">
        <v>14</v>
      </c>
      <c r="G1173">
        <v>360</v>
      </c>
      <c r="H1173">
        <v>4766.3500000000004</v>
      </c>
      <c r="I1173">
        <v>4619.4799999999996</v>
      </c>
      <c r="J1173">
        <v>5</v>
      </c>
      <c r="K1173" s="14" t="s">
        <v>15</v>
      </c>
      <c r="L1173" s="14">
        <f>IF(OR(Table1[[#This Row],[Order_Status]]="Delivered",Table1[[#This Row],[Delivery_Date]]&lt;&gt;"Not Yet Delivered"),Table1[[#This Row],[Delivery_Date]]-Table1[[#This Row],[Order_Date]],"Not Applicable")</f>
        <v>26</v>
      </c>
      <c r="M1173" s="14">
        <f>Table1[[#This Row],[Unit_Cost]]-Table1[[#This Row],[Negotiated_Cost]]</f>
        <v>146.8700000000008</v>
      </c>
      <c r="N1173" s="18">
        <f>Table1[[#This Row],[Defective_Units]]/Table1[[#This Row],[Quantity]]</f>
        <v>1.3888888888888888E-2</v>
      </c>
      <c r="O1173" s="26">
        <f>(Table1[[#This Row],[Unit_Cost]]-Table1[[#This Row],[Negotiated_Cost]])/Table1[[#This Row],[Unit_Cost]]</f>
        <v>3.0813935191498901E-2</v>
      </c>
    </row>
    <row r="1174" spans="1:15" x14ac:dyDescent="0.25">
      <c r="A1174" t="s">
        <v>1209</v>
      </c>
      <c r="B1174" t="s">
        <v>46</v>
      </c>
      <c r="C1174" s="14" t="s">
        <v>44</v>
      </c>
      <c r="D1174" s="1">
        <v>45364</v>
      </c>
      <c r="E1174" s="13">
        <v>45394</v>
      </c>
      <c r="F1174" s="14" t="s">
        <v>14</v>
      </c>
      <c r="G1174">
        <v>140</v>
      </c>
      <c r="H1174">
        <v>8843.7800000000007</v>
      </c>
      <c r="I1174">
        <v>8524.1299999999992</v>
      </c>
      <c r="J1174">
        <v>4</v>
      </c>
      <c r="K1174" s="14" t="s">
        <v>15</v>
      </c>
      <c r="L1174" s="14">
        <f>IF(OR(Table1[[#This Row],[Order_Status]]="Delivered",Table1[[#This Row],[Delivery_Date]]&lt;&gt;"Not Yet Delivered"),Table1[[#This Row],[Delivery_Date]]-Table1[[#This Row],[Order_Date]],"Not Applicable")</f>
        <v>30</v>
      </c>
      <c r="M1174" s="14">
        <f>Table1[[#This Row],[Unit_Cost]]-Table1[[#This Row],[Negotiated_Cost]]</f>
        <v>319.65000000000146</v>
      </c>
      <c r="N1174" s="18">
        <f>Table1[[#This Row],[Defective_Units]]/Table1[[#This Row],[Quantity]]</f>
        <v>2.8571428571428571E-2</v>
      </c>
      <c r="O1174" s="26">
        <f>(Table1[[#This Row],[Unit_Cost]]-Table1[[#This Row],[Negotiated_Cost]])/Table1[[#This Row],[Unit_Cost]]</f>
        <v>3.6144047002526228E-2</v>
      </c>
    </row>
    <row r="1175" spans="1:15" x14ac:dyDescent="0.25">
      <c r="A1175" t="s">
        <v>1210</v>
      </c>
      <c r="B1175" t="s">
        <v>12</v>
      </c>
      <c r="C1175" s="14" t="s">
        <v>30</v>
      </c>
      <c r="D1175" s="1">
        <v>45203</v>
      </c>
      <c r="E1175" s="13">
        <v>45220</v>
      </c>
      <c r="F1175" s="14" t="s">
        <v>14</v>
      </c>
      <c r="G1175">
        <v>22</v>
      </c>
      <c r="H1175">
        <v>908.42</v>
      </c>
      <c r="I1175">
        <v>879.94</v>
      </c>
      <c r="J1175">
        <v>0</v>
      </c>
      <c r="K1175" s="14" t="s">
        <v>15</v>
      </c>
      <c r="L1175" s="14">
        <f>IF(OR(Table1[[#This Row],[Order_Status]]="Delivered",Table1[[#This Row],[Delivery_Date]]&lt;&gt;"Not Yet Delivered"),Table1[[#This Row],[Delivery_Date]]-Table1[[#This Row],[Order_Date]],"Not Applicable")</f>
        <v>17</v>
      </c>
      <c r="M1175" s="14">
        <f>Table1[[#This Row],[Unit_Cost]]-Table1[[#This Row],[Negotiated_Cost]]</f>
        <v>28.479999999999905</v>
      </c>
      <c r="N1175" s="18">
        <f>Table1[[#This Row],[Defective_Units]]/Table1[[#This Row],[Quantity]]</f>
        <v>0</v>
      </c>
      <c r="O1175" s="26">
        <f>(Table1[[#This Row],[Unit_Cost]]-Table1[[#This Row],[Negotiated_Cost]])/Table1[[#This Row],[Unit_Cost]]</f>
        <v>3.1351137139208632E-2</v>
      </c>
    </row>
    <row r="1176" spans="1:15" x14ac:dyDescent="0.25">
      <c r="A1176" t="s">
        <v>1211</v>
      </c>
      <c r="B1176" t="s">
        <v>20</v>
      </c>
      <c r="C1176" s="14" t="s">
        <v>24</v>
      </c>
      <c r="D1176" s="1">
        <v>45127</v>
      </c>
      <c r="E1176" s="13">
        <v>45146</v>
      </c>
      <c r="F1176" s="14" t="s">
        <v>14</v>
      </c>
      <c r="G1176">
        <v>253</v>
      </c>
      <c r="H1176">
        <v>11935.72</v>
      </c>
      <c r="I1176">
        <v>11799.99</v>
      </c>
      <c r="J1176">
        <v>4</v>
      </c>
      <c r="K1176" s="14" t="s">
        <v>15</v>
      </c>
      <c r="L1176" s="14">
        <f>IF(OR(Table1[[#This Row],[Order_Status]]="Delivered",Table1[[#This Row],[Delivery_Date]]&lt;&gt;"Not Yet Delivered"),Table1[[#This Row],[Delivery_Date]]-Table1[[#This Row],[Order_Date]],"Not Applicable")</f>
        <v>19</v>
      </c>
      <c r="M1176" s="14">
        <f>Table1[[#This Row],[Unit_Cost]]-Table1[[#This Row],[Negotiated_Cost]]</f>
        <v>135.72999999999956</v>
      </c>
      <c r="N1176" s="18">
        <f>Table1[[#This Row],[Defective_Units]]/Table1[[#This Row],[Quantity]]</f>
        <v>1.5810276679841896E-2</v>
      </c>
      <c r="O1176" s="26">
        <f>(Table1[[#This Row],[Unit_Cost]]-Table1[[#This Row],[Negotiated_Cost]])/Table1[[#This Row],[Unit_Cost]]</f>
        <v>1.1371747996769325E-2</v>
      </c>
    </row>
    <row r="1177" spans="1:15" x14ac:dyDescent="0.25">
      <c r="A1177" t="s">
        <v>1212</v>
      </c>
      <c r="B1177" t="s">
        <v>40</v>
      </c>
      <c r="C1177" s="14" t="s">
        <v>30</v>
      </c>
      <c r="D1177" s="1">
        <v>45311</v>
      </c>
      <c r="E1177" s="13">
        <v>45314</v>
      </c>
      <c r="F1177" s="14" t="s">
        <v>14</v>
      </c>
      <c r="G1177">
        <v>326</v>
      </c>
      <c r="H1177">
        <v>971.78</v>
      </c>
      <c r="I1177">
        <v>940.16</v>
      </c>
      <c r="J1177">
        <v>1</v>
      </c>
      <c r="K1177" s="14" t="s">
        <v>15</v>
      </c>
      <c r="L1177" s="14">
        <f>IF(OR(Table1[[#This Row],[Order_Status]]="Delivered",Table1[[#This Row],[Delivery_Date]]&lt;&gt;"Not Yet Delivered"),Table1[[#This Row],[Delivery_Date]]-Table1[[#This Row],[Order_Date]],"Not Applicable")</f>
        <v>3</v>
      </c>
      <c r="M1177" s="14">
        <f>Table1[[#This Row],[Unit_Cost]]-Table1[[#This Row],[Negotiated_Cost]]</f>
        <v>31.620000000000005</v>
      </c>
      <c r="N1177" s="18">
        <f>Table1[[#This Row],[Defective_Units]]/Table1[[#This Row],[Quantity]]</f>
        <v>3.0674846625766872E-3</v>
      </c>
      <c r="O1177" s="26">
        <f>(Table1[[#This Row],[Unit_Cost]]-Table1[[#This Row],[Negotiated_Cost]])/Table1[[#This Row],[Unit_Cost]]</f>
        <v>3.2538228817222008E-2</v>
      </c>
    </row>
    <row r="1178" spans="1:15" x14ac:dyDescent="0.25">
      <c r="A1178" t="s">
        <v>1213</v>
      </c>
      <c r="B1178" t="s">
        <v>46</v>
      </c>
      <c r="C1178" s="14" t="s">
        <v>24</v>
      </c>
      <c r="D1178" s="1">
        <v>45453</v>
      </c>
      <c r="E1178" s="13">
        <v>45460</v>
      </c>
      <c r="F1178" s="14" t="s">
        <v>37</v>
      </c>
      <c r="G1178">
        <v>182</v>
      </c>
      <c r="H1178">
        <v>12656.61</v>
      </c>
      <c r="I1178">
        <v>12253.62</v>
      </c>
      <c r="J1178">
        <v>2</v>
      </c>
      <c r="K1178" s="14" t="s">
        <v>15</v>
      </c>
      <c r="L1178" s="14">
        <f>IF(OR(Table1[[#This Row],[Order_Status]]="Delivered",Table1[[#This Row],[Delivery_Date]]&lt;&gt;"Not Yet Delivered"),Table1[[#This Row],[Delivery_Date]]-Table1[[#This Row],[Order_Date]],"Not Applicable")</f>
        <v>7</v>
      </c>
      <c r="M1178" s="14">
        <f>Table1[[#This Row],[Unit_Cost]]-Table1[[#This Row],[Negotiated_Cost]]</f>
        <v>402.98999999999978</v>
      </c>
      <c r="N1178" s="18">
        <f>Table1[[#This Row],[Defective_Units]]/Table1[[#This Row],[Quantity]]</f>
        <v>1.098901098901099E-2</v>
      </c>
      <c r="O1178" s="26">
        <f>(Table1[[#This Row],[Unit_Cost]]-Table1[[#This Row],[Negotiated_Cost]])/Table1[[#This Row],[Unit_Cost]]</f>
        <v>3.1840279506123656E-2</v>
      </c>
    </row>
    <row r="1179" spans="1:15" x14ac:dyDescent="0.25">
      <c r="A1179" t="s">
        <v>1214</v>
      </c>
      <c r="B1179" t="s">
        <v>32</v>
      </c>
      <c r="C1179" s="14" t="s">
        <v>13</v>
      </c>
      <c r="D1179" s="1">
        <v>45158</v>
      </c>
      <c r="E1179" s="13">
        <v>45163</v>
      </c>
      <c r="F1179" s="14" t="s">
        <v>14</v>
      </c>
      <c r="G1179">
        <v>43</v>
      </c>
      <c r="H1179">
        <v>3861.59</v>
      </c>
      <c r="I1179">
        <v>3826.63</v>
      </c>
      <c r="J1179">
        <v>0</v>
      </c>
      <c r="K1179" s="14" t="s">
        <v>15</v>
      </c>
      <c r="L1179" s="14">
        <f>IF(OR(Table1[[#This Row],[Order_Status]]="Delivered",Table1[[#This Row],[Delivery_Date]]&lt;&gt;"Not Yet Delivered"),Table1[[#This Row],[Delivery_Date]]-Table1[[#This Row],[Order_Date]],"Not Applicable")</f>
        <v>5</v>
      </c>
      <c r="M1179" s="14">
        <f>Table1[[#This Row],[Unit_Cost]]-Table1[[#This Row],[Negotiated_Cost]]</f>
        <v>34.960000000000036</v>
      </c>
      <c r="N1179" s="18">
        <f>Table1[[#This Row],[Defective_Units]]/Table1[[#This Row],[Quantity]]</f>
        <v>0</v>
      </c>
      <c r="O1179" s="26">
        <f>(Table1[[#This Row],[Unit_Cost]]-Table1[[#This Row],[Negotiated_Cost]])/Table1[[#This Row],[Unit_Cost]]</f>
        <v>9.0532656237456675E-3</v>
      </c>
    </row>
    <row r="1180" spans="1:15" x14ac:dyDescent="0.25">
      <c r="A1180" t="s">
        <v>1215</v>
      </c>
      <c r="B1180" t="s">
        <v>12</v>
      </c>
      <c r="C1180" s="14" t="s">
        <v>50</v>
      </c>
      <c r="D1180" s="1">
        <v>45446</v>
      </c>
      <c r="E1180" s="13">
        <v>45468</v>
      </c>
      <c r="F1180" s="14" t="s">
        <v>37</v>
      </c>
      <c r="G1180">
        <v>308</v>
      </c>
      <c r="H1180">
        <v>54343.95</v>
      </c>
      <c r="I1180">
        <v>53508.02</v>
      </c>
      <c r="J1180">
        <v>1</v>
      </c>
      <c r="K1180" s="14" t="s">
        <v>15</v>
      </c>
      <c r="L1180" s="14">
        <f>IF(OR(Table1[[#This Row],[Order_Status]]="Delivered",Table1[[#This Row],[Delivery_Date]]&lt;&gt;"Not Yet Delivered"),Table1[[#This Row],[Delivery_Date]]-Table1[[#This Row],[Order_Date]],"Not Applicable")</f>
        <v>22</v>
      </c>
      <c r="M1180" s="14">
        <f>Table1[[#This Row],[Unit_Cost]]-Table1[[#This Row],[Negotiated_Cost]]</f>
        <v>835.93000000000029</v>
      </c>
      <c r="N1180" s="18">
        <f>Table1[[#This Row],[Defective_Units]]/Table1[[#This Row],[Quantity]]</f>
        <v>3.246753246753247E-3</v>
      </c>
      <c r="O1180" s="26">
        <f>(Table1[[#This Row],[Unit_Cost]]-Table1[[#This Row],[Negotiated_Cost]])/Table1[[#This Row],[Unit_Cost]]</f>
        <v>1.5382209059150104E-2</v>
      </c>
    </row>
    <row r="1181" spans="1:15" x14ac:dyDescent="0.25">
      <c r="A1181" t="s">
        <v>1216</v>
      </c>
      <c r="B1181" t="s">
        <v>35</v>
      </c>
      <c r="C1181" s="14" t="s">
        <v>24</v>
      </c>
      <c r="D1181" s="1">
        <v>45298</v>
      </c>
      <c r="E1181" s="13">
        <v>45308</v>
      </c>
      <c r="F1181" s="14" t="s">
        <v>37</v>
      </c>
      <c r="G1181">
        <v>55</v>
      </c>
      <c r="H1181">
        <v>12232.19</v>
      </c>
      <c r="I1181">
        <v>11615.42</v>
      </c>
      <c r="J1181">
        <v>1</v>
      </c>
      <c r="K1181" s="14" t="s">
        <v>15</v>
      </c>
      <c r="L1181" s="14">
        <f>IF(OR(Table1[[#This Row],[Order_Status]]="Delivered",Table1[[#This Row],[Delivery_Date]]&lt;&gt;"Not Yet Delivered"),Table1[[#This Row],[Delivery_Date]]-Table1[[#This Row],[Order_Date]],"Not Applicable")</f>
        <v>10</v>
      </c>
      <c r="M1181" s="14">
        <f>Table1[[#This Row],[Unit_Cost]]-Table1[[#This Row],[Negotiated_Cost]]</f>
        <v>616.77000000000044</v>
      </c>
      <c r="N1181" s="18">
        <f>Table1[[#This Row],[Defective_Units]]/Table1[[#This Row],[Quantity]]</f>
        <v>1.8181818181818181E-2</v>
      </c>
      <c r="O1181" s="26">
        <f>(Table1[[#This Row],[Unit_Cost]]-Table1[[#This Row],[Negotiated_Cost]])/Table1[[#This Row],[Unit_Cost]]</f>
        <v>5.0421878666044299E-2</v>
      </c>
    </row>
    <row r="1182" spans="1:15" x14ac:dyDescent="0.25">
      <c r="A1182" t="s">
        <v>1217</v>
      </c>
      <c r="B1182" t="s">
        <v>40</v>
      </c>
      <c r="C1182" s="14" t="s">
        <v>30</v>
      </c>
      <c r="D1182" s="1">
        <v>45487</v>
      </c>
      <c r="E1182" s="14" t="s">
        <v>2057</v>
      </c>
      <c r="F1182" s="14" t="s">
        <v>22</v>
      </c>
      <c r="G1182">
        <v>426</v>
      </c>
      <c r="H1182">
        <v>993.1</v>
      </c>
      <c r="I1182">
        <v>986.98</v>
      </c>
      <c r="J1182">
        <v>2</v>
      </c>
      <c r="K1182" s="14" t="s">
        <v>15</v>
      </c>
      <c r="L1182" s="14" t="str">
        <f>IF(OR(Table1[[#This Row],[Order_Status]]="Delivered",Table1[[#This Row],[Delivery_Date]]&lt;&gt;"Not Yet Delivered"),Table1[[#This Row],[Delivery_Date]]-Table1[[#This Row],[Order_Date]],"Not Applicable")</f>
        <v>Not Applicable</v>
      </c>
      <c r="M1182" s="14">
        <f>Table1[[#This Row],[Unit_Cost]]-Table1[[#This Row],[Negotiated_Cost]]</f>
        <v>6.1200000000000045</v>
      </c>
      <c r="N1182" s="18">
        <f>Table1[[#This Row],[Defective_Units]]/Table1[[#This Row],[Quantity]]</f>
        <v>4.6948356807511738E-3</v>
      </c>
      <c r="O1182" s="26">
        <f>(Table1[[#This Row],[Unit_Cost]]-Table1[[#This Row],[Negotiated_Cost]])/Table1[[#This Row],[Unit_Cost]]</f>
        <v>6.1625213976437459E-3</v>
      </c>
    </row>
    <row r="1183" spans="1:15" x14ac:dyDescent="0.25">
      <c r="A1183" t="s">
        <v>1218</v>
      </c>
      <c r="B1183" t="s">
        <v>12</v>
      </c>
      <c r="C1183" s="14" t="s">
        <v>36</v>
      </c>
      <c r="D1183" s="1">
        <v>45087</v>
      </c>
      <c r="E1183" s="13">
        <v>45091</v>
      </c>
      <c r="F1183" s="14" t="s">
        <v>14</v>
      </c>
      <c r="G1183">
        <v>33</v>
      </c>
      <c r="H1183">
        <v>549.16999999999996</v>
      </c>
      <c r="I1183">
        <v>538.59</v>
      </c>
      <c r="J1183">
        <v>1</v>
      </c>
      <c r="K1183" s="14" t="s">
        <v>15</v>
      </c>
      <c r="L1183" s="14">
        <f>IF(OR(Table1[[#This Row],[Order_Status]]="Delivered",Table1[[#This Row],[Delivery_Date]]&lt;&gt;"Not Yet Delivered"),Table1[[#This Row],[Delivery_Date]]-Table1[[#This Row],[Order_Date]],"Not Applicable")</f>
        <v>4</v>
      </c>
      <c r="M1183" s="14">
        <f>Table1[[#This Row],[Unit_Cost]]-Table1[[#This Row],[Negotiated_Cost]]</f>
        <v>10.579999999999927</v>
      </c>
      <c r="N1183" s="18">
        <f>Table1[[#This Row],[Defective_Units]]/Table1[[#This Row],[Quantity]]</f>
        <v>3.0303030303030304E-2</v>
      </c>
      <c r="O1183" s="26">
        <f>(Table1[[#This Row],[Unit_Cost]]-Table1[[#This Row],[Negotiated_Cost]])/Table1[[#This Row],[Unit_Cost]]</f>
        <v>1.92654369320974E-2</v>
      </c>
    </row>
    <row r="1184" spans="1:15" x14ac:dyDescent="0.25">
      <c r="A1184" t="s">
        <v>1219</v>
      </c>
      <c r="B1184" t="s">
        <v>20</v>
      </c>
      <c r="C1184" s="14" t="s">
        <v>28</v>
      </c>
      <c r="D1184" s="1">
        <v>45295</v>
      </c>
      <c r="E1184" s="13">
        <v>45316</v>
      </c>
      <c r="F1184" s="14" t="s">
        <v>14</v>
      </c>
      <c r="G1184">
        <v>255</v>
      </c>
      <c r="H1184">
        <v>46672.94</v>
      </c>
      <c r="I1184">
        <v>45036.78</v>
      </c>
      <c r="J1184">
        <v>3</v>
      </c>
      <c r="K1184" s="14" t="s">
        <v>15</v>
      </c>
      <c r="L1184" s="14">
        <f>IF(OR(Table1[[#This Row],[Order_Status]]="Delivered",Table1[[#This Row],[Delivery_Date]]&lt;&gt;"Not Yet Delivered"),Table1[[#This Row],[Delivery_Date]]-Table1[[#This Row],[Order_Date]],"Not Applicable")</f>
        <v>21</v>
      </c>
      <c r="M1184" s="14">
        <f>Table1[[#This Row],[Unit_Cost]]-Table1[[#This Row],[Negotiated_Cost]]</f>
        <v>1636.1600000000035</v>
      </c>
      <c r="N1184" s="18">
        <f>Table1[[#This Row],[Defective_Units]]/Table1[[#This Row],[Quantity]]</f>
        <v>1.1764705882352941E-2</v>
      </c>
      <c r="O1184" s="26">
        <f>(Table1[[#This Row],[Unit_Cost]]-Table1[[#This Row],[Negotiated_Cost]])/Table1[[#This Row],[Unit_Cost]]</f>
        <v>3.5055858919536748E-2</v>
      </c>
    </row>
    <row r="1185" spans="1:15" x14ac:dyDescent="0.25">
      <c r="A1185" t="s">
        <v>1220</v>
      </c>
      <c r="B1185" t="s">
        <v>12</v>
      </c>
      <c r="C1185" s="14" t="s">
        <v>55</v>
      </c>
      <c r="D1185" s="1">
        <v>45354</v>
      </c>
      <c r="E1185" s="13">
        <v>45380</v>
      </c>
      <c r="F1185" s="14" t="s">
        <v>14</v>
      </c>
      <c r="G1185">
        <v>87</v>
      </c>
      <c r="H1185">
        <v>14945.55</v>
      </c>
      <c r="I1185">
        <v>14424.62</v>
      </c>
      <c r="J1185">
        <v>0</v>
      </c>
      <c r="K1185" s="14" t="s">
        <v>15</v>
      </c>
      <c r="L1185" s="14">
        <f>IF(OR(Table1[[#This Row],[Order_Status]]="Delivered",Table1[[#This Row],[Delivery_Date]]&lt;&gt;"Not Yet Delivered"),Table1[[#This Row],[Delivery_Date]]-Table1[[#This Row],[Order_Date]],"Not Applicable")</f>
        <v>26</v>
      </c>
      <c r="M1185" s="14">
        <f>Table1[[#This Row],[Unit_Cost]]-Table1[[#This Row],[Negotiated_Cost]]</f>
        <v>520.92999999999847</v>
      </c>
      <c r="N1185" s="18">
        <f>Table1[[#This Row],[Defective_Units]]/Table1[[#This Row],[Quantity]]</f>
        <v>0</v>
      </c>
      <c r="O1185" s="26">
        <f>(Table1[[#This Row],[Unit_Cost]]-Table1[[#This Row],[Negotiated_Cost]])/Table1[[#This Row],[Unit_Cost]]</f>
        <v>3.4855191010032989E-2</v>
      </c>
    </row>
    <row r="1186" spans="1:15" x14ac:dyDescent="0.25">
      <c r="A1186" t="s">
        <v>1221</v>
      </c>
      <c r="B1186" t="s">
        <v>17</v>
      </c>
      <c r="C1186" s="14" t="s">
        <v>30</v>
      </c>
      <c r="D1186" s="1">
        <v>45188</v>
      </c>
      <c r="E1186" s="13">
        <v>45194</v>
      </c>
      <c r="F1186" s="14" t="s">
        <v>14</v>
      </c>
      <c r="G1186">
        <v>413</v>
      </c>
      <c r="H1186">
        <v>893.41</v>
      </c>
      <c r="I1186">
        <v>848.39</v>
      </c>
      <c r="J1186">
        <v>11</v>
      </c>
      <c r="K1186" s="14" t="s">
        <v>15</v>
      </c>
      <c r="L1186" s="14">
        <f>IF(OR(Table1[[#This Row],[Order_Status]]="Delivered",Table1[[#This Row],[Delivery_Date]]&lt;&gt;"Not Yet Delivered"),Table1[[#This Row],[Delivery_Date]]-Table1[[#This Row],[Order_Date]],"Not Applicable")</f>
        <v>6</v>
      </c>
      <c r="M1186" s="14">
        <f>Table1[[#This Row],[Unit_Cost]]-Table1[[#This Row],[Negotiated_Cost]]</f>
        <v>45.019999999999982</v>
      </c>
      <c r="N1186" s="18">
        <f>Table1[[#This Row],[Defective_Units]]/Table1[[#This Row],[Quantity]]</f>
        <v>2.6634382566585957E-2</v>
      </c>
      <c r="O1186" s="26">
        <f>(Table1[[#This Row],[Unit_Cost]]-Table1[[#This Row],[Negotiated_Cost]])/Table1[[#This Row],[Unit_Cost]]</f>
        <v>5.0391197770340589E-2</v>
      </c>
    </row>
    <row r="1187" spans="1:15" x14ac:dyDescent="0.25">
      <c r="A1187" t="s">
        <v>1222</v>
      </c>
      <c r="B1187" t="s">
        <v>46</v>
      </c>
      <c r="C1187" s="14" t="s">
        <v>18</v>
      </c>
      <c r="D1187" s="1">
        <v>45226</v>
      </c>
      <c r="E1187" s="13">
        <v>45250</v>
      </c>
      <c r="F1187" s="14" t="s">
        <v>14</v>
      </c>
      <c r="G1187">
        <v>366</v>
      </c>
      <c r="H1187">
        <v>5408.96</v>
      </c>
      <c r="I1187">
        <v>5300.65</v>
      </c>
      <c r="J1187">
        <v>6</v>
      </c>
      <c r="K1187" s="14" t="s">
        <v>15</v>
      </c>
      <c r="L1187" s="14">
        <f>IF(OR(Table1[[#This Row],[Order_Status]]="Delivered",Table1[[#This Row],[Delivery_Date]]&lt;&gt;"Not Yet Delivered"),Table1[[#This Row],[Delivery_Date]]-Table1[[#This Row],[Order_Date]],"Not Applicable")</f>
        <v>24</v>
      </c>
      <c r="M1187" s="14">
        <f>Table1[[#This Row],[Unit_Cost]]-Table1[[#This Row],[Negotiated_Cost]]</f>
        <v>108.3100000000004</v>
      </c>
      <c r="N1187" s="18">
        <f>Table1[[#This Row],[Defective_Units]]/Table1[[#This Row],[Quantity]]</f>
        <v>1.6393442622950821E-2</v>
      </c>
      <c r="O1187" s="26">
        <f>(Table1[[#This Row],[Unit_Cost]]-Table1[[#This Row],[Negotiated_Cost]])/Table1[[#This Row],[Unit_Cost]]</f>
        <v>2.0024182097852526E-2</v>
      </c>
    </row>
    <row r="1188" spans="1:15" x14ac:dyDescent="0.25">
      <c r="A1188" t="s">
        <v>1223</v>
      </c>
      <c r="B1188" t="s">
        <v>46</v>
      </c>
      <c r="C1188" s="14" t="s">
        <v>30</v>
      </c>
      <c r="D1188" s="1">
        <v>44942</v>
      </c>
      <c r="E1188" s="13">
        <v>44963</v>
      </c>
      <c r="F1188" s="14" t="s">
        <v>14</v>
      </c>
      <c r="G1188">
        <v>485</v>
      </c>
      <c r="H1188">
        <v>913.82</v>
      </c>
      <c r="I1188">
        <v>909.77</v>
      </c>
      <c r="J1188">
        <v>4</v>
      </c>
      <c r="K1188" s="14" t="s">
        <v>15</v>
      </c>
      <c r="L1188" s="14">
        <f>IF(OR(Table1[[#This Row],[Order_Status]]="Delivered",Table1[[#This Row],[Delivery_Date]]&lt;&gt;"Not Yet Delivered"),Table1[[#This Row],[Delivery_Date]]-Table1[[#This Row],[Order_Date]],"Not Applicable")</f>
        <v>21</v>
      </c>
      <c r="M1188" s="14">
        <f>Table1[[#This Row],[Unit_Cost]]-Table1[[#This Row],[Negotiated_Cost]]</f>
        <v>4.0500000000000682</v>
      </c>
      <c r="N1188" s="18">
        <f>Table1[[#This Row],[Defective_Units]]/Table1[[#This Row],[Quantity]]</f>
        <v>8.2474226804123713E-3</v>
      </c>
      <c r="O1188" s="26">
        <f>(Table1[[#This Row],[Unit_Cost]]-Table1[[#This Row],[Negotiated_Cost]])/Table1[[#This Row],[Unit_Cost]]</f>
        <v>4.4319450219956532E-3</v>
      </c>
    </row>
    <row r="1189" spans="1:15" x14ac:dyDescent="0.25">
      <c r="A1189" t="s">
        <v>1224</v>
      </c>
      <c r="B1189" t="s">
        <v>17</v>
      </c>
      <c r="C1189" s="14" t="s">
        <v>21</v>
      </c>
      <c r="D1189" s="1">
        <v>45368</v>
      </c>
      <c r="E1189" s="13">
        <v>45396</v>
      </c>
      <c r="F1189" s="14" t="s">
        <v>14</v>
      </c>
      <c r="G1189">
        <v>137</v>
      </c>
      <c r="H1189">
        <v>112.76</v>
      </c>
      <c r="I1189">
        <v>106.27</v>
      </c>
      <c r="J1189">
        <v>2</v>
      </c>
      <c r="K1189" s="14" t="s">
        <v>15</v>
      </c>
      <c r="L1189" s="14">
        <f>IF(OR(Table1[[#This Row],[Order_Status]]="Delivered",Table1[[#This Row],[Delivery_Date]]&lt;&gt;"Not Yet Delivered"),Table1[[#This Row],[Delivery_Date]]-Table1[[#This Row],[Order_Date]],"Not Applicable")</f>
        <v>28</v>
      </c>
      <c r="M1189" s="14">
        <f>Table1[[#This Row],[Unit_Cost]]-Table1[[#This Row],[Negotiated_Cost]]</f>
        <v>6.4900000000000091</v>
      </c>
      <c r="N1189" s="18">
        <f>Table1[[#This Row],[Defective_Units]]/Table1[[#This Row],[Quantity]]</f>
        <v>1.4598540145985401E-2</v>
      </c>
      <c r="O1189" s="26">
        <f>(Table1[[#This Row],[Unit_Cost]]-Table1[[#This Row],[Negotiated_Cost]])/Table1[[#This Row],[Unit_Cost]]</f>
        <v>5.7555870876197311E-2</v>
      </c>
    </row>
    <row r="1190" spans="1:15" x14ac:dyDescent="0.25">
      <c r="A1190" t="s">
        <v>1225</v>
      </c>
      <c r="B1190" t="s">
        <v>27</v>
      </c>
      <c r="C1190" s="14" t="s">
        <v>44</v>
      </c>
      <c r="D1190" s="1">
        <v>45621</v>
      </c>
      <c r="E1190" s="13">
        <v>45623</v>
      </c>
      <c r="F1190" s="14" t="s">
        <v>14</v>
      </c>
      <c r="G1190">
        <v>341</v>
      </c>
      <c r="H1190">
        <v>8928.8799999999992</v>
      </c>
      <c r="I1190">
        <v>8750.6</v>
      </c>
      <c r="J1190">
        <v>1</v>
      </c>
      <c r="K1190" s="14" t="s">
        <v>15</v>
      </c>
      <c r="L1190" s="14">
        <f>IF(OR(Table1[[#This Row],[Order_Status]]="Delivered",Table1[[#This Row],[Delivery_Date]]&lt;&gt;"Not Yet Delivered"),Table1[[#This Row],[Delivery_Date]]-Table1[[#This Row],[Order_Date]],"Not Applicable")</f>
        <v>2</v>
      </c>
      <c r="M1190" s="14">
        <f>Table1[[#This Row],[Unit_Cost]]-Table1[[#This Row],[Negotiated_Cost]]</f>
        <v>178.27999999999884</v>
      </c>
      <c r="N1190" s="18">
        <f>Table1[[#This Row],[Defective_Units]]/Table1[[#This Row],[Quantity]]</f>
        <v>2.9325513196480938E-3</v>
      </c>
      <c r="O1190" s="26">
        <f>(Table1[[#This Row],[Unit_Cost]]-Table1[[#This Row],[Negotiated_Cost]])/Table1[[#This Row],[Unit_Cost]]</f>
        <v>1.9966669951886333E-2</v>
      </c>
    </row>
    <row r="1191" spans="1:15" x14ac:dyDescent="0.25">
      <c r="A1191" t="s">
        <v>1226</v>
      </c>
      <c r="B1191" t="s">
        <v>40</v>
      </c>
      <c r="C1191" s="14" t="s">
        <v>55</v>
      </c>
      <c r="D1191" s="1">
        <v>45193</v>
      </c>
      <c r="E1191" s="13">
        <v>45206</v>
      </c>
      <c r="F1191" s="14" t="s">
        <v>14</v>
      </c>
      <c r="G1191">
        <v>419</v>
      </c>
      <c r="H1191">
        <v>14733.97</v>
      </c>
      <c r="I1191">
        <v>14129.82</v>
      </c>
      <c r="J1191">
        <v>9</v>
      </c>
      <c r="K1191" s="14" t="s">
        <v>15</v>
      </c>
      <c r="L1191" s="14">
        <f>IF(OR(Table1[[#This Row],[Order_Status]]="Delivered",Table1[[#This Row],[Delivery_Date]]&lt;&gt;"Not Yet Delivered"),Table1[[#This Row],[Delivery_Date]]-Table1[[#This Row],[Order_Date]],"Not Applicable")</f>
        <v>13</v>
      </c>
      <c r="M1191" s="14">
        <f>Table1[[#This Row],[Unit_Cost]]-Table1[[#This Row],[Negotiated_Cost]]</f>
        <v>604.14999999999964</v>
      </c>
      <c r="N1191" s="18">
        <f>Table1[[#This Row],[Defective_Units]]/Table1[[#This Row],[Quantity]]</f>
        <v>2.1479713603818614E-2</v>
      </c>
      <c r="O1191" s="26">
        <f>(Table1[[#This Row],[Unit_Cost]]-Table1[[#This Row],[Negotiated_Cost]])/Table1[[#This Row],[Unit_Cost]]</f>
        <v>4.1003884221292676E-2</v>
      </c>
    </row>
    <row r="1192" spans="1:15" x14ac:dyDescent="0.25">
      <c r="A1192" t="s">
        <v>1227</v>
      </c>
      <c r="B1192" t="s">
        <v>32</v>
      </c>
      <c r="C1192" s="14" t="s">
        <v>21</v>
      </c>
      <c r="D1192" s="1">
        <v>45540</v>
      </c>
      <c r="E1192" s="13">
        <v>45544</v>
      </c>
      <c r="F1192" s="14" t="s">
        <v>14</v>
      </c>
      <c r="G1192">
        <v>267</v>
      </c>
      <c r="H1192">
        <v>113.56</v>
      </c>
      <c r="I1192">
        <v>112.24</v>
      </c>
      <c r="J1192">
        <v>1</v>
      </c>
      <c r="K1192" s="14" t="s">
        <v>15</v>
      </c>
      <c r="L1192" s="14">
        <f>IF(OR(Table1[[#This Row],[Order_Status]]="Delivered",Table1[[#This Row],[Delivery_Date]]&lt;&gt;"Not Yet Delivered"),Table1[[#This Row],[Delivery_Date]]-Table1[[#This Row],[Order_Date]],"Not Applicable")</f>
        <v>4</v>
      </c>
      <c r="M1192" s="14">
        <f>Table1[[#This Row],[Unit_Cost]]-Table1[[#This Row],[Negotiated_Cost]]</f>
        <v>1.3200000000000074</v>
      </c>
      <c r="N1192" s="18">
        <f>Table1[[#This Row],[Defective_Units]]/Table1[[#This Row],[Quantity]]</f>
        <v>3.7453183520599251E-3</v>
      </c>
      <c r="O1192" s="26">
        <f>(Table1[[#This Row],[Unit_Cost]]-Table1[[#This Row],[Negotiated_Cost]])/Table1[[#This Row],[Unit_Cost]]</f>
        <v>1.1623811201127222E-2</v>
      </c>
    </row>
    <row r="1193" spans="1:15" x14ac:dyDescent="0.25">
      <c r="A1193" t="s">
        <v>1228</v>
      </c>
      <c r="B1193" t="s">
        <v>12</v>
      </c>
      <c r="C1193" s="14" t="s">
        <v>24</v>
      </c>
      <c r="D1193" s="1">
        <v>45277</v>
      </c>
      <c r="E1193" s="14" t="s">
        <v>2057</v>
      </c>
      <c r="F1193" s="14" t="s">
        <v>33</v>
      </c>
      <c r="G1193">
        <v>17</v>
      </c>
      <c r="H1193">
        <v>12824.93</v>
      </c>
      <c r="I1193">
        <v>12806.78</v>
      </c>
      <c r="J1193">
        <v>2</v>
      </c>
      <c r="K1193" s="14" t="s">
        <v>15</v>
      </c>
      <c r="L1193" s="14" t="str">
        <f>IF(OR(Table1[[#This Row],[Order_Status]]="Delivered",Table1[[#This Row],[Delivery_Date]]&lt;&gt;"Not Yet Delivered"),Table1[[#This Row],[Delivery_Date]]-Table1[[#This Row],[Order_Date]],"Not Applicable")</f>
        <v>Not Applicable</v>
      </c>
      <c r="M1193" s="14">
        <f>Table1[[#This Row],[Unit_Cost]]-Table1[[#This Row],[Negotiated_Cost]]</f>
        <v>18.149999999999636</v>
      </c>
      <c r="N1193" s="18">
        <f>Table1[[#This Row],[Defective_Units]]/Table1[[#This Row],[Quantity]]</f>
        <v>0.11764705882352941</v>
      </c>
      <c r="O1193" s="26">
        <f>(Table1[[#This Row],[Unit_Cost]]-Table1[[#This Row],[Negotiated_Cost]])/Table1[[#This Row],[Unit_Cost]]</f>
        <v>1.4152124027187389E-3</v>
      </c>
    </row>
    <row r="1194" spans="1:15" x14ac:dyDescent="0.25">
      <c r="A1194" t="s">
        <v>1229</v>
      </c>
      <c r="B1194" t="s">
        <v>35</v>
      </c>
      <c r="C1194" s="14" t="s">
        <v>36</v>
      </c>
      <c r="D1194" s="1">
        <v>45478</v>
      </c>
      <c r="E1194" s="13">
        <v>45500</v>
      </c>
      <c r="F1194" s="14" t="s">
        <v>14</v>
      </c>
      <c r="G1194">
        <v>367</v>
      </c>
      <c r="H1194">
        <v>545.19000000000005</v>
      </c>
      <c r="I1194">
        <v>530.62</v>
      </c>
      <c r="J1194">
        <v>2</v>
      </c>
      <c r="K1194" s="14" t="s">
        <v>15</v>
      </c>
      <c r="L1194" s="14">
        <f>IF(OR(Table1[[#This Row],[Order_Status]]="Delivered",Table1[[#This Row],[Delivery_Date]]&lt;&gt;"Not Yet Delivered"),Table1[[#This Row],[Delivery_Date]]-Table1[[#This Row],[Order_Date]],"Not Applicable")</f>
        <v>22</v>
      </c>
      <c r="M1194" s="14">
        <f>Table1[[#This Row],[Unit_Cost]]-Table1[[#This Row],[Negotiated_Cost]]</f>
        <v>14.57000000000005</v>
      </c>
      <c r="N1194" s="18">
        <f>Table1[[#This Row],[Defective_Units]]/Table1[[#This Row],[Quantity]]</f>
        <v>5.4495912806539508E-3</v>
      </c>
      <c r="O1194" s="26">
        <f>(Table1[[#This Row],[Unit_Cost]]-Table1[[#This Row],[Negotiated_Cost]])/Table1[[#This Row],[Unit_Cost]]</f>
        <v>2.6724628111300736E-2</v>
      </c>
    </row>
    <row r="1195" spans="1:15" x14ac:dyDescent="0.25">
      <c r="A1195" t="s">
        <v>1230</v>
      </c>
      <c r="B1195" t="s">
        <v>32</v>
      </c>
      <c r="C1195" s="14" t="s">
        <v>50</v>
      </c>
      <c r="D1195" s="1">
        <v>45048</v>
      </c>
      <c r="E1195" s="13">
        <v>45074</v>
      </c>
      <c r="F1195" s="14" t="s">
        <v>14</v>
      </c>
      <c r="G1195">
        <v>448</v>
      </c>
      <c r="H1195">
        <v>46360.66</v>
      </c>
      <c r="I1195">
        <v>44730.81</v>
      </c>
      <c r="J1195">
        <v>9</v>
      </c>
      <c r="K1195" s="14" t="s">
        <v>15</v>
      </c>
      <c r="L1195" s="14">
        <f>IF(OR(Table1[[#This Row],[Order_Status]]="Delivered",Table1[[#This Row],[Delivery_Date]]&lt;&gt;"Not Yet Delivered"),Table1[[#This Row],[Delivery_Date]]-Table1[[#This Row],[Order_Date]],"Not Applicable")</f>
        <v>26</v>
      </c>
      <c r="M1195" s="14">
        <f>Table1[[#This Row],[Unit_Cost]]-Table1[[#This Row],[Negotiated_Cost]]</f>
        <v>1629.8500000000058</v>
      </c>
      <c r="N1195" s="18">
        <f>Table1[[#This Row],[Defective_Units]]/Table1[[#This Row],[Quantity]]</f>
        <v>2.0089285714285716E-2</v>
      </c>
      <c r="O1195" s="26">
        <f>(Table1[[#This Row],[Unit_Cost]]-Table1[[#This Row],[Negotiated_Cost]])/Table1[[#This Row],[Unit_Cost]]</f>
        <v>3.5155884320887704E-2</v>
      </c>
    </row>
    <row r="1196" spans="1:15" x14ac:dyDescent="0.25">
      <c r="A1196" t="s">
        <v>1231</v>
      </c>
      <c r="B1196" t="s">
        <v>32</v>
      </c>
      <c r="C1196" s="14" t="s">
        <v>18</v>
      </c>
      <c r="D1196" s="1">
        <v>45037</v>
      </c>
      <c r="E1196" s="13">
        <v>45044</v>
      </c>
      <c r="F1196" s="14" t="s">
        <v>37</v>
      </c>
      <c r="G1196">
        <v>112</v>
      </c>
      <c r="H1196">
        <v>4948.3999999999996</v>
      </c>
      <c r="I1196">
        <v>4725.74</v>
      </c>
      <c r="J1196">
        <v>0</v>
      </c>
      <c r="K1196" s="14" t="s">
        <v>15</v>
      </c>
      <c r="L1196" s="14">
        <f>IF(OR(Table1[[#This Row],[Order_Status]]="Delivered",Table1[[#This Row],[Delivery_Date]]&lt;&gt;"Not Yet Delivered"),Table1[[#This Row],[Delivery_Date]]-Table1[[#This Row],[Order_Date]],"Not Applicable")</f>
        <v>7</v>
      </c>
      <c r="M1196" s="14">
        <f>Table1[[#This Row],[Unit_Cost]]-Table1[[#This Row],[Negotiated_Cost]]</f>
        <v>222.65999999999985</v>
      </c>
      <c r="N1196" s="18">
        <f>Table1[[#This Row],[Defective_Units]]/Table1[[#This Row],[Quantity]]</f>
        <v>0</v>
      </c>
      <c r="O1196" s="26">
        <f>(Table1[[#This Row],[Unit_Cost]]-Table1[[#This Row],[Negotiated_Cost]])/Table1[[#This Row],[Unit_Cost]]</f>
        <v>4.4996362460593298E-2</v>
      </c>
    </row>
    <row r="1197" spans="1:15" x14ac:dyDescent="0.25">
      <c r="A1197" t="s">
        <v>1232</v>
      </c>
      <c r="B1197" t="s">
        <v>32</v>
      </c>
      <c r="C1197" s="14" t="s">
        <v>48</v>
      </c>
      <c r="D1197" s="1">
        <v>45495</v>
      </c>
      <c r="E1197" s="13">
        <v>45520</v>
      </c>
      <c r="F1197" s="14" t="s">
        <v>14</v>
      </c>
      <c r="G1197">
        <v>168</v>
      </c>
      <c r="H1197">
        <v>6270.68</v>
      </c>
      <c r="I1197">
        <v>6057.96</v>
      </c>
      <c r="J1197">
        <v>0</v>
      </c>
      <c r="K1197" s="14" t="s">
        <v>15</v>
      </c>
      <c r="L1197" s="14">
        <f>IF(OR(Table1[[#This Row],[Order_Status]]="Delivered",Table1[[#This Row],[Delivery_Date]]&lt;&gt;"Not Yet Delivered"),Table1[[#This Row],[Delivery_Date]]-Table1[[#This Row],[Order_Date]],"Not Applicable")</f>
        <v>25</v>
      </c>
      <c r="M1197" s="14">
        <f>Table1[[#This Row],[Unit_Cost]]-Table1[[#This Row],[Negotiated_Cost]]</f>
        <v>212.72000000000025</v>
      </c>
      <c r="N1197" s="18">
        <f>Table1[[#This Row],[Defective_Units]]/Table1[[#This Row],[Quantity]]</f>
        <v>0</v>
      </c>
      <c r="O1197" s="26">
        <f>(Table1[[#This Row],[Unit_Cost]]-Table1[[#This Row],[Negotiated_Cost]])/Table1[[#This Row],[Unit_Cost]]</f>
        <v>3.3922955724100139E-2</v>
      </c>
    </row>
    <row r="1198" spans="1:15" x14ac:dyDescent="0.25">
      <c r="A1198" t="s">
        <v>1233</v>
      </c>
      <c r="B1198" t="s">
        <v>40</v>
      </c>
      <c r="C1198" s="14" t="s">
        <v>50</v>
      </c>
      <c r="D1198" s="1">
        <v>45305</v>
      </c>
      <c r="E1198" s="13">
        <v>45309</v>
      </c>
      <c r="F1198" s="14" t="s">
        <v>14</v>
      </c>
      <c r="G1198">
        <v>466</v>
      </c>
      <c r="H1198">
        <v>58324.03</v>
      </c>
      <c r="I1198">
        <v>56348.61</v>
      </c>
      <c r="J1198">
        <v>8</v>
      </c>
      <c r="K1198" s="14" t="s">
        <v>15</v>
      </c>
      <c r="L1198" s="14">
        <f>IF(OR(Table1[[#This Row],[Order_Status]]="Delivered",Table1[[#This Row],[Delivery_Date]]&lt;&gt;"Not Yet Delivered"),Table1[[#This Row],[Delivery_Date]]-Table1[[#This Row],[Order_Date]],"Not Applicable")</f>
        <v>4</v>
      </c>
      <c r="M1198" s="14">
        <f>Table1[[#This Row],[Unit_Cost]]-Table1[[#This Row],[Negotiated_Cost]]</f>
        <v>1975.4199999999983</v>
      </c>
      <c r="N1198" s="18">
        <f>Table1[[#This Row],[Defective_Units]]/Table1[[#This Row],[Quantity]]</f>
        <v>1.7167381974248927E-2</v>
      </c>
      <c r="O1198" s="26">
        <f>(Table1[[#This Row],[Unit_Cost]]-Table1[[#This Row],[Negotiated_Cost]])/Table1[[#This Row],[Unit_Cost]]</f>
        <v>3.3869744597552646E-2</v>
      </c>
    </row>
    <row r="1199" spans="1:15" x14ac:dyDescent="0.25">
      <c r="A1199" t="s">
        <v>1234</v>
      </c>
      <c r="B1199" t="s">
        <v>32</v>
      </c>
      <c r="C1199" s="14" t="s">
        <v>13</v>
      </c>
      <c r="D1199" s="1">
        <v>45046</v>
      </c>
      <c r="E1199" s="13">
        <v>45048</v>
      </c>
      <c r="F1199" s="14" t="s">
        <v>14</v>
      </c>
      <c r="G1199">
        <v>407</v>
      </c>
      <c r="H1199">
        <v>4076.21</v>
      </c>
      <c r="I1199">
        <v>4043.85</v>
      </c>
      <c r="J1199">
        <v>3</v>
      </c>
      <c r="K1199" s="14" t="s">
        <v>15</v>
      </c>
      <c r="L1199" s="14">
        <f>IF(OR(Table1[[#This Row],[Order_Status]]="Delivered",Table1[[#This Row],[Delivery_Date]]&lt;&gt;"Not Yet Delivered"),Table1[[#This Row],[Delivery_Date]]-Table1[[#This Row],[Order_Date]],"Not Applicable")</f>
        <v>2</v>
      </c>
      <c r="M1199" s="14">
        <f>Table1[[#This Row],[Unit_Cost]]-Table1[[#This Row],[Negotiated_Cost]]</f>
        <v>32.360000000000127</v>
      </c>
      <c r="N1199" s="18">
        <f>Table1[[#This Row],[Defective_Units]]/Table1[[#This Row],[Quantity]]</f>
        <v>7.3710073710073713E-3</v>
      </c>
      <c r="O1199" s="26">
        <f>(Table1[[#This Row],[Unit_Cost]]-Table1[[#This Row],[Negotiated_Cost]])/Table1[[#This Row],[Unit_Cost]]</f>
        <v>7.9387470223565831E-3</v>
      </c>
    </row>
    <row r="1200" spans="1:15" x14ac:dyDescent="0.25">
      <c r="A1200" t="s">
        <v>1235</v>
      </c>
      <c r="B1200" t="s">
        <v>46</v>
      </c>
      <c r="C1200" s="14" t="s">
        <v>21</v>
      </c>
      <c r="D1200" s="1">
        <v>45018</v>
      </c>
      <c r="E1200" s="13">
        <v>45034</v>
      </c>
      <c r="F1200" s="14" t="s">
        <v>14</v>
      </c>
      <c r="G1200">
        <v>259</v>
      </c>
      <c r="H1200">
        <v>124.57</v>
      </c>
      <c r="I1200">
        <v>120.86</v>
      </c>
      <c r="J1200">
        <v>4</v>
      </c>
      <c r="K1200" s="14" t="s">
        <v>15</v>
      </c>
      <c r="L1200" s="14">
        <f>IF(OR(Table1[[#This Row],[Order_Status]]="Delivered",Table1[[#This Row],[Delivery_Date]]&lt;&gt;"Not Yet Delivered"),Table1[[#This Row],[Delivery_Date]]-Table1[[#This Row],[Order_Date]],"Not Applicable")</f>
        <v>16</v>
      </c>
      <c r="M1200" s="14">
        <f>Table1[[#This Row],[Unit_Cost]]-Table1[[#This Row],[Negotiated_Cost]]</f>
        <v>3.7099999999999937</v>
      </c>
      <c r="N1200" s="18">
        <f>Table1[[#This Row],[Defective_Units]]/Table1[[#This Row],[Quantity]]</f>
        <v>1.5444015444015444E-2</v>
      </c>
      <c r="O1200" s="26">
        <f>(Table1[[#This Row],[Unit_Cost]]-Table1[[#This Row],[Negotiated_Cost]])/Table1[[#This Row],[Unit_Cost]]</f>
        <v>2.9782451633619603E-2</v>
      </c>
    </row>
    <row r="1201" spans="1:15" x14ac:dyDescent="0.25">
      <c r="A1201" t="s">
        <v>1236</v>
      </c>
      <c r="B1201" t="s">
        <v>27</v>
      </c>
      <c r="C1201" s="14" t="s">
        <v>30</v>
      </c>
      <c r="D1201" s="1">
        <v>45041</v>
      </c>
      <c r="E1201" s="13">
        <v>45052</v>
      </c>
      <c r="F1201" s="14" t="s">
        <v>14</v>
      </c>
      <c r="G1201">
        <v>400</v>
      </c>
      <c r="H1201">
        <v>868.39</v>
      </c>
      <c r="I1201">
        <v>860.84</v>
      </c>
      <c r="J1201">
        <v>10</v>
      </c>
      <c r="K1201" s="14" t="s">
        <v>15</v>
      </c>
      <c r="L1201" s="14">
        <f>IF(OR(Table1[[#This Row],[Order_Status]]="Delivered",Table1[[#This Row],[Delivery_Date]]&lt;&gt;"Not Yet Delivered"),Table1[[#This Row],[Delivery_Date]]-Table1[[#This Row],[Order_Date]],"Not Applicable")</f>
        <v>11</v>
      </c>
      <c r="M1201" s="14">
        <f>Table1[[#This Row],[Unit_Cost]]-Table1[[#This Row],[Negotiated_Cost]]</f>
        <v>7.5499999999999545</v>
      </c>
      <c r="N1201" s="18">
        <f>Table1[[#This Row],[Defective_Units]]/Table1[[#This Row],[Quantity]]</f>
        <v>2.5000000000000001E-2</v>
      </c>
      <c r="O1201" s="26">
        <f>(Table1[[#This Row],[Unit_Cost]]-Table1[[#This Row],[Negotiated_Cost]])/Table1[[#This Row],[Unit_Cost]]</f>
        <v>8.6942502792523579E-3</v>
      </c>
    </row>
    <row r="1202" spans="1:15" x14ac:dyDescent="0.25">
      <c r="A1202" t="s">
        <v>1237</v>
      </c>
      <c r="B1202" t="s">
        <v>46</v>
      </c>
      <c r="C1202" s="14" t="s">
        <v>36</v>
      </c>
      <c r="D1202" s="1">
        <v>45139</v>
      </c>
      <c r="E1202" s="13">
        <v>45147</v>
      </c>
      <c r="F1202" s="14" t="s">
        <v>14</v>
      </c>
      <c r="G1202">
        <v>192</v>
      </c>
      <c r="H1202">
        <v>549.02</v>
      </c>
      <c r="I1202">
        <v>524.17999999999995</v>
      </c>
      <c r="J1202">
        <v>3</v>
      </c>
      <c r="K1202" s="14" t="s">
        <v>15</v>
      </c>
      <c r="L1202" s="14">
        <f>IF(OR(Table1[[#This Row],[Order_Status]]="Delivered",Table1[[#This Row],[Delivery_Date]]&lt;&gt;"Not Yet Delivered"),Table1[[#This Row],[Delivery_Date]]-Table1[[#This Row],[Order_Date]],"Not Applicable")</f>
        <v>8</v>
      </c>
      <c r="M1202" s="14">
        <f>Table1[[#This Row],[Unit_Cost]]-Table1[[#This Row],[Negotiated_Cost]]</f>
        <v>24.840000000000032</v>
      </c>
      <c r="N1202" s="18">
        <f>Table1[[#This Row],[Defective_Units]]/Table1[[#This Row],[Quantity]]</f>
        <v>1.5625E-2</v>
      </c>
      <c r="O1202" s="26">
        <f>(Table1[[#This Row],[Unit_Cost]]-Table1[[#This Row],[Negotiated_Cost]])/Table1[[#This Row],[Unit_Cost]]</f>
        <v>4.524425339696192E-2</v>
      </c>
    </row>
    <row r="1203" spans="1:15" x14ac:dyDescent="0.25">
      <c r="A1203" t="s">
        <v>1238</v>
      </c>
      <c r="B1203" t="s">
        <v>17</v>
      </c>
      <c r="C1203" s="14" t="s">
        <v>44</v>
      </c>
      <c r="D1203" s="1">
        <v>45095</v>
      </c>
      <c r="E1203" s="13">
        <v>45120</v>
      </c>
      <c r="F1203" s="14" t="s">
        <v>14</v>
      </c>
      <c r="G1203">
        <v>253</v>
      </c>
      <c r="H1203">
        <v>8131.62</v>
      </c>
      <c r="I1203">
        <v>7888.96</v>
      </c>
      <c r="J1203">
        <v>0</v>
      </c>
      <c r="K1203" s="14" t="s">
        <v>15</v>
      </c>
      <c r="L1203" s="14">
        <f>IF(OR(Table1[[#This Row],[Order_Status]]="Delivered",Table1[[#This Row],[Delivery_Date]]&lt;&gt;"Not Yet Delivered"),Table1[[#This Row],[Delivery_Date]]-Table1[[#This Row],[Order_Date]],"Not Applicable")</f>
        <v>25</v>
      </c>
      <c r="M1203" s="14">
        <f>Table1[[#This Row],[Unit_Cost]]-Table1[[#This Row],[Negotiated_Cost]]</f>
        <v>242.65999999999985</v>
      </c>
      <c r="N1203" s="18">
        <f>Table1[[#This Row],[Defective_Units]]/Table1[[#This Row],[Quantity]]</f>
        <v>0</v>
      </c>
      <c r="O1203" s="26">
        <f>(Table1[[#This Row],[Unit_Cost]]-Table1[[#This Row],[Negotiated_Cost]])/Table1[[#This Row],[Unit_Cost]]</f>
        <v>2.9841532191617396E-2</v>
      </c>
    </row>
    <row r="1204" spans="1:15" x14ac:dyDescent="0.25">
      <c r="A1204" t="s">
        <v>1239</v>
      </c>
      <c r="B1204" t="s">
        <v>17</v>
      </c>
      <c r="C1204" s="14" t="s">
        <v>28</v>
      </c>
      <c r="D1204" s="1">
        <v>45277</v>
      </c>
      <c r="E1204" s="13">
        <v>45296</v>
      </c>
      <c r="F1204" s="14" t="s">
        <v>14</v>
      </c>
      <c r="G1204">
        <v>214</v>
      </c>
      <c r="H1204">
        <v>43870.74</v>
      </c>
      <c r="I1204">
        <v>42793.07</v>
      </c>
      <c r="J1204">
        <v>4</v>
      </c>
      <c r="K1204" s="14" t="s">
        <v>25</v>
      </c>
      <c r="L1204" s="14">
        <f>IF(OR(Table1[[#This Row],[Order_Status]]="Delivered",Table1[[#This Row],[Delivery_Date]]&lt;&gt;"Not Yet Delivered"),Table1[[#This Row],[Delivery_Date]]-Table1[[#This Row],[Order_Date]],"Not Applicable")</f>
        <v>19</v>
      </c>
      <c r="M1204" s="14">
        <f>Table1[[#This Row],[Unit_Cost]]-Table1[[#This Row],[Negotiated_Cost]]</f>
        <v>1077.6699999999983</v>
      </c>
      <c r="N1204" s="18">
        <f>Table1[[#This Row],[Defective_Units]]/Table1[[#This Row],[Quantity]]</f>
        <v>1.8691588785046728E-2</v>
      </c>
      <c r="O1204" s="26">
        <f>(Table1[[#This Row],[Unit_Cost]]-Table1[[#This Row],[Negotiated_Cost]])/Table1[[#This Row],[Unit_Cost]]</f>
        <v>2.4564664284213084E-2</v>
      </c>
    </row>
    <row r="1205" spans="1:15" x14ac:dyDescent="0.25">
      <c r="A1205" t="s">
        <v>1240</v>
      </c>
      <c r="B1205" t="s">
        <v>12</v>
      </c>
      <c r="C1205" s="14" t="s">
        <v>50</v>
      </c>
      <c r="D1205" s="1">
        <v>45206</v>
      </c>
      <c r="E1205" s="13">
        <v>45233</v>
      </c>
      <c r="F1205" s="14" t="s">
        <v>14</v>
      </c>
      <c r="G1205">
        <v>232</v>
      </c>
      <c r="H1205">
        <v>56733.8</v>
      </c>
      <c r="I1205">
        <v>55705.09</v>
      </c>
      <c r="J1205">
        <v>3</v>
      </c>
      <c r="K1205" s="14" t="s">
        <v>15</v>
      </c>
      <c r="L1205" s="14">
        <f>IF(OR(Table1[[#This Row],[Order_Status]]="Delivered",Table1[[#This Row],[Delivery_Date]]&lt;&gt;"Not Yet Delivered"),Table1[[#This Row],[Delivery_Date]]-Table1[[#This Row],[Order_Date]],"Not Applicable")</f>
        <v>27</v>
      </c>
      <c r="M1205" s="14">
        <f>Table1[[#This Row],[Unit_Cost]]-Table1[[#This Row],[Negotiated_Cost]]</f>
        <v>1028.7100000000064</v>
      </c>
      <c r="N1205" s="18">
        <f>Table1[[#This Row],[Defective_Units]]/Table1[[#This Row],[Quantity]]</f>
        <v>1.2931034482758621E-2</v>
      </c>
      <c r="O1205" s="26">
        <f>(Table1[[#This Row],[Unit_Cost]]-Table1[[#This Row],[Negotiated_Cost]])/Table1[[#This Row],[Unit_Cost]]</f>
        <v>1.8132224529293056E-2</v>
      </c>
    </row>
    <row r="1206" spans="1:15" x14ac:dyDescent="0.25">
      <c r="A1206" t="s">
        <v>1241</v>
      </c>
      <c r="B1206" t="s">
        <v>12</v>
      </c>
      <c r="C1206" s="14" t="s">
        <v>24</v>
      </c>
      <c r="D1206" s="1">
        <v>45128</v>
      </c>
      <c r="E1206" s="13">
        <v>45158</v>
      </c>
      <c r="F1206" s="14" t="s">
        <v>14</v>
      </c>
      <c r="G1206">
        <v>354</v>
      </c>
      <c r="H1206">
        <v>12660.8</v>
      </c>
      <c r="I1206">
        <v>12123.66</v>
      </c>
      <c r="J1206">
        <v>3</v>
      </c>
      <c r="K1206" s="14" t="s">
        <v>15</v>
      </c>
      <c r="L1206" s="14">
        <f>IF(OR(Table1[[#This Row],[Order_Status]]="Delivered",Table1[[#This Row],[Delivery_Date]]&lt;&gt;"Not Yet Delivered"),Table1[[#This Row],[Delivery_Date]]-Table1[[#This Row],[Order_Date]],"Not Applicable")</f>
        <v>30</v>
      </c>
      <c r="M1206" s="14">
        <f>Table1[[#This Row],[Unit_Cost]]-Table1[[#This Row],[Negotiated_Cost]]</f>
        <v>537.13999999999942</v>
      </c>
      <c r="N1206" s="18">
        <f>Table1[[#This Row],[Defective_Units]]/Table1[[#This Row],[Quantity]]</f>
        <v>8.4745762711864406E-3</v>
      </c>
      <c r="O1206" s="26">
        <f>(Table1[[#This Row],[Unit_Cost]]-Table1[[#This Row],[Negotiated_Cost]])/Table1[[#This Row],[Unit_Cost]]</f>
        <v>4.2425439150764521E-2</v>
      </c>
    </row>
    <row r="1207" spans="1:15" x14ac:dyDescent="0.25">
      <c r="A1207" t="s">
        <v>1242</v>
      </c>
      <c r="B1207" t="s">
        <v>17</v>
      </c>
      <c r="C1207" s="14" t="s">
        <v>30</v>
      </c>
      <c r="D1207" s="1">
        <v>45611</v>
      </c>
      <c r="E1207" s="13">
        <v>45614</v>
      </c>
      <c r="F1207" s="14" t="s">
        <v>14</v>
      </c>
      <c r="G1207">
        <v>340</v>
      </c>
      <c r="H1207">
        <v>860.39</v>
      </c>
      <c r="I1207">
        <v>833.13</v>
      </c>
      <c r="J1207">
        <v>4</v>
      </c>
      <c r="K1207" s="14" t="s">
        <v>15</v>
      </c>
      <c r="L1207" s="14">
        <f>IF(OR(Table1[[#This Row],[Order_Status]]="Delivered",Table1[[#This Row],[Delivery_Date]]&lt;&gt;"Not Yet Delivered"),Table1[[#This Row],[Delivery_Date]]-Table1[[#This Row],[Order_Date]],"Not Applicable")</f>
        <v>3</v>
      </c>
      <c r="M1207" s="14">
        <f>Table1[[#This Row],[Unit_Cost]]-Table1[[#This Row],[Negotiated_Cost]]</f>
        <v>27.259999999999991</v>
      </c>
      <c r="N1207" s="18">
        <f>Table1[[#This Row],[Defective_Units]]/Table1[[#This Row],[Quantity]]</f>
        <v>1.1764705882352941E-2</v>
      </c>
      <c r="O1207" s="26">
        <f>(Table1[[#This Row],[Unit_Cost]]-Table1[[#This Row],[Negotiated_Cost]])/Table1[[#This Row],[Unit_Cost]]</f>
        <v>3.1683306407559356E-2</v>
      </c>
    </row>
    <row r="1208" spans="1:15" x14ac:dyDescent="0.25">
      <c r="A1208" t="s">
        <v>1243</v>
      </c>
      <c r="B1208" t="s">
        <v>40</v>
      </c>
      <c r="C1208" s="14" t="s">
        <v>30</v>
      </c>
      <c r="D1208" s="1">
        <v>45627</v>
      </c>
      <c r="E1208" s="14" t="s">
        <v>2057</v>
      </c>
      <c r="F1208" s="14" t="s">
        <v>22</v>
      </c>
      <c r="G1208">
        <v>404</v>
      </c>
      <c r="H1208">
        <v>1022.28</v>
      </c>
      <c r="I1208">
        <v>999.18</v>
      </c>
      <c r="J1208">
        <v>2</v>
      </c>
      <c r="K1208" s="14" t="s">
        <v>15</v>
      </c>
      <c r="L1208" s="14" t="str">
        <f>IF(OR(Table1[[#This Row],[Order_Status]]="Delivered",Table1[[#This Row],[Delivery_Date]]&lt;&gt;"Not Yet Delivered"),Table1[[#This Row],[Delivery_Date]]-Table1[[#This Row],[Order_Date]],"Not Applicable")</f>
        <v>Not Applicable</v>
      </c>
      <c r="M1208" s="14">
        <f>Table1[[#This Row],[Unit_Cost]]-Table1[[#This Row],[Negotiated_Cost]]</f>
        <v>23.100000000000023</v>
      </c>
      <c r="N1208" s="18">
        <f>Table1[[#This Row],[Defective_Units]]/Table1[[#This Row],[Quantity]]</f>
        <v>4.9504950495049506E-3</v>
      </c>
      <c r="O1208" s="26">
        <f>(Table1[[#This Row],[Unit_Cost]]-Table1[[#This Row],[Negotiated_Cost]])/Table1[[#This Row],[Unit_Cost]]</f>
        <v>2.2596548890714895E-2</v>
      </c>
    </row>
    <row r="1209" spans="1:15" x14ac:dyDescent="0.25">
      <c r="A1209" t="s">
        <v>1244</v>
      </c>
      <c r="B1209" t="s">
        <v>40</v>
      </c>
      <c r="C1209" s="14" t="s">
        <v>42</v>
      </c>
      <c r="D1209" s="1">
        <v>45399</v>
      </c>
      <c r="E1209" s="13">
        <v>45422</v>
      </c>
      <c r="F1209" s="14" t="s">
        <v>37</v>
      </c>
      <c r="G1209">
        <v>124</v>
      </c>
      <c r="H1209">
        <v>13652.12</v>
      </c>
      <c r="I1209">
        <v>12872.53</v>
      </c>
      <c r="J1209">
        <v>4</v>
      </c>
      <c r="K1209" s="14" t="s">
        <v>15</v>
      </c>
      <c r="L1209" s="14">
        <f>IF(OR(Table1[[#This Row],[Order_Status]]="Delivered",Table1[[#This Row],[Delivery_Date]]&lt;&gt;"Not Yet Delivered"),Table1[[#This Row],[Delivery_Date]]-Table1[[#This Row],[Order_Date]],"Not Applicable")</f>
        <v>23</v>
      </c>
      <c r="M1209" s="14">
        <f>Table1[[#This Row],[Unit_Cost]]-Table1[[#This Row],[Negotiated_Cost]]</f>
        <v>779.59000000000015</v>
      </c>
      <c r="N1209" s="18">
        <f>Table1[[#This Row],[Defective_Units]]/Table1[[#This Row],[Quantity]]</f>
        <v>3.2258064516129031E-2</v>
      </c>
      <c r="O1209" s="26">
        <f>(Table1[[#This Row],[Unit_Cost]]-Table1[[#This Row],[Negotiated_Cost]])/Table1[[#This Row],[Unit_Cost]]</f>
        <v>5.7103951620700678E-2</v>
      </c>
    </row>
    <row r="1210" spans="1:15" x14ac:dyDescent="0.25">
      <c r="A1210" t="s">
        <v>1245</v>
      </c>
      <c r="B1210" t="s">
        <v>27</v>
      </c>
      <c r="C1210" s="14" t="s">
        <v>44</v>
      </c>
      <c r="D1210" s="1">
        <v>45420</v>
      </c>
      <c r="E1210" s="13">
        <v>45434</v>
      </c>
      <c r="F1210" s="14" t="s">
        <v>14</v>
      </c>
      <c r="G1210">
        <v>337</v>
      </c>
      <c r="H1210">
        <v>8300.5</v>
      </c>
      <c r="I1210">
        <v>8092.09</v>
      </c>
      <c r="J1210">
        <v>4</v>
      </c>
      <c r="K1210" s="14" t="s">
        <v>25</v>
      </c>
      <c r="L1210" s="14">
        <f>IF(OR(Table1[[#This Row],[Order_Status]]="Delivered",Table1[[#This Row],[Delivery_Date]]&lt;&gt;"Not Yet Delivered"),Table1[[#This Row],[Delivery_Date]]-Table1[[#This Row],[Order_Date]],"Not Applicable")</f>
        <v>14</v>
      </c>
      <c r="M1210" s="14">
        <f>Table1[[#This Row],[Unit_Cost]]-Table1[[#This Row],[Negotiated_Cost]]</f>
        <v>208.40999999999985</v>
      </c>
      <c r="N1210" s="18">
        <f>Table1[[#This Row],[Defective_Units]]/Table1[[#This Row],[Quantity]]</f>
        <v>1.1869436201780416E-2</v>
      </c>
      <c r="O1210" s="26">
        <f>(Table1[[#This Row],[Unit_Cost]]-Table1[[#This Row],[Negotiated_Cost]])/Table1[[#This Row],[Unit_Cost]]</f>
        <v>2.5108126016505011E-2</v>
      </c>
    </row>
    <row r="1211" spans="1:15" x14ac:dyDescent="0.25">
      <c r="A1211" t="s">
        <v>1246</v>
      </c>
      <c r="B1211" t="s">
        <v>35</v>
      </c>
      <c r="C1211" s="14" t="s">
        <v>13</v>
      </c>
      <c r="D1211" s="1">
        <v>45492</v>
      </c>
      <c r="E1211" s="13">
        <v>45494</v>
      </c>
      <c r="F1211" s="14" t="s">
        <v>14</v>
      </c>
      <c r="G1211">
        <v>263</v>
      </c>
      <c r="H1211">
        <v>4133.92</v>
      </c>
      <c r="I1211">
        <v>3991.04</v>
      </c>
      <c r="J1211">
        <v>0</v>
      </c>
      <c r="K1211" s="14" t="s">
        <v>15</v>
      </c>
      <c r="L1211" s="14">
        <f>IF(OR(Table1[[#This Row],[Order_Status]]="Delivered",Table1[[#This Row],[Delivery_Date]]&lt;&gt;"Not Yet Delivered"),Table1[[#This Row],[Delivery_Date]]-Table1[[#This Row],[Order_Date]],"Not Applicable")</f>
        <v>2</v>
      </c>
      <c r="M1211" s="14">
        <f>Table1[[#This Row],[Unit_Cost]]-Table1[[#This Row],[Negotiated_Cost]]</f>
        <v>142.88000000000011</v>
      </c>
      <c r="N1211" s="18">
        <f>Table1[[#This Row],[Defective_Units]]/Table1[[#This Row],[Quantity]]</f>
        <v>0</v>
      </c>
      <c r="O1211" s="26">
        <f>(Table1[[#This Row],[Unit_Cost]]-Table1[[#This Row],[Negotiated_Cost]])/Table1[[#This Row],[Unit_Cost]]</f>
        <v>3.4562836242597851E-2</v>
      </c>
    </row>
    <row r="1212" spans="1:15" x14ac:dyDescent="0.25">
      <c r="A1212" t="s">
        <v>1247</v>
      </c>
      <c r="B1212" t="s">
        <v>20</v>
      </c>
      <c r="C1212" s="14" t="s">
        <v>18</v>
      </c>
      <c r="D1212" s="1">
        <v>45265</v>
      </c>
      <c r="E1212" s="13">
        <v>45288</v>
      </c>
      <c r="F1212" s="14" t="s">
        <v>14</v>
      </c>
      <c r="G1212">
        <v>311</v>
      </c>
      <c r="H1212">
        <v>4969.1000000000004</v>
      </c>
      <c r="I1212">
        <v>4942.37</v>
      </c>
      <c r="J1212">
        <v>2</v>
      </c>
      <c r="K1212" s="14" t="s">
        <v>15</v>
      </c>
      <c r="L1212" s="14">
        <f>IF(OR(Table1[[#This Row],[Order_Status]]="Delivered",Table1[[#This Row],[Delivery_Date]]&lt;&gt;"Not Yet Delivered"),Table1[[#This Row],[Delivery_Date]]-Table1[[#This Row],[Order_Date]],"Not Applicable")</f>
        <v>23</v>
      </c>
      <c r="M1212" s="14">
        <f>Table1[[#This Row],[Unit_Cost]]-Table1[[#This Row],[Negotiated_Cost]]</f>
        <v>26.730000000000473</v>
      </c>
      <c r="N1212" s="18">
        <f>Table1[[#This Row],[Defective_Units]]/Table1[[#This Row],[Quantity]]</f>
        <v>6.4308681672025723E-3</v>
      </c>
      <c r="O1212" s="26">
        <f>(Table1[[#This Row],[Unit_Cost]]-Table1[[#This Row],[Negotiated_Cost]])/Table1[[#This Row],[Unit_Cost]]</f>
        <v>5.3792437262281841E-3</v>
      </c>
    </row>
    <row r="1213" spans="1:15" x14ac:dyDescent="0.25">
      <c r="A1213" t="s">
        <v>1248</v>
      </c>
      <c r="B1213" t="s">
        <v>40</v>
      </c>
      <c r="C1213" s="14" t="s">
        <v>24</v>
      </c>
      <c r="D1213" s="1">
        <v>45595</v>
      </c>
      <c r="E1213" s="13">
        <v>45620</v>
      </c>
      <c r="F1213" s="14" t="s">
        <v>14</v>
      </c>
      <c r="G1213">
        <v>175</v>
      </c>
      <c r="H1213">
        <v>12823.39</v>
      </c>
      <c r="I1213">
        <v>12520.65</v>
      </c>
      <c r="J1213">
        <v>4</v>
      </c>
      <c r="K1213" s="14" t="s">
        <v>15</v>
      </c>
      <c r="L1213" s="14">
        <f>IF(OR(Table1[[#This Row],[Order_Status]]="Delivered",Table1[[#This Row],[Delivery_Date]]&lt;&gt;"Not Yet Delivered"),Table1[[#This Row],[Delivery_Date]]-Table1[[#This Row],[Order_Date]],"Not Applicable")</f>
        <v>25</v>
      </c>
      <c r="M1213" s="14">
        <f>Table1[[#This Row],[Unit_Cost]]-Table1[[#This Row],[Negotiated_Cost]]</f>
        <v>302.73999999999978</v>
      </c>
      <c r="N1213" s="18">
        <f>Table1[[#This Row],[Defective_Units]]/Table1[[#This Row],[Quantity]]</f>
        <v>2.2857142857142857E-2</v>
      </c>
      <c r="O1213" s="26">
        <f>(Table1[[#This Row],[Unit_Cost]]-Table1[[#This Row],[Negotiated_Cost]])/Table1[[#This Row],[Unit_Cost]]</f>
        <v>2.3608421797980082E-2</v>
      </c>
    </row>
    <row r="1214" spans="1:15" x14ac:dyDescent="0.25">
      <c r="A1214" t="s">
        <v>1249</v>
      </c>
      <c r="B1214" t="s">
        <v>17</v>
      </c>
      <c r="C1214" s="14" t="s">
        <v>44</v>
      </c>
      <c r="D1214" s="1">
        <v>45426</v>
      </c>
      <c r="E1214" s="13">
        <v>45454</v>
      </c>
      <c r="F1214" s="14" t="s">
        <v>14</v>
      </c>
      <c r="G1214">
        <v>373</v>
      </c>
      <c r="H1214">
        <v>7736.37</v>
      </c>
      <c r="I1214">
        <v>7336.12</v>
      </c>
      <c r="J1214">
        <v>4</v>
      </c>
      <c r="K1214" s="14" t="s">
        <v>15</v>
      </c>
      <c r="L1214" s="14">
        <f>IF(OR(Table1[[#This Row],[Order_Status]]="Delivered",Table1[[#This Row],[Delivery_Date]]&lt;&gt;"Not Yet Delivered"),Table1[[#This Row],[Delivery_Date]]-Table1[[#This Row],[Order_Date]],"Not Applicable")</f>
        <v>28</v>
      </c>
      <c r="M1214" s="14">
        <f>Table1[[#This Row],[Unit_Cost]]-Table1[[#This Row],[Negotiated_Cost]]</f>
        <v>400.25</v>
      </c>
      <c r="N1214" s="18">
        <f>Table1[[#This Row],[Defective_Units]]/Table1[[#This Row],[Quantity]]</f>
        <v>1.0723860589812333E-2</v>
      </c>
      <c r="O1214" s="26">
        <f>(Table1[[#This Row],[Unit_Cost]]-Table1[[#This Row],[Negotiated_Cost]])/Table1[[#This Row],[Unit_Cost]]</f>
        <v>5.1736150158278364E-2</v>
      </c>
    </row>
    <row r="1215" spans="1:15" x14ac:dyDescent="0.25">
      <c r="A1215" t="s">
        <v>1250</v>
      </c>
      <c r="B1215" t="s">
        <v>32</v>
      </c>
      <c r="C1215" s="14" t="s">
        <v>42</v>
      </c>
      <c r="D1215" s="1">
        <v>45039</v>
      </c>
      <c r="E1215" s="13">
        <v>45063</v>
      </c>
      <c r="F1215" s="14" t="s">
        <v>14</v>
      </c>
      <c r="G1215">
        <v>328</v>
      </c>
      <c r="H1215">
        <v>10412.5</v>
      </c>
      <c r="I1215">
        <v>10249.52</v>
      </c>
      <c r="J1215">
        <v>6</v>
      </c>
      <c r="K1215" s="14" t="s">
        <v>15</v>
      </c>
      <c r="L1215" s="14">
        <f>IF(OR(Table1[[#This Row],[Order_Status]]="Delivered",Table1[[#This Row],[Delivery_Date]]&lt;&gt;"Not Yet Delivered"),Table1[[#This Row],[Delivery_Date]]-Table1[[#This Row],[Order_Date]],"Not Applicable")</f>
        <v>24</v>
      </c>
      <c r="M1215" s="14">
        <f>Table1[[#This Row],[Unit_Cost]]-Table1[[#This Row],[Negotiated_Cost]]</f>
        <v>162.97999999999956</v>
      </c>
      <c r="N1215" s="18">
        <f>Table1[[#This Row],[Defective_Units]]/Table1[[#This Row],[Quantity]]</f>
        <v>1.8292682926829267E-2</v>
      </c>
      <c r="O1215" s="26">
        <f>(Table1[[#This Row],[Unit_Cost]]-Table1[[#This Row],[Negotiated_Cost]])/Table1[[#This Row],[Unit_Cost]]</f>
        <v>1.5652340936374506E-2</v>
      </c>
    </row>
    <row r="1216" spans="1:15" x14ac:dyDescent="0.25">
      <c r="A1216" t="s">
        <v>1251</v>
      </c>
      <c r="B1216" t="s">
        <v>35</v>
      </c>
      <c r="C1216" s="14" t="s">
        <v>36</v>
      </c>
      <c r="D1216" s="1">
        <v>44989</v>
      </c>
      <c r="E1216" s="13">
        <v>45007</v>
      </c>
      <c r="F1216" s="14" t="s">
        <v>14</v>
      </c>
      <c r="G1216">
        <v>188</v>
      </c>
      <c r="H1216">
        <v>533.71</v>
      </c>
      <c r="I1216">
        <v>527.55999999999995</v>
      </c>
      <c r="J1216">
        <v>2</v>
      </c>
      <c r="K1216" s="14" t="s">
        <v>15</v>
      </c>
      <c r="L1216" s="14">
        <f>IF(OR(Table1[[#This Row],[Order_Status]]="Delivered",Table1[[#This Row],[Delivery_Date]]&lt;&gt;"Not Yet Delivered"),Table1[[#This Row],[Delivery_Date]]-Table1[[#This Row],[Order_Date]],"Not Applicable")</f>
        <v>18</v>
      </c>
      <c r="M1216" s="14">
        <f>Table1[[#This Row],[Unit_Cost]]-Table1[[#This Row],[Negotiated_Cost]]</f>
        <v>6.1500000000000909</v>
      </c>
      <c r="N1216" s="18">
        <f>Table1[[#This Row],[Defective_Units]]/Table1[[#This Row],[Quantity]]</f>
        <v>1.0638297872340425E-2</v>
      </c>
      <c r="O1216" s="26">
        <f>(Table1[[#This Row],[Unit_Cost]]-Table1[[#This Row],[Negotiated_Cost]])/Table1[[#This Row],[Unit_Cost]]</f>
        <v>1.1523111802289803E-2</v>
      </c>
    </row>
    <row r="1217" spans="1:15" x14ac:dyDescent="0.25">
      <c r="A1217" t="s">
        <v>1252</v>
      </c>
      <c r="B1217" t="s">
        <v>20</v>
      </c>
      <c r="C1217" s="14" t="s">
        <v>18</v>
      </c>
      <c r="D1217" s="1">
        <v>45162</v>
      </c>
      <c r="E1217" s="13">
        <v>45171</v>
      </c>
      <c r="F1217" s="14" t="s">
        <v>14</v>
      </c>
      <c r="G1217">
        <v>202</v>
      </c>
      <c r="H1217">
        <v>5135.6499999999996</v>
      </c>
      <c r="I1217">
        <v>5045.04</v>
      </c>
      <c r="J1217">
        <v>2</v>
      </c>
      <c r="K1217" s="14" t="s">
        <v>15</v>
      </c>
      <c r="L1217" s="14">
        <f>IF(OR(Table1[[#This Row],[Order_Status]]="Delivered",Table1[[#This Row],[Delivery_Date]]&lt;&gt;"Not Yet Delivered"),Table1[[#This Row],[Delivery_Date]]-Table1[[#This Row],[Order_Date]],"Not Applicable")</f>
        <v>9</v>
      </c>
      <c r="M1217" s="14">
        <f>Table1[[#This Row],[Unit_Cost]]-Table1[[#This Row],[Negotiated_Cost]]</f>
        <v>90.609999999999673</v>
      </c>
      <c r="N1217" s="18">
        <f>Table1[[#This Row],[Defective_Units]]/Table1[[#This Row],[Quantity]]</f>
        <v>9.9009900990099011E-3</v>
      </c>
      <c r="O1217" s="26">
        <f>(Table1[[#This Row],[Unit_Cost]]-Table1[[#This Row],[Negotiated_Cost]])/Table1[[#This Row],[Unit_Cost]]</f>
        <v>1.7643336286545946E-2</v>
      </c>
    </row>
    <row r="1218" spans="1:15" x14ac:dyDescent="0.25">
      <c r="A1218" t="s">
        <v>1253</v>
      </c>
      <c r="B1218" t="s">
        <v>17</v>
      </c>
      <c r="C1218" s="14" t="s">
        <v>28</v>
      </c>
      <c r="D1218" s="1">
        <v>45116</v>
      </c>
      <c r="E1218" s="13">
        <v>45123</v>
      </c>
      <c r="F1218" s="14" t="s">
        <v>37</v>
      </c>
      <c r="G1218">
        <v>16</v>
      </c>
      <c r="H1218">
        <v>46279.07</v>
      </c>
      <c r="I1218">
        <v>45911.31</v>
      </c>
      <c r="J1218">
        <v>1</v>
      </c>
      <c r="K1218" s="14" t="s">
        <v>15</v>
      </c>
      <c r="L1218" s="14">
        <f>IF(OR(Table1[[#This Row],[Order_Status]]="Delivered",Table1[[#This Row],[Delivery_Date]]&lt;&gt;"Not Yet Delivered"),Table1[[#This Row],[Delivery_Date]]-Table1[[#This Row],[Order_Date]],"Not Applicable")</f>
        <v>7</v>
      </c>
      <c r="M1218" s="14">
        <f>Table1[[#This Row],[Unit_Cost]]-Table1[[#This Row],[Negotiated_Cost]]</f>
        <v>367.76000000000204</v>
      </c>
      <c r="N1218" s="18">
        <f>Table1[[#This Row],[Defective_Units]]/Table1[[#This Row],[Quantity]]</f>
        <v>6.25E-2</v>
      </c>
      <c r="O1218" s="26">
        <f>(Table1[[#This Row],[Unit_Cost]]-Table1[[#This Row],[Negotiated_Cost]])/Table1[[#This Row],[Unit_Cost]]</f>
        <v>7.9465728243891254E-3</v>
      </c>
    </row>
    <row r="1219" spans="1:15" x14ac:dyDescent="0.25">
      <c r="A1219" t="s">
        <v>1254</v>
      </c>
      <c r="B1219" t="s">
        <v>12</v>
      </c>
      <c r="C1219" s="14" t="s">
        <v>55</v>
      </c>
      <c r="D1219" s="1">
        <v>44947</v>
      </c>
      <c r="E1219" s="13">
        <v>44971</v>
      </c>
      <c r="F1219" s="14" t="s">
        <v>14</v>
      </c>
      <c r="G1219">
        <v>149</v>
      </c>
      <c r="H1219">
        <v>14317.3</v>
      </c>
      <c r="I1219">
        <v>14282.57</v>
      </c>
      <c r="J1219">
        <v>0</v>
      </c>
      <c r="K1219" s="14" t="s">
        <v>15</v>
      </c>
      <c r="L1219" s="14">
        <f>IF(OR(Table1[[#This Row],[Order_Status]]="Delivered",Table1[[#This Row],[Delivery_Date]]&lt;&gt;"Not Yet Delivered"),Table1[[#This Row],[Delivery_Date]]-Table1[[#This Row],[Order_Date]],"Not Applicable")</f>
        <v>24</v>
      </c>
      <c r="M1219" s="14">
        <f>Table1[[#This Row],[Unit_Cost]]-Table1[[#This Row],[Negotiated_Cost]]</f>
        <v>34.729999999999563</v>
      </c>
      <c r="N1219" s="18">
        <f>Table1[[#This Row],[Defective_Units]]/Table1[[#This Row],[Quantity]]</f>
        <v>0</v>
      </c>
      <c r="O1219" s="26">
        <f>(Table1[[#This Row],[Unit_Cost]]-Table1[[#This Row],[Negotiated_Cost]])/Table1[[#This Row],[Unit_Cost]]</f>
        <v>2.4257366961647495E-3</v>
      </c>
    </row>
    <row r="1220" spans="1:15" x14ac:dyDescent="0.25">
      <c r="A1220" t="s">
        <v>1255</v>
      </c>
      <c r="B1220" t="s">
        <v>20</v>
      </c>
      <c r="C1220" s="14" t="s">
        <v>30</v>
      </c>
      <c r="D1220" s="1">
        <v>45311</v>
      </c>
      <c r="E1220" s="13">
        <v>45335</v>
      </c>
      <c r="F1220" s="14" t="s">
        <v>14</v>
      </c>
      <c r="G1220">
        <v>318</v>
      </c>
      <c r="H1220">
        <v>854.61</v>
      </c>
      <c r="I1220">
        <v>852.2</v>
      </c>
      <c r="J1220">
        <v>1</v>
      </c>
      <c r="K1220" s="14" t="s">
        <v>15</v>
      </c>
      <c r="L1220" s="14">
        <f>IF(OR(Table1[[#This Row],[Order_Status]]="Delivered",Table1[[#This Row],[Delivery_Date]]&lt;&gt;"Not Yet Delivered"),Table1[[#This Row],[Delivery_Date]]-Table1[[#This Row],[Order_Date]],"Not Applicable")</f>
        <v>24</v>
      </c>
      <c r="M1220" s="14">
        <f>Table1[[#This Row],[Unit_Cost]]-Table1[[#This Row],[Negotiated_Cost]]</f>
        <v>2.4099999999999682</v>
      </c>
      <c r="N1220" s="18">
        <f>Table1[[#This Row],[Defective_Units]]/Table1[[#This Row],[Quantity]]</f>
        <v>3.1446540880503146E-3</v>
      </c>
      <c r="O1220" s="26">
        <f>(Table1[[#This Row],[Unit_Cost]]-Table1[[#This Row],[Negotiated_Cost]])/Table1[[#This Row],[Unit_Cost]]</f>
        <v>2.819999765975086E-3</v>
      </c>
    </row>
    <row r="1221" spans="1:15" x14ac:dyDescent="0.25">
      <c r="A1221" t="s">
        <v>1256</v>
      </c>
      <c r="B1221" t="s">
        <v>32</v>
      </c>
      <c r="C1221" s="14" t="s">
        <v>24</v>
      </c>
      <c r="D1221" s="1">
        <v>45525</v>
      </c>
      <c r="E1221" s="13">
        <v>45549</v>
      </c>
      <c r="F1221" s="14" t="s">
        <v>14</v>
      </c>
      <c r="G1221">
        <v>223</v>
      </c>
      <c r="H1221">
        <v>11706.32</v>
      </c>
      <c r="I1221">
        <v>11055.25</v>
      </c>
      <c r="J1221">
        <v>3</v>
      </c>
      <c r="K1221" s="14" t="s">
        <v>25</v>
      </c>
      <c r="L1221" s="14">
        <f>IF(OR(Table1[[#This Row],[Order_Status]]="Delivered",Table1[[#This Row],[Delivery_Date]]&lt;&gt;"Not Yet Delivered"),Table1[[#This Row],[Delivery_Date]]-Table1[[#This Row],[Order_Date]],"Not Applicable")</f>
        <v>24</v>
      </c>
      <c r="M1221" s="14">
        <f>Table1[[#This Row],[Unit_Cost]]-Table1[[#This Row],[Negotiated_Cost]]</f>
        <v>651.06999999999971</v>
      </c>
      <c r="N1221" s="18">
        <f>Table1[[#This Row],[Defective_Units]]/Table1[[#This Row],[Quantity]]</f>
        <v>1.3452914798206279E-2</v>
      </c>
      <c r="O1221" s="26">
        <f>(Table1[[#This Row],[Unit_Cost]]-Table1[[#This Row],[Negotiated_Cost]])/Table1[[#This Row],[Unit_Cost]]</f>
        <v>5.5616965878260607E-2</v>
      </c>
    </row>
    <row r="1222" spans="1:15" x14ac:dyDescent="0.25">
      <c r="A1222" t="s">
        <v>1257</v>
      </c>
      <c r="B1222" t="s">
        <v>35</v>
      </c>
      <c r="C1222" s="14" t="s">
        <v>30</v>
      </c>
      <c r="D1222" s="1">
        <v>45277</v>
      </c>
      <c r="E1222" s="13">
        <v>45287</v>
      </c>
      <c r="F1222" s="14" t="s">
        <v>14</v>
      </c>
      <c r="G1222">
        <v>190</v>
      </c>
      <c r="H1222">
        <v>947.62</v>
      </c>
      <c r="I1222">
        <v>920.39</v>
      </c>
      <c r="J1222">
        <v>3</v>
      </c>
      <c r="K1222" s="14" t="s">
        <v>15</v>
      </c>
      <c r="L1222" s="14">
        <f>IF(OR(Table1[[#This Row],[Order_Status]]="Delivered",Table1[[#This Row],[Delivery_Date]]&lt;&gt;"Not Yet Delivered"),Table1[[#This Row],[Delivery_Date]]-Table1[[#This Row],[Order_Date]],"Not Applicable")</f>
        <v>10</v>
      </c>
      <c r="M1222" s="14">
        <f>Table1[[#This Row],[Unit_Cost]]-Table1[[#This Row],[Negotiated_Cost]]</f>
        <v>27.230000000000018</v>
      </c>
      <c r="N1222" s="18">
        <f>Table1[[#This Row],[Defective_Units]]/Table1[[#This Row],[Quantity]]</f>
        <v>1.5789473684210527E-2</v>
      </c>
      <c r="O1222" s="26">
        <f>(Table1[[#This Row],[Unit_Cost]]-Table1[[#This Row],[Negotiated_Cost]])/Table1[[#This Row],[Unit_Cost]]</f>
        <v>2.873514699985228E-2</v>
      </c>
    </row>
    <row r="1223" spans="1:15" x14ac:dyDescent="0.25">
      <c r="A1223" t="s">
        <v>1258</v>
      </c>
      <c r="B1223" t="s">
        <v>27</v>
      </c>
      <c r="C1223" s="14" t="s">
        <v>28</v>
      </c>
      <c r="D1223" s="1">
        <v>45068</v>
      </c>
      <c r="E1223" s="13">
        <v>45090</v>
      </c>
      <c r="F1223" s="14" t="s">
        <v>14</v>
      </c>
      <c r="G1223">
        <v>255</v>
      </c>
      <c r="H1223">
        <v>47766.16</v>
      </c>
      <c r="I1223">
        <v>45915.51</v>
      </c>
      <c r="J1223">
        <v>3</v>
      </c>
      <c r="K1223" s="14" t="s">
        <v>15</v>
      </c>
      <c r="L1223" s="14">
        <f>IF(OR(Table1[[#This Row],[Order_Status]]="Delivered",Table1[[#This Row],[Delivery_Date]]&lt;&gt;"Not Yet Delivered"),Table1[[#This Row],[Delivery_Date]]-Table1[[#This Row],[Order_Date]],"Not Applicable")</f>
        <v>22</v>
      </c>
      <c r="M1223" s="14">
        <f>Table1[[#This Row],[Unit_Cost]]-Table1[[#This Row],[Negotiated_Cost]]</f>
        <v>1850.6500000000015</v>
      </c>
      <c r="N1223" s="18">
        <f>Table1[[#This Row],[Defective_Units]]/Table1[[#This Row],[Quantity]]</f>
        <v>1.1764705882352941E-2</v>
      </c>
      <c r="O1223" s="26">
        <f>(Table1[[#This Row],[Unit_Cost]]-Table1[[#This Row],[Negotiated_Cost]])/Table1[[#This Row],[Unit_Cost]]</f>
        <v>3.8743955972177821E-2</v>
      </c>
    </row>
    <row r="1224" spans="1:15" x14ac:dyDescent="0.25">
      <c r="A1224" t="s">
        <v>1259</v>
      </c>
      <c r="B1224" t="s">
        <v>12</v>
      </c>
      <c r="C1224" s="14" t="s">
        <v>55</v>
      </c>
      <c r="D1224" s="1">
        <v>45469</v>
      </c>
      <c r="E1224" s="13">
        <v>45472</v>
      </c>
      <c r="F1224" s="14" t="s">
        <v>14</v>
      </c>
      <c r="G1224">
        <v>165</v>
      </c>
      <c r="H1224">
        <v>15003.65</v>
      </c>
      <c r="I1224">
        <v>14908.57</v>
      </c>
      <c r="J1224">
        <v>1</v>
      </c>
      <c r="K1224" s="14" t="s">
        <v>15</v>
      </c>
      <c r="L1224" s="14">
        <f>IF(OR(Table1[[#This Row],[Order_Status]]="Delivered",Table1[[#This Row],[Delivery_Date]]&lt;&gt;"Not Yet Delivered"),Table1[[#This Row],[Delivery_Date]]-Table1[[#This Row],[Order_Date]],"Not Applicable")</f>
        <v>3</v>
      </c>
      <c r="M1224" s="14">
        <f>Table1[[#This Row],[Unit_Cost]]-Table1[[#This Row],[Negotiated_Cost]]</f>
        <v>95.079999999999927</v>
      </c>
      <c r="N1224" s="18">
        <f>Table1[[#This Row],[Defective_Units]]/Table1[[#This Row],[Quantity]]</f>
        <v>6.0606060606060606E-3</v>
      </c>
      <c r="O1224" s="26">
        <f>(Table1[[#This Row],[Unit_Cost]]-Table1[[#This Row],[Negotiated_Cost]])/Table1[[#This Row],[Unit_Cost]]</f>
        <v>6.337124633005964E-3</v>
      </c>
    </row>
    <row r="1225" spans="1:15" x14ac:dyDescent="0.25">
      <c r="A1225" t="s">
        <v>1260</v>
      </c>
      <c r="B1225" t="s">
        <v>17</v>
      </c>
      <c r="C1225" s="14" t="s">
        <v>55</v>
      </c>
      <c r="D1225" s="1">
        <v>45306</v>
      </c>
      <c r="E1225" s="13">
        <v>45326</v>
      </c>
      <c r="F1225" s="14" t="s">
        <v>14</v>
      </c>
      <c r="G1225">
        <v>499</v>
      </c>
      <c r="H1225">
        <v>13040.41</v>
      </c>
      <c r="I1225">
        <v>12865.75</v>
      </c>
      <c r="J1225">
        <v>6</v>
      </c>
      <c r="K1225" s="14" t="s">
        <v>15</v>
      </c>
      <c r="L1225" s="14">
        <f>IF(OR(Table1[[#This Row],[Order_Status]]="Delivered",Table1[[#This Row],[Delivery_Date]]&lt;&gt;"Not Yet Delivered"),Table1[[#This Row],[Delivery_Date]]-Table1[[#This Row],[Order_Date]],"Not Applicable")</f>
        <v>20</v>
      </c>
      <c r="M1225" s="14">
        <f>Table1[[#This Row],[Unit_Cost]]-Table1[[#This Row],[Negotiated_Cost]]</f>
        <v>174.65999999999985</v>
      </c>
      <c r="N1225" s="18">
        <f>Table1[[#This Row],[Defective_Units]]/Table1[[#This Row],[Quantity]]</f>
        <v>1.2024048096192385E-2</v>
      </c>
      <c r="O1225" s="26">
        <f>(Table1[[#This Row],[Unit_Cost]]-Table1[[#This Row],[Negotiated_Cost]])/Table1[[#This Row],[Unit_Cost]]</f>
        <v>1.3393750656612779E-2</v>
      </c>
    </row>
    <row r="1226" spans="1:15" x14ac:dyDescent="0.25">
      <c r="A1226" t="s">
        <v>1261</v>
      </c>
      <c r="B1226" t="s">
        <v>12</v>
      </c>
      <c r="C1226" s="14" t="s">
        <v>55</v>
      </c>
      <c r="D1226" s="1">
        <v>45212</v>
      </c>
      <c r="E1226" s="13">
        <v>45221</v>
      </c>
      <c r="F1226" s="14" t="s">
        <v>14</v>
      </c>
      <c r="G1226">
        <v>248</v>
      </c>
      <c r="H1226">
        <v>15554.12</v>
      </c>
      <c r="I1226">
        <v>14673.79</v>
      </c>
      <c r="J1226">
        <v>2</v>
      </c>
      <c r="K1226" s="14" t="s">
        <v>15</v>
      </c>
      <c r="L1226" s="14">
        <f>IF(OR(Table1[[#This Row],[Order_Status]]="Delivered",Table1[[#This Row],[Delivery_Date]]&lt;&gt;"Not Yet Delivered"),Table1[[#This Row],[Delivery_Date]]-Table1[[#This Row],[Order_Date]],"Not Applicable")</f>
        <v>9</v>
      </c>
      <c r="M1226" s="14">
        <f>Table1[[#This Row],[Unit_Cost]]-Table1[[#This Row],[Negotiated_Cost]]</f>
        <v>880.32999999999993</v>
      </c>
      <c r="N1226" s="18">
        <f>Table1[[#This Row],[Defective_Units]]/Table1[[#This Row],[Quantity]]</f>
        <v>8.0645161290322578E-3</v>
      </c>
      <c r="O1226" s="26">
        <f>(Table1[[#This Row],[Unit_Cost]]-Table1[[#This Row],[Negotiated_Cost]])/Table1[[#This Row],[Unit_Cost]]</f>
        <v>5.6597866031636627E-2</v>
      </c>
    </row>
    <row r="1227" spans="1:15" x14ac:dyDescent="0.25">
      <c r="A1227" t="s">
        <v>1262</v>
      </c>
      <c r="B1227" t="s">
        <v>17</v>
      </c>
      <c r="C1227" s="14" t="s">
        <v>28</v>
      </c>
      <c r="D1227" s="1">
        <v>45277</v>
      </c>
      <c r="E1227" s="13">
        <v>45301</v>
      </c>
      <c r="F1227" s="14" t="s">
        <v>14</v>
      </c>
      <c r="G1227">
        <v>338</v>
      </c>
      <c r="H1227">
        <v>42543.67</v>
      </c>
      <c r="I1227">
        <v>40773.03</v>
      </c>
      <c r="J1227">
        <v>3</v>
      </c>
      <c r="K1227" s="14" t="s">
        <v>15</v>
      </c>
      <c r="L1227" s="14">
        <f>IF(OR(Table1[[#This Row],[Order_Status]]="Delivered",Table1[[#This Row],[Delivery_Date]]&lt;&gt;"Not Yet Delivered"),Table1[[#This Row],[Delivery_Date]]-Table1[[#This Row],[Order_Date]],"Not Applicable")</f>
        <v>24</v>
      </c>
      <c r="M1227" s="14">
        <f>Table1[[#This Row],[Unit_Cost]]-Table1[[#This Row],[Negotiated_Cost]]</f>
        <v>1770.6399999999994</v>
      </c>
      <c r="N1227" s="18">
        <f>Table1[[#This Row],[Defective_Units]]/Table1[[#This Row],[Quantity]]</f>
        <v>8.8757396449704144E-3</v>
      </c>
      <c r="O1227" s="26">
        <f>(Table1[[#This Row],[Unit_Cost]]-Table1[[#This Row],[Negotiated_Cost]])/Table1[[#This Row],[Unit_Cost]]</f>
        <v>4.1619352538227176E-2</v>
      </c>
    </row>
    <row r="1228" spans="1:15" x14ac:dyDescent="0.25">
      <c r="A1228" t="s">
        <v>1263</v>
      </c>
      <c r="B1228" t="s">
        <v>12</v>
      </c>
      <c r="C1228" s="14" t="s">
        <v>42</v>
      </c>
      <c r="D1228" s="1">
        <v>45111</v>
      </c>
      <c r="E1228" s="13">
        <v>45130</v>
      </c>
      <c r="F1228" s="14" t="s">
        <v>14</v>
      </c>
      <c r="G1228">
        <v>220</v>
      </c>
      <c r="H1228">
        <v>12164.82</v>
      </c>
      <c r="I1228">
        <v>12100.03</v>
      </c>
      <c r="J1228">
        <v>1</v>
      </c>
      <c r="K1228" s="14" t="s">
        <v>15</v>
      </c>
      <c r="L1228" s="14">
        <f>IF(OR(Table1[[#This Row],[Order_Status]]="Delivered",Table1[[#This Row],[Delivery_Date]]&lt;&gt;"Not Yet Delivered"),Table1[[#This Row],[Delivery_Date]]-Table1[[#This Row],[Order_Date]],"Not Applicable")</f>
        <v>19</v>
      </c>
      <c r="M1228" s="14">
        <f>Table1[[#This Row],[Unit_Cost]]-Table1[[#This Row],[Negotiated_Cost]]</f>
        <v>64.789999999999054</v>
      </c>
      <c r="N1228" s="18">
        <f>Table1[[#This Row],[Defective_Units]]/Table1[[#This Row],[Quantity]]</f>
        <v>4.5454545454545452E-3</v>
      </c>
      <c r="O1228" s="26">
        <f>(Table1[[#This Row],[Unit_Cost]]-Table1[[#This Row],[Negotiated_Cost]])/Table1[[#This Row],[Unit_Cost]]</f>
        <v>5.326013866214137E-3</v>
      </c>
    </row>
    <row r="1229" spans="1:15" x14ac:dyDescent="0.25">
      <c r="A1229" t="s">
        <v>1264</v>
      </c>
      <c r="B1229" t="s">
        <v>40</v>
      </c>
      <c r="C1229" s="14" t="s">
        <v>30</v>
      </c>
      <c r="D1229" s="1">
        <v>45189</v>
      </c>
      <c r="E1229" s="13">
        <v>45202</v>
      </c>
      <c r="F1229" s="14" t="s">
        <v>14</v>
      </c>
      <c r="G1229">
        <v>277</v>
      </c>
      <c r="H1229">
        <v>1011.44</v>
      </c>
      <c r="I1229">
        <v>982.63</v>
      </c>
      <c r="J1229">
        <v>4</v>
      </c>
      <c r="K1229" s="14" t="s">
        <v>15</v>
      </c>
      <c r="L1229" s="14">
        <f>IF(OR(Table1[[#This Row],[Order_Status]]="Delivered",Table1[[#This Row],[Delivery_Date]]&lt;&gt;"Not Yet Delivered"),Table1[[#This Row],[Delivery_Date]]-Table1[[#This Row],[Order_Date]],"Not Applicable")</f>
        <v>13</v>
      </c>
      <c r="M1229" s="14">
        <f>Table1[[#This Row],[Unit_Cost]]-Table1[[#This Row],[Negotiated_Cost]]</f>
        <v>28.810000000000059</v>
      </c>
      <c r="N1229" s="18">
        <f>Table1[[#This Row],[Defective_Units]]/Table1[[#This Row],[Quantity]]</f>
        <v>1.444043321299639E-2</v>
      </c>
      <c r="O1229" s="26">
        <f>(Table1[[#This Row],[Unit_Cost]]-Table1[[#This Row],[Negotiated_Cost]])/Table1[[#This Row],[Unit_Cost]]</f>
        <v>2.848414142213088E-2</v>
      </c>
    </row>
    <row r="1230" spans="1:15" x14ac:dyDescent="0.25">
      <c r="A1230" t="s">
        <v>1265</v>
      </c>
      <c r="B1230" t="s">
        <v>27</v>
      </c>
      <c r="C1230" s="14" t="s">
        <v>36</v>
      </c>
      <c r="D1230" s="1">
        <v>45170</v>
      </c>
      <c r="E1230" s="13">
        <v>45180</v>
      </c>
      <c r="F1230" s="14" t="s">
        <v>37</v>
      </c>
      <c r="G1230">
        <v>352</v>
      </c>
      <c r="H1230">
        <v>574.03</v>
      </c>
      <c r="I1230">
        <v>571.69000000000005</v>
      </c>
      <c r="J1230">
        <v>1</v>
      </c>
      <c r="K1230" s="14" t="s">
        <v>15</v>
      </c>
      <c r="L1230" s="14">
        <f>IF(OR(Table1[[#This Row],[Order_Status]]="Delivered",Table1[[#This Row],[Delivery_Date]]&lt;&gt;"Not Yet Delivered"),Table1[[#This Row],[Delivery_Date]]-Table1[[#This Row],[Order_Date]],"Not Applicable")</f>
        <v>10</v>
      </c>
      <c r="M1230" s="14">
        <f>Table1[[#This Row],[Unit_Cost]]-Table1[[#This Row],[Negotiated_Cost]]</f>
        <v>2.3399999999999181</v>
      </c>
      <c r="N1230" s="18">
        <f>Table1[[#This Row],[Defective_Units]]/Table1[[#This Row],[Quantity]]</f>
        <v>2.840909090909091E-3</v>
      </c>
      <c r="O1230" s="26">
        <f>(Table1[[#This Row],[Unit_Cost]]-Table1[[#This Row],[Negotiated_Cost]])/Table1[[#This Row],[Unit_Cost]]</f>
        <v>4.0764419978048501E-3</v>
      </c>
    </row>
    <row r="1231" spans="1:15" x14ac:dyDescent="0.25">
      <c r="A1231" t="s">
        <v>1266</v>
      </c>
      <c r="B1231" t="s">
        <v>35</v>
      </c>
      <c r="C1231" s="14" t="s">
        <v>48</v>
      </c>
      <c r="D1231" s="1">
        <v>44954</v>
      </c>
      <c r="E1231" s="13">
        <v>44974</v>
      </c>
      <c r="F1231" s="14" t="s">
        <v>14</v>
      </c>
      <c r="G1231">
        <v>346</v>
      </c>
      <c r="H1231">
        <v>6167.84</v>
      </c>
      <c r="I1231">
        <v>6127.67</v>
      </c>
      <c r="J1231">
        <v>6</v>
      </c>
      <c r="K1231" s="14" t="s">
        <v>15</v>
      </c>
      <c r="L1231" s="14">
        <f>IF(OR(Table1[[#This Row],[Order_Status]]="Delivered",Table1[[#This Row],[Delivery_Date]]&lt;&gt;"Not Yet Delivered"),Table1[[#This Row],[Delivery_Date]]-Table1[[#This Row],[Order_Date]],"Not Applicable")</f>
        <v>20</v>
      </c>
      <c r="M1231" s="14">
        <f>Table1[[#This Row],[Unit_Cost]]-Table1[[#This Row],[Negotiated_Cost]]</f>
        <v>40.170000000000073</v>
      </c>
      <c r="N1231" s="18">
        <f>Table1[[#This Row],[Defective_Units]]/Table1[[#This Row],[Quantity]]</f>
        <v>1.7341040462427744E-2</v>
      </c>
      <c r="O1231" s="26">
        <f>(Table1[[#This Row],[Unit_Cost]]-Table1[[#This Row],[Negotiated_Cost]])/Table1[[#This Row],[Unit_Cost]]</f>
        <v>6.5128148590106218E-3</v>
      </c>
    </row>
    <row r="1232" spans="1:15" x14ac:dyDescent="0.25">
      <c r="A1232" t="s">
        <v>1267</v>
      </c>
      <c r="B1232" t="s">
        <v>40</v>
      </c>
      <c r="C1232" s="14" t="s">
        <v>44</v>
      </c>
      <c r="D1232" s="1">
        <v>45175</v>
      </c>
      <c r="E1232" s="13">
        <v>45204</v>
      </c>
      <c r="F1232" s="14" t="s">
        <v>14</v>
      </c>
      <c r="G1232">
        <v>267</v>
      </c>
      <c r="H1232">
        <v>9176.39</v>
      </c>
      <c r="I1232">
        <v>8956.16</v>
      </c>
      <c r="J1232">
        <v>3</v>
      </c>
      <c r="K1232" s="14" t="s">
        <v>15</v>
      </c>
      <c r="L1232" s="14">
        <f>IF(OR(Table1[[#This Row],[Order_Status]]="Delivered",Table1[[#This Row],[Delivery_Date]]&lt;&gt;"Not Yet Delivered"),Table1[[#This Row],[Delivery_Date]]-Table1[[#This Row],[Order_Date]],"Not Applicable")</f>
        <v>29</v>
      </c>
      <c r="M1232" s="14">
        <f>Table1[[#This Row],[Unit_Cost]]-Table1[[#This Row],[Negotiated_Cost]]</f>
        <v>220.22999999999956</v>
      </c>
      <c r="N1232" s="18">
        <f>Table1[[#This Row],[Defective_Units]]/Table1[[#This Row],[Quantity]]</f>
        <v>1.1235955056179775E-2</v>
      </c>
      <c r="O1232" s="26">
        <f>(Table1[[#This Row],[Unit_Cost]]-Table1[[#This Row],[Negotiated_Cost]])/Table1[[#This Row],[Unit_Cost]]</f>
        <v>2.3999633842938191E-2</v>
      </c>
    </row>
    <row r="1233" spans="1:15" x14ac:dyDescent="0.25">
      <c r="A1233" t="s">
        <v>1268</v>
      </c>
      <c r="B1233" t="s">
        <v>27</v>
      </c>
      <c r="C1233" s="14" t="s">
        <v>44</v>
      </c>
      <c r="D1233" s="1">
        <v>45448</v>
      </c>
      <c r="E1233" s="13">
        <v>45462</v>
      </c>
      <c r="F1233" s="14" t="s">
        <v>14</v>
      </c>
      <c r="G1233">
        <v>21</v>
      </c>
      <c r="H1233">
        <v>9067.48</v>
      </c>
      <c r="I1233">
        <v>8765.2000000000007</v>
      </c>
      <c r="J1233">
        <v>0</v>
      </c>
      <c r="K1233" s="14" t="s">
        <v>15</v>
      </c>
      <c r="L1233" s="14">
        <f>IF(OR(Table1[[#This Row],[Order_Status]]="Delivered",Table1[[#This Row],[Delivery_Date]]&lt;&gt;"Not Yet Delivered"),Table1[[#This Row],[Delivery_Date]]-Table1[[#This Row],[Order_Date]],"Not Applicable")</f>
        <v>14</v>
      </c>
      <c r="M1233" s="14">
        <f>Table1[[#This Row],[Unit_Cost]]-Table1[[#This Row],[Negotiated_Cost]]</f>
        <v>302.27999999999884</v>
      </c>
      <c r="N1233" s="18">
        <f>Table1[[#This Row],[Defective_Units]]/Table1[[#This Row],[Quantity]]</f>
        <v>0</v>
      </c>
      <c r="O1233" s="26">
        <f>(Table1[[#This Row],[Unit_Cost]]-Table1[[#This Row],[Negotiated_Cost]])/Table1[[#This Row],[Unit_Cost]]</f>
        <v>3.3336715382884644E-2</v>
      </c>
    </row>
    <row r="1234" spans="1:15" x14ac:dyDescent="0.25">
      <c r="A1234" t="s">
        <v>1269</v>
      </c>
      <c r="B1234" t="s">
        <v>40</v>
      </c>
      <c r="C1234" s="14" t="s">
        <v>55</v>
      </c>
      <c r="D1234" s="1">
        <v>45166</v>
      </c>
      <c r="E1234" s="13">
        <v>45187</v>
      </c>
      <c r="F1234" s="14" t="s">
        <v>14</v>
      </c>
      <c r="G1234">
        <v>77</v>
      </c>
      <c r="H1234">
        <v>15124.47</v>
      </c>
      <c r="I1234">
        <v>14402.66</v>
      </c>
      <c r="J1234">
        <v>1</v>
      </c>
      <c r="K1234" s="14" t="s">
        <v>15</v>
      </c>
      <c r="L1234" s="14">
        <f>IF(OR(Table1[[#This Row],[Order_Status]]="Delivered",Table1[[#This Row],[Delivery_Date]]&lt;&gt;"Not Yet Delivered"),Table1[[#This Row],[Delivery_Date]]-Table1[[#This Row],[Order_Date]],"Not Applicable")</f>
        <v>21</v>
      </c>
      <c r="M1234" s="14">
        <f>Table1[[#This Row],[Unit_Cost]]-Table1[[#This Row],[Negotiated_Cost]]</f>
        <v>721.80999999999949</v>
      </c>
      <c r="N1234" s="18">
        <f>Table1[[#This Row],[Defective_Units]]/Table1[[#This Row],[Quantity]]</f>
        <v>1.2987012987012988E-2</v>
      </c>
      <c r="O1234" s="26">
        <f>(Table1[[#This Row],[Unit_Cost]]-Table1[[#This Row],[Negotiated_Cost]])/Table1[[#This Row],[Unit_Cost]]</f>
        <v>4.7724647541368362E-2</v>
      </c>
    </row>
    <row r="1235" spans="1:15" x14ac:dyDescent="0.25">
      <c r="A1235" t="s">
        <v>1270</v>
      </c>
      <c r="B1235" t="s">
        <v>40</v>
      </c>
      <c r="C1235" s="14" t="s">
        <v>21</v>
      </c>
      <c r="D1235" s="1">
        <v>45222</v>
      </c>
      <c r="E1235" s="13">
        <v>45236</v>
      </c>
      <c r="F1235" s="14" t="s">
        <v>14</v>
      </c>
      <c r="G1235">
        <v>139</v>
      </c>
      <c r="H1235">
        <v>131.12</v>
      </c>
      <c r="I1235">
        <v>123.37</v>
      </c>
      <c r="J1235">
        <v>2</v>
      </c>
      <c r="K1235" s="14" t="s">
        <v>15</v>
      </c>
      <c r="L1235" s="14">
        <f>IF(OR(Table1[[#This Row],[Order_Status]]="Delivered",Table1[[#This Row],[Delivery_Date]]&lt;&gt;"Not Yet Delivered"),Table1[[#This Row],[Delivery_Date]]-Table1[[#This Row],[Order_Date]],"Not Applicable")</f>
        <v>14</v>
      </c>
      <c r="M1235" s="14">
        <f>Table1[[#This Row],[Unit_Cost]]-Table1[[#This Row],[Negotiated_Cost]]</f>
        <v>7.75</v>
      </c>
      <c r="N1235" s="18">
        <f>Table1[[#This Row],[Defective_Units]]/Table1[[#This Row],[Quantity]]</f>
        <v>1.4388489208633094E-2</v>
      </c>
      <c r="O1235" s="26">
        <f>(Table1[[#This Row],[Unit_Cost]]-Table1[[#This Row],[Negotiated_Cost]])/Table1[[#This Row],[Unit_Cost]]</f>
        <v>5.9106162294081756E-2</v>
      </c>
    </row>
    <row r="1236" spans="1:15" x14ac:dyDescent="0.25">
      <c r="A1236" t="s">
        <v>1271</v>
      </c>
      <c r="B1236" t="s">
        <v>20</v>
      </c>
      <c r="C1236" s="14" t="s">
        <v>18</v>
      </c>
      <c r="D1236" s="1">
        <v>45355</v>
      </c>
      <c r="E1236" s="13">
        <v>45384</v>
      </c>
      <c r="F1236" s="14" t="s">
        <v>14</v>
      </c>
      <c r="G1236">
        <v>150</v>
      </c>
      <c r="H1236">
        <v>4877.32</v>
      </c>
      <c r="I1236">
        <v>4874.95</v>
      </c>
      <c r="J1236">
        <v>1</v>
      </c>
      <c r="K1236" s="14" t="s">
        <v>15</v>
      </c>
      <c r="L1236" s="14">
        <f>IF(OR(Table1[[#This Row],[Order_Status]]="Delivered",Table1[[#This Row],[Delivery_Date]]&lt;&gt;"Not Yet Delivered"),Table1[[#This Row],[Delivery_Date]]-Table1[[#This Row],[Order_Date]],"Not Applicable")</f>
        <v>29</v>
      </c>
      <c r="M1236" s="14">
        <f>Table1[[#This Row],[Unit_Cost]]-Table1[[#This Row],[Negotiated_Cost]]</f>
        <v>2.3699999999998909</v>
      </c>
      <c r="N1236" s="18">
        <f>Table1[[#This Row],[Defective_Units]]/Table1[[#This Row],[Quantity]]</f>
        <v>6.6666666666666671E-3</v>
      </c>
      <c r="O1236" s="26">
        <f>(Table1[[#This Row],[Unit_Cost]]-Table1[[#This Row],[Negotiated_Cost]])/Table1[[#This Row],[Unit_Cost]]</f>
        <v>4.8592259683594494E-4</v>
      </c>
    </row>
    <row r="1237" spans="1:15" x14ac:dyDescent="0.25">
      <c r="A1237" t="s">
        <v>1272</v>
      </c>
      <c r="B1237" t="s">
        <v>35</v>
      </c>
      <c r="C1237" s="14" t="s">
        <v>36</v>
      </c>
      <c r="D1237" s="1">
        <v>45338</v>
      </c>
      <c r="E1237" s="13">
        <v>45357</v>
      </c>
      <c r="F1237" s="14" t="s">
        <v>14</v>
      </c>
      <c r="G1237">
        <v>370</v>
      </c>
      <c r="H1237">
        <v>541.47</v>
      </c>
      <c r="I1237">
        <v>514.97</v>
      </c>
      <c r="J1237">
        <v>0</v>
      </c>
      <c r="K1237" s="14" t="s">
        <v>15</v>
      </c>
      <c r="L1237" s="14">
        <f>IF(OR(Table1[[#This Row],[Order_Status]]="Delivered",Table1[[#This Row],[Delivery_Date]]&lt;&gt;"Not Yet Delivered"),Table1[[#This Row],[Delivery_Date]]-Table1[[#This Row],[Order_Date]],"Not Applicable")</f>
        <v>19</v>
      </c>
      <c r="M1237" s="14">
        <f>Table1[[#This Row],[Unit_Cost]]-Table1[[#This Row],[Negotiated_Cost]]</f>
        <v>26.5</v>
      </c>
      <c r="N1237" s="18">
        <f>Table1[[#This Row],[Defective_Units]]/Table1[[#This Row],[Quantity]]</f>
        <v>0</v>
      </c>
      <c r="O1237" s="26">
        <f>(Table1[[#This Row],[Unit_Cost]]-Table1[[#This Row],[Negotiated_Cost]])/Table1[[#This Row],[Unit_Cost]]</f>
        <v>4.8940846214933421E-2</v>
      </c>
    </row>
    <row r="1238" spans="1:15" x14ac:dyDescent="0.25">
      <c r="A1238" t="s">
        <v>1273</v>
      </c>
      <c r="B1238" t="s">
        <v>40</v>
      </c>
      <c r="C1238" s="14" t="s">
        <v>24</v>
      </c>
      <c r="D1238" s="1">
        <v>45292</v>
      </c>
      <c r="E1238" s="13">
        <v>45311</v>
      </c>
      <c r="F1238" s="14" t="s">
        <v>14</v>
      </c>
      <c r="G1238">
        <v>166</v>
      </c>
      <c r="H1238">
        <v>13869.09</v>
      </c>
      <c r="I1238">
        <v>13115.09</v>
      </c>
      <c r="J1238">
        <v>3</v>
      </c>
      <c r="K1238" s="14" t="s">
        <v>15</v>
      </c>
      <c r="L1238" s="14">
        <f>IF(OR(Table1[[#This Row],[Order_Status]]="Delivered",Table1[[#This Row],[Delivery_Date]]&lt;&gt;"Not Yet Delivered"),Table1[[#This Row],[Delivery_Date]]-Table1[[#This Row],[Order_Date]],"Not Applicable")</f>
        <v>19</v>
      </c>
      <c r="M1238" s="14">
        <f>Table1[[#This Row],[Unit_Cost]]-Table1[[#This Row],[Negotiated_Cost]]</f>
        <v>754</v>
      </c>
      <c r="N1238" s="18">
        <f>Table1[[#This Row],[Defective_Units]]/Table1[[#This Row],[Quantity]]</f>
        <v>1.8072289156626505E-2</v>
      </c>
      <c r="O1238" s="26">
        <f>(Table1[[#This Row],[Unit_Cost]]-Table1[[#This Row],[Negotiated_Cost]])/Table1[[#This Row],[Unit_Cost]]</f>
        <v>5.4365499106285992E-2</v>
      </c>
    </row>
    <row r="1239" spans="1:15" x14ac:dyDescent="0.25">
      <c r="A1239" t="s">
        <v>1274</v>
      </c>
      <c r="B1239" t="s">
        <v>35</v>
      </c>
      <c r="C1239" s="14" t="s">
        <v>44</v>
      </c>
      <c r="D1239" s="1">
        <v>45516</v>
      </c>
      <c r="E1239" s="13">
        <v>45532</v>
      </c>
      <c r="F1239" s="14" t="s">
        <v>14</v>
      </c>
      <c r="G1239">
        <v>274</v>
      </c>
      <c r="H1239">
        <v>8280.84</v>
      </c>
      <c r="I1239">
        <v>7881.09</v>
      </c>
      <c r="J1239">
        <v>4</v>
      </c>
      <c r="K1239" s="14" t="s">
        <v>15</v>
      </c>
      <c r="L1239" s="14">
        <f>IF(OR(Table1[[#This Row],[Order_Status]]="Delivered",Table1[[#This Row],[Delivery_Date]]&lt;&gt;"Not Yet Delivered"),Table1[[#This Row],[Delivery_Date]]-Table1[[#This Row],[Order_Date]],"Not Applicable")</f>
        <v>16</v>
      </c>
      <c r="M1239" s="14">
        <f>Table1[[#This Row],[Unit_Cost]]-Table1[[#This Row],[Negotiated_Cost]]</f>
        <v>399.75</v>
      </c>
      <c r="N1239" s="18">
        <f>Table1[[#This Row],[Defective_Units]]/Table1[[#This Row],[Quantity]]</f>
        <v>1.4598540145985401E-2</v>
      </c>
      <c r="O1239" s="26">
        <f>(Table1[[#This Row],[Unit_Cost]]-Table1[[#This Row],[Negotiated_Cost]])/Table1[[#This Row],[Unit_Cost]]</f>
        <v>4.8274088135986201E-2</v>
      </c>
    </row>
    <row r="1240" spans="1:15" x14ac:dyDescent="0.25">
      <c r="A1240" t="s">
        <v>1275</v>
      </c>
      <c r="B1240" t="s">
        <v>27</v>
      </c>
      <c r="C1240" s="14" t="s">
        <v>30</v>
      </c>
      <c r="D1240" s="1">
        <v>44936</v>
      </c>
      <c r="E1240" s="13">
        <v>44964</v>
      </c>
      <c r="F1240" s="14" t="s">
        <v>14</v>
      </c>
      <c r="G1240">
        <v>127</v>
      </c>
      <c r="H1240">
        <v>956.69</v>
      </c>
      <c r="I1240">
        <v>908.79</v>
      </c>
      <c r="J1240">
        <v>1</v>
      </c>
      <c r="K1240" s="14" t="s">
        <v>15</v>
      </c>
      <c r="L1240" s="14">
        <f>IF(OR(Table1[[#This Row],[Order_Status]]="Delivered",Table1[[#This Row],[Delivery_Date]]&lt;&gt;"Not Yet Delivered"),Table1[[#This Row],[Delivery_Date]]-Table1[[#This Row],[Order_Date]],"Not Applicable")</f>
        <v>28</v>
      </c>
      <c r="M1240" s="14">
        <f>Table1[[#This Row],[Unit_Cost]]-Table1[[#This Row],[Negotiated_Cost]]</f>
        <v>47.900000000000091</v>
      </c>
      <c r="N1240" s="18">
        <f>Table1[[#This Row],[Defective_Units]]/Table1[[#This Row],[Quantity]]</f>
        <v>7.874015748031496E-3</v>
      </c>
      <c r="O1240" s="26">
        <f>(Table1[[#This Row],[Unit_Cost]]-Table1[[#This Row],[Negotiated_Cost]])/Table1[[#This Row],[Unit_Cost]]</f>
        <v>5.0068465229071157E-2</v>
      </c>
    </row>
    <row r="1241" spans="1:15" x14ac:dyDescent="0.25">
      <c r="A1241" t="s">
        <v>1276</v>
      </c>
      <c r="B1241" t="s">
        <v>27</v>
      </c>
      <c r="C1241" s="14" t="s">
        <v>36</v>
      </c>
      <c r="D1241" s="1">
        <v>45333</v>
      </c>
      <c r="E1241" s="13">
        <v>45347</v>
      </c>
      <c r="F1241" s="14" t="s">
        <v>37</v>
      </c>
      <c r="G1241">
        <v>303</v>
      </c>
      <c r="H1241">
        <v>581.1</v>
      </c>
      <c r="I1241">
        <v>576.1</v>
      </c>
      <c r="J1241">
        <v>2</v>
      </c>
      <c r="K1241" s="14" t="s">
        <v>15</v>
      </c>
      <c r="L1241" s="14">
        <f>IF(OR(Table1[[#This Row],[Order_Status]]="Delivered",Table1[[#This Row],[Delivery_Date]]&lt;&gt;"Not Yet Delivered"),Table1[[#This Row],[Delivery_Date]]-Table1[[#This Row],[Order_Date]],"Not Applicable")</f>
        <v>14</v>
      </c>
      <c r="M1241" s="14">
        <f>Table1[[#This Row],[Unit_Cost]]-Table1[[#This Row],[Negotiated_Cost]]</f>
        <v>5</v>
      </c>
      <c r="N1241" s="18">
        <f>Table1[[#This Row],[Defective_Units]]/Table1[[#This Row],[Quantity]]</f>
        <v>6.6006600660066007E-3</v>
      </c>
      <c r="O1241" s="26">
        <f>(Table1[[#This Row],[Unit_Cost]]-Table1[[#This Row],[Negotiated_Cost]])/Table1[[#This Row],[Unit_Cost]]</f>
        <v>8.6043710204784032E-3</v>
      </c>
    </row>
    <row r="1242" spans="1:15" x14ac:dyDescent="0.25">
      <c r="A1242" t="s">
        <v>1277</v>
      </c>
      <c r="B1242" t="s">
        <v>12</v>
      </c>
      <c r="C1242" s="14" t="s">
        <v>42</v>
      </c>
      <c r="D1242" s="1">
        <v>45238</v>
      </c>
      <c r="E1242" s="14" t="s">
        <v>2057</v>
      </c>
      <c r="F1242" s="14" t="s">
        <v>33</v>
      </c>
      <c r="G1242">
        <v>225</v>
      </c>
      <c r="H1242">
        <v>12836.58</v>
      </c>
      <c r="I1242">
        <v>12080.6</v>
      </c>
      <c r="J1242">
        <v>2</v>
      </c>
      <c r="K1242" s="14" t="s">
        <v>15</v>
      </c>
      <c r="L1242" s="14" t="str">
        <f>IF(OR(Table1[[#This Row],[Order_Status]]="Delivered",Table1[[#This Row],[Delivery_Date]]&lt;&gt;"Not Yet Delivered"),Table1[[#This Row],[Delivery_Date]]-Table1[[#This Row],[Order_Date]],"Not Applicable")</f>
        <v>Not Applicable</v>
      </c>
      <c r="M1242" s="14">
        <f>Table1[[#This Row],[Unit_Cost]]-Table1[[#This Row],[Negotiated_Cost]]</f>
        <v>755.97999999999956</v>
      </c>
      <c r="N1242" s="18">
        <f>Table1[[#This Row],[Defective_Units]]/Table1[[#This Row],[Quantity]]</f>
        <v>8.8888888888888889E-3</v>
      </c>
      <c r="O1242" s="26">
        <f>(Table1[[#This Row],[Unit_Cost]]-Table1[[#This Row],[Negotiated_Cost]])/Table1[[#This Row],[Unit_Cost]]</f>
        <v>5.8892633396122607E-2</v>
      </c>
    </row>
    <row r="1243" spans="1:15" x14ac:dyDescent="0.25">
      <c r="A1243" t="s">
        <v>1278</v>
      </c>
      <c r="B1243" t="s">
        <v>35</v>
      </c>
      <c r="C1243" s="14" t="s">
        <v>48</v>
      </c>
      <c r="D1243" s="1">
        <v>44968</v>
      </c>
      <c r="E1243" s="13">
        <v>44970</v>
      </c>
      <c r="F1243" s="14" t="s">
        <v>37</v>
      </c>
      <c r="G1243">
        <v>206</v>
      </c>
      <c r="H1243">
        <v>6545.06</v>
      </c>
      <c r="I1243">
        <v>6408.14</v>
      </c>
      <c r="J1243">
        <v>0</v>
      </c>
      <c r="K1243" s="14" t="s">
        <v>15</v>
      </c>
      <c r="L1243" s="14">
        <f>IF(OR(Table1[[#This Row],[Order_Status]]="Delivered",Table1[[#This Row],[Delivery_Date]]&lt;&gt;"Not Yet Delivered"),Table1[[#This Row],[Delivery_Date]]-Table1[[#This Row],[Order_Date]],"Not Applicable")</f>
        <v>2</v>
      </c>
      <c r="M1243" s="14">
        <f>Table1[[#This Row],[Unit_Cost]]-Table1[[#This Row],[Negotiated_Cost]]</f>
        <v>136.92000000000007</v>
      </c>
      <c r="N1243" s="18">
        <f>Table1[[#This Row],[Defective_Units]]/Table1[[#This Row],[Quantity]]</f>
        <v>0</v>
      </c>
      <c r="O1243" s="26">
        <f>(Table1[[#This Row],[Unit_Cost]]-Table1[[#This Row],[Negotiated_Cost]])/Table1[[#This Row],[Unit_Cost]]</f>
        <v>2.0919594319990964E-2</v>
      </c>
    </row>
    <row r="1244" spans="1:15" x14ac:dyDescent="0.25">
      <c r="A1244" t="s">
        <v>1279</v>
      </c>
      <c r="B1244" t="s">
        <v>20</v>
      </c>
      <c r="C1244" s="14" t="s">
        <v>36</v>
      </c>
      <c r="D1244" s="1">
        <v>45356</v>
      </c>
      <c r="E1244" s="13">
        <v>45370</v>
      </c>
      <c r="F1244" s="14" t="s">
        <v>14</v>
      </c>
      <c r="G1244">
        <v>364</v>
      </c>
      <c r="H1244">
        <v>555.53</v>
      </c>
      <c r="I1244">
        <v>554.76</v>
      </c>
      <c r="J1244">
        <v>3</v>
      </c>
      <c r="K1244" s="14" t="s">
        <v>15</v>
      </c>
      <c r="L1244" s="14">
        <f>IF(OR(Table1[[#This Row],[Order_Status]]="Delivered",Table1[[#This Row],[Delivery_Date]]&lt;&gt;"Not Yet Delivered"),Table1[[#This Row],[Delivery_Date]]-Table1[[#This Row],[Order_Date]],"Not Applicable")</f>
        <v>14</v>
      </c>
      <c r="M1244" s="14">
        <f>Table1[[#This Row],[Unit_Cost]]-Table1[[#This Row],[Negotiated_Cost]]</f>
        <v>0.76999999999998181</v>
      </c>
      <c r="N1244" s="18">
        <f>Table1[[#This Row],[Defective_Units]]/Table1[[#This Row],[Quantity]]</f>
        <v>8.241758241758242E-3</v>
      </c>
      <c r="O1244" s="26">
        <f>(Table1[[#This Row],[Unit_Cost]]-Table1[[#This Row],[Negotiated_Cost]])/Table1[[#This Row],[Unit_Cost]]</f>
        <v>1.3860637589328782E-3</v>
      </c>
    </row>
    <row r="1245" spans="1:15" x14ac:dyDescent="0.25">
      <c r="A1245" t="s">
        <v>1280</v>
      </c>
      <c r="B1245" t="s">
        <v>27</v>
      </c>
      <c r="C1245" s="14" t="s">
        <v>55</v>
      </c>
      <c r="D1245" s="1">
        <v>45568</v>
      </c>
      <c r="E1245" s="13">
        <v>45574</v>
      </c>
      <c r="F1245" s="14" t="s">
        <v>14</v>
      </c>
      <c r="G1245">
        <v>63</v>
      </c>
      <c r="H1245">
        <v>15676.75</v>
      </c>
      <c r="I1245">
        <v>15202.43</v>
      </c>
      <c r="J1245">
        <v>0</v>
      </c>
      <c r="K1245" s="14" t="s">
        <v>15</v>
      </c>
      <c r="L1245" s="14">
        <f>IF(OR(Table1[[#This Row],[Order_Status]]="Delivered",Table1[[#This Row],[Delivery_Date]]&lt;&gt;"Not Yet Delivered"),Table1[[#This Row],[Delivery_Date]]-Table1[[#This Row],[Order_Date]],"Not Applicable")</f>
        <v>6</v>
      </c>
      <c r="M1245" s="14">
        <f>Table1[[#This Row],[Unit_Cost]]-Table1[[#This Row],[Negotiated_Cost]]</f>
        <v>474.31999999999971</v>
      </c>
      <c r="N1245" s="18">
        <f>Table1[[#This Row],[Defective_Units]]/Table1[[#This Row],[Quantity]]</f>
        <v>0</v>
      </c>
      <c r="O1245" s="26">
        <f>(Table1[[#This Row],[Unit_Cost]]-Table1[[#This Row],[Negotiated_Cost]])/Table1[[#This Row],[Unit_Cost]]</f>
        <v>3.0256271229687257E-2</v>
      </c>
    </row>
    <row r="1246" spans="1:15" x14ac:dyDescent="0.25">
      <c r="A1246" t="s">
        <v>1281</v>
      </c>
      <c r="B1246" t="s">
        <v>46</v>
      </c>
      <c r="C1246" s="14" t="s">
        <v>30</v>
      </c>
      <c r="D1246" s="1">
        <v>45226</v>
      </c>
      <c r="E1246" s="14" t="s">
        <v>2057</v>
      </c>
      <c r="F1246" s="14" t="s">
        <v>33</v>
      </c>
      <c r="G1246">
        <v>430</v>
      </c>
      <c r="H1246">
        <v>890.34</v>
      </c>
      <c r="I1246">
        <v>853.59</v>
      </c>
      <c r="J1246">
        <v>2</v>
      </c>
      <c r="K1246" s="14" t="s">
        <v>15</v>
      </c>
      <c r="L1246" s="14" t="str">
        <f>IF(OR(Table1[[#This Row],[Order_Status]]="Delivered",Table1[[#This Row],[Delivery_Date]]&lt;&gt;"Not Yet Delivered"),Table1[[#This Row],[Delivery_Date]]-Table1[[#This Row],[Order_Date]],"Not Applicable")</f>
        <v>Not Applicable</v>
      </c>
      <c r="M1246" s="14">
        <f>Table1[[#This Row],[Unit_Cost]]-Table1[[#This Row],[Negotiated_Cost]]</f>
        <v>36.75</v>
      </c>
      <c r="N1246" s="18">
        <f>Table1[[#This Row],[Defective_Units]]/Table1[[#This Row],[Quantity]]</f>
        <v>4.6511627906976744E-3</v>
      </c>
      <c r="O1246" s="26">
        <f>(Table1[[#This Row],[Unit_Cost]]-Table1[[#This Row],[Negotiated_Cost]])/Table1[[#This Row],[Unit_Cost]]</f>
        <v>4.127636633196307E-2</v>
      </c>
    </row>
    <row r="1247" spans="1:15" x14ac:dyDescent="0.25">
      <c r="A1247" t="s">
        <v>1282</v>
      </c>
      <c r="B1247" t="s">
        <v>32</v>
      </c>
      <c r="C1247" s="14" t="s">
        <v>48</v>
      </c>
      <c r="D1247" s="1">
        <v>45432</v>
      </c>
      <c r="E1247" s="13">
        <v>45443</v>
      </c>
      <c r="F1247" s="14" t="s">
        <v>14</v>
      </c>
      <c r="G1247">
        <v>178</v>
      </c>
      <c r="H1247">
        <v>5787.87</v>
      </c>
      <c r="I1247">
        <v>5752.27</v>
      </c>
      <c r="J1247">
        <v>2</v>
      </c>
      <c r="K1247" s="14" t="s">
        <v>15</v>
      </c>
      <c r="L1247" s="14">
        <f>IF(OR(Table1[[#This Row],[Order_Status]]="Delivered",Table1[[#This Row],[Delivery_Date]]&lt;&gt;"Not Yet Delivered"),Table1[[#This Row],[Delivery_Date]]-Table1[[#This Row],[Order_Date]],"Not Applicable")</f>
        <v>11</v>
      </c>
      <c r="M1247" s="14">
        <f>Table1[[#This Row],[Unit_Cost]]-Table1[[#This Row],[Negotiated_Cost]]</f>
        <v>35.599999999999454</v>
      </c>
      <c r="N1247" s="18">
        <f>Table1[[#This Row],[Defective_Units]]/Table1[[#This Row],[Quantity]]</f>
        <v>1.1235955056179775E-2</v>
      </c>
      <c r="O1247" s="26">
        <f>(Table1[[#This Row],[Unit_Cost]]-Table1[[#This Row],[Negotiated_Cost]])/Table1[[#This Row],[Unit_Cost]]</f>
        <v>6.1507946792169581E-3</v>
      </c>
    </row>
    <row r="1248" spans="1:15" x14ac:dyDescent="0.25">
      <c r="A1248" t="s">
        <v>1283</v>
      </c>
      <c r="B1248" t="s">
        <v>20</v>
      </c>
      <c r="C1248" s="14" t="s">
        <v>42</v>
      </c>
      <c r="D1248" s="1">
        <v>45032</v>
      </c>
      <c r="E1248" s="13">
        <v>45061</v>
      </c>
      <c r="F1248" s="14" t="s">
        <v>37</v>
      </c>
      <c r="G1248">
        <v>325</v>
      </c>
      <c r="H1248">
        <v>11757.02</v>
      </c>
      <c r="I1248">
        <v>11229.67</v>
      </c>
      <c r="J1248">
        <v>0</v>
      </c>
      <c r="K1248" s="14" t="s">
        <v>15</v>
      </c>
      <c r="L1248" s="14">
        <f>IF(OR(Table1[[#This Row],[Order_Status]]="Delivered",Table1[[#This Row],[Delivery_Date]]&lt;&gt;"Not Yet Delivered"),Table1[[#This Row],[Delivery_Date]]-Table1[[#This Row],[Order_Date]],"Not Applicable")</f>
        <v>29</v>
      </c>
      <c r="M1248" s="14">
        <f>Table1[[#This Row],[Unit_Cost]]-Table1[[#This Row],[Negotiated_Cost]]</f>
        <v>527.35000000000036</v>
      </c>
      <c r="N1248" s="18">
        <f>Table1[[#This Row],[Defective_Units]]/Table1[[#This Row],[Quantity]]</f>
        <v>0</v>
      </c>
      <c r="O1248" s="26">
        <f>(Table1[[#This Row],[Unit_Cost]]-Table1[[#This Row],[Negotiated_Cost]])/Table1[[#This Row],[Unit_Cost]]</f>
        <v>4.4854053152924837E-2</v>
      </c>
    </row>
    <row r="1249" spans="1:15" x14ac:dyDescent="0.25">
      <c r="A1249" t="s">
        <v>1284</v>
      </c>
      <c r="B1249" t="s">
        <v>27</v>
      </c>
      <c r="C1249" s="14" t="s">
        <v>42</v>
      </c>
      <c r="D1249" s="1">
        <v>45421</v>
      </c>
      <c r="E1249" s="13">
        <v>45441</v>
      </c>
      <c r="F1249" s="14" t="s">
        <v>14</v>
      </c>
      <c r="G1249">
        <v>171</v>
      </c>
      <c r="H1249">
        <v>12471.9</v>
      </c>
      <c r="I1249">
        <v>11771.41</v>
      </c>
      <c r="J1249">
        <v>3</v>
      </c>
      <c r="K1249" s="14" t="s">
        <v>15</v>
      </c>
      <c r="L1249" s="14">
        <f>IF(OR(Table1[[#This Row],[Order_Status]]="Delivered",Table1[[#This Row],[Delivery_Date]]&lt;&gt;"Not Yet Delivered"),Table1[[#This Row],[Delivery_Date]]-Table1[[#This Row],[Order_Date]],"Not Applicable")</f>
        <v>20</v>
      </c>
      <c r="M1249" s="14">
        <f>Table1[[#This Row],[Unit_Cost]]-Table1[[#This Row],[Negotiated_Cost]]</f>
        <v>700.48999999999978</v>
      </c>
      <c r="N1249" s="18">
        <f>Table1[[#This Row],[Defective_Units]]/Table1[[#This Row],[Quantity]]</f>
        <v>1.7543859649122806E-2</v>
      </c>
      <c r="O1249" s="26">
        <f>(Table1[[#This Row],[Unit_Cost]]-Table1[[#This Row],[Negotiated_Cost]])/Table1[[#This Row],[Unit_Cost]]</f>
        <v>5.6165459953976524E-2</v>
      </c>
    </row>
    <row r="1250" spans="1:15" x14ac:dyDescent="0.25">
      <c r="A1250" t="s">
        <v>1285</v>
      </c>
      <c r="B1250" t="s">
        <v>20</v>
      </c>
      <c r="C1250" s="14" t="s">
        <v>44</v>
      </c>
      <c r="D1250" s="1">
        <v>45601</v>
      </c>
      <c r="E1250" s="13">
        <v>45605</v>
      </c>
      <c r="F1250" s="14" t="s">
        <v>14</v>
      </c>
      <c r="G1250">
        <v>282</v>
      </c>
      <c r="H1250">
        <v>7919.71</v>
      </c>
      <c r="I1250">
        <v>7895.41</v>
      </c>
      <c r="J1250">
        <v>5</v>
      </c>
      <c r="K1250" s="14" t="s">
        <v>15</v>
      </c>
      <c r="L1250" s="14">
        <f>IF(OR(Table1[[#This Row],[Order_Status]]="Delivered",Table1[[#This Row],[Delivery_Date]]&lt;&gt;"Not Yet Delivered"),Table1[[#This Row],[Delivery_Date]]-Table1[[#This Row],[Order_Date]],"Not Applicable")</f>
        <v>4</v>
      </c>
      <c r="M1250" s="14">
        <f>Table1[[#This Row],[Unit_Cost]]-Table1[[#This Row],[Negotiated_Cost]]</f>
        <v>24.300000000000182</v>
      </c>
      <c r="N1250" s="18">
        <f>Table1[[#This Row],[Defective_Units]]/Table1[[#This Row],[Quantity]]</f>
        <v>1.7730496453900711E-2</v>
      </c>
      <c r="O1250" s="26">
        <f>(Table1[[#This Row],[Unit_Cost]]-Table1[[#This Row],[Negotiated_Cost]])/Table1[[#This Row],[Unit_Cost]]</f>
        <v>3.0682941673369581E-3</v>
      </c>
    </row>
    <row r="1251" spans="1:15" x14ac:dyDescent="0.25">
      <c r="A1251" t="s">
        <v>1286</v>
      </c>
      <c r="B1251" t="s">
        <v>27</v>
      </c>
      <c r="C1251" s="14" t="s">
        <v>30</v>
      </c>
      <c r="D1251" s="1">
        <v>45233</v>
      </c>
      <c r="E1251" s="13">
        <v>45260</v>
      </c>
      <c r="F1251" s="14" t="s">
        <v>14</v>
      </c>
      <c r="G1251">
        <v>456</v>
      </c>
      <c r="H1251">
        <v>874.68</v>
      </c>
      <c r="I1251">
        <v>865.06</v>
      </c>
      <c r="J1251">
        <v>2</v>
      </c>
      <c r="K1251" s="14" t="s">
        <v>15</v>
      </c>
      <c r="L1251" s="14">
        <f>IF(OR(Table1[[#This Row],[Order_Status]]="Delivered",Table1[[#This Row],[Delivery_Date]]&lt;&gt;"Not Yet Delivered"),Table1[[#This Row],[Delivery_Date]]-Table1[[#This Row],[Order_Date]],"Not Applicable")</f>
        <v>27</v>
      </c>
      <c r="M1251" s="14">
        <f>Table1[[#This Row],[Unit_Cost]]-Table1[[#This Row],[Negotiated_Cost]]</f>
        <v>9.6200000000000045</v>
      </c>
      <c r="N1251" s="18">
        <f>Table1[[#This Row],[Defective_Units]]/Table1[[#This Row],[Quantity]]</f>
        <v>4.3859649122807015E-3</v>
      </c>
      <c r="O1251" s="26">
        <f>(Table1[[#This Row],[Unit_Cost]]-Table1[[#This Row],[Negotiated_Cost]])/Table1[[#This Row],[Unit_Cost]]</f>
        <v>1.0998307952622679E-2</v>
      </c>
    </row>
    <row r="1252" spans="1:15" x14ac:dyDescent="0.25">
      <c r="A1252" t="s">
        <v>1287</v>
      </c>
      <c r="B1252" t="s">
        <v>17</v>
      </c>
      <c r="C1252" s="14" t="s">
        <v>36</v>
      </c>
      <c r="D1252" s="1">
        <v>45053</v>
      </c>
      <c r="E1252" s="13">
        <v>45072</v>
      </c>
      <c r="F1252" s="14" t="s">
        <v>14</v>
      </c>
      <c r="G1252">
        <v>409</v>
      </c>
      <c r="H1252">
        <v>489.69</v>
      </c>
      <c r="I1252">
        <v>488.56</v>
      </c>
      <c r="J1252">
        <v>8</v>
      </c>
      <c r="K1252" s="14" t="s">
        <v>15</v>
      </c>
      <c r="L1252" s="14">
        <f>IF(OR(Table1[[#This Row],[Order_Status]]="Delivered",Table1[[#This Row],[Delivery_Date]]&lt;&gt;"Not Yet Delivered"),Table1[[#This Row],[Delivery_Date]]-Table1[[#This Row],[Order_Date]],"Not Applicable")</f>
        <v>19</v>
      </c>
      <c r="M1252" s="14">
        <f>Table1[[#This Row],[Unit_Cost]]-Table1[[#This Row],[Negotiated_Cost]]</f>
        <v>1.1299999999999955</v>
      </c>
      <c r="N1252" s="18">
        <f>Table1[[#This Row],[Defective_Units]]/Table1[[#This Row],[Quantity]]</f>
        <v>1.9559902200488997E-2</v>
      </c>
      <c r="O1252" s="26">
        <f>(Table1[[#This Row],[Unit_Cost]]-Table1[[#This Row],[Negotiated_Cost]])/Table1[[#This Row],[Unit_Cost]]</f>
        <v>2.3075823480160824E-3</v>
      </c>
    </row>
    <row r="1253" spans="1:15" x14ac:dyDescent="0.25">
      <c r="A1253" t="s">
        <v>1288</v>
      </c>
      <c r="B1253" t="s">
        <v>40</v>
      </c>
      <c r="C1253" s="14" t="s">
        <v>36</v>
      </c>
      <c r="D1253" s="1">
        <v>45362</v>
      </c>
      <c r="E1253" s="13">
        <v>45389</v>
      </c>
      <c r="F1253" s="14" t="s">
        <v>14</v>
      </c>
      <c r="G1253">
        <v>332</v>
      </c>
      <c r="H1253">
        <v>619.28</v>
      </c>
      <c r="I1253">
        <v>599.64</v>
      </c>
      <c r="J1253">
        <v>1</v>
      </c>
      <c r="K1253" s="14" t="s">
        <v>15</v>
      </c>
      <c r="L1253" s="14">
        <f>IF(OR(Table1[[#This Row],[Order_Status]]="Delivered",Table1[[#This Row],[Delivery_Date]]&lt;&gt;"Not Yet Delivered"),Table1[[#This Row],[Delivery_Date]]-Table1[[#This Row],[Order_Date]],"Not Applicable")</f>
        <v>27</v>
      </c>
      <c r="M1253" s="14">
        <f>Table1[[#This Row],[Unit_Cost]]-Table1[[#This Row],[Negotiated_Cost]]</f>
        <v>19.639999999999986</v>
      </c>
      <c r="N1253" s="18">
        <f>Table1[[#This Row],[Defective_Units]]/Table1[[#This Row],[Quantity]]</f>
        <v>3.0120481927710845E-3</v>
      </c>
      <c r="O1253" s="26">
        <f>(Table1[[#This Row],[Unit_Cost]]-Table1[[#This Row],[Negotiated_Cost]])/Table1[[#This Row],[Unit_Cost]]</f>
        <v>3.1714248805063926E-2</v>
      </c>
    </row>
    <row r="1254" spans="1:15" x14ac:dyDescent="0.25">
      <c r="A1254" t="s">
        <v>1289</v>
      </c>
      <c r="B1254" t="s">
        <v>27</v>
      </c>
      <c r="C1254" s="14" t="s">
        <v>13</v>
      </c>
      <c r="D1254" s="1">
        <v>45312</v>
      </c>
      <c r="E1254" s="14" t="s">
        <v>2057</v>
      </c>
      <c r="F1254" s="14" t="s">
        <v>33</v>
      </c>
      <c r="G1254">
        <v>307</v>
      </c>
      <c r="H1254">
        <v>4054.53</v>
      </c>
      <c r="I1254">
        <v>3933.13</v>
      </c>
      <c r="J1254">
        <v>2</v>
      </c>
      <c r="K1254" s="14" t="s">
        <v>15</v>
      </c>
      <c r="L1254" s="14" t="str">
        <f>IF(OR(Table1[[#This Row],[Order_Status]]="Delivered",Table1[[#This Row],[Delivery_Date]]&lt;&gt;"Not Yet Delivered"),Table1[[#This Row],[Delivery_Date]]-Table1[[#This Row],[Order_Date]],"Not Applicable")</f>
        <v>Not Applicable</v>
      </c>
      <c r="M1254" s="14">
        <f>Table1[[#This Row],[Unit_Cost]]-Table1[[#This Row],[Negotiated_Cost]]</f>
        <v>121.40000000000009</v>
      </c>
      <c r="N1254" s="18">
        <f>Table1[[#This Row],[Defective_Units]]/Table1[[#This Row],[Quantity]]</f>
        <v>6.5146579804560263E-3</v>
      </c>
      <c r="O1254" s="26">
        <f>(Table1[[#This Row],[Unit_Cost]]-Table1[[#This Row],[Negotiated_Cost]])/Table1[[#This Row],[Unit_Cost]]</f>
        <v>2.9941818163880914E-2</v>
      </c>
    </row>
    <row r="1255" spans="1:15" x14ac:dyDescent="0.25">
      <c r="A1255" t="s">
        <v>1290</v>
      </c>
      <c r="B1255" t="s">
        <v>35</v>
      </c>
      <c r="C1255" s="14" t="s">
        <v>36</v>
      </c>
      <c r="D1255" s="1">
        <v>45641</v>
      </c>
      <c r="E1255" s="13">
        <v>45657</v>
      </c>
      <c r="F1255" s="14" t="s">
        <v>14</v>
      </c>
      <c r="G1255">
        <v>265</v>
      </c>
      <c r="H1255">
        <v>563.78</v>
      </c>
      <c r="I1255">
        <v>534.5</v>
      </c>
      <c r="J1255">
        <v>2</v>
      </c>
      <c r="K1255" s="14" t="s">
        <v>15</v>
      </c>
      <c r="L1255" s="14">
        <f>IF(OR(Table1[[#This Row],[Order_Status]]="Delivered",Table1[[#This Row],[Delivery_Date]]&lt;&gt;"Not Yet Delivered"),Table1[[#This Row],[Delivery_Date]]-Table1[[#This Row],[Order_Date]],"Not Applicable")</f>
        <v>16</v>
      </c>
      <c r="M1255" s="14">
        <f>Table1[[#This Row],[Unit_Cost]]-Table1[[#This Row],[Negotiated_Cost]]</f>
        <v>29.279999999999973</v>
      </c>
      <c r="N1255" s="18">
        <f>Table1[[#This Row],[Defective_Units]]/Table1[[#This Row],[Quantity]]</f>
        <v>7.5471698113207548E-3</v>
      </c>
      <c r="O1255" s="26">
        <f>(Table1[[#This Row],[Unit_Cost]]-Table1[[#This Row],[Negotiated_Cost]])/Table1[[#This Row],[Unit_Cost]]</f>
        <v>5.1935152009649106E-2</v>
      </c>
    </row>
    <row r="1256" spans="1:15" x14ac:dyDescent="0.25">
      <c r="A1256" t="s">
        <v>1291</v>
      </c>
      <c r="B1256" t="s">
        <v>20</v>
      </c>
      <c r="C1256" s="14" t="s">
        <v>18</v>
      </c>
      <c r="D1256" s="1">
        <v>45640</v>
      </c>
      <c r="E1256" s="13">
        <v>45659</v>
      </c>
      <c r="F1256" s="14" t="s">
        <v>37</v>
      </c>
      <c r="G1256">
        <v>480</v>
      </c>
      <c r="H1256">
        <v>5181.76</v>
      </c>
      <c r="I1256">
        <v>4931.88</v>
      </c>
      <c r="J1256">
        <v>4</v>
      </c>
      <c r="K1256" s="14" t="s">
        <v>15</v>
      </c>
      <c r="L1256" s="14">
        <f>IF(OR(Table1[[#This Row],[Order_Status]]="Delivered",Table1[[#This Row],[Delivery_Date]]&lt;&gt;"Not Yet Delivered"),Table1[[#This Row],[Delivery_Date]]-Table1[[#This Row],[Order_Date]],"Not Applicable")</f>
        <v>19</v>
      </c>
      <c r="M1256" s="14">
        <f>Table1[[#This Row],[Unit_Cost]]-Table1[[#This Row],[Negotiated_Cost]]</f>
        <v>249.88000000000011</v>
      </c>
      <c r="N1256" s="18">
        <f>Table1[[#This Row],[Defective_Units]]/Table1[[#This Row],[Quantity]]</f>
        <v>8.3333333333333332E-3</v>
      </c>
      <c r="O1256" s="26">
        <f>(Table1[[#This Row],[Unit_Cost]]-Table1[[#This Row],[Negotiated_Cost]])/Table1[[#This Row],[Unit_Cost]]</f>
        <v>4.8222997591551922E-2</v>
      </c>
    </row>
    <row r="1257" spans="1:15" x14ac:dyDescent="0.25">
      <c r="A1257" t="s">
        <v>1292</v>
      </c>
      <c r="B1257" t="s">
        <v>40</v>
      </c>
      <c r="C1257" s="14" t="s">
        <v>50</v>
      </c>
      <c r="D1257" s="1">
        <v>45448</v>
      </c>
      <c r="E1257" s="13">
        <v>45461</v>
      </c>
      <c r="F1257" s="14" t="s">
        <v>14</v>
      </c>
      <c r="G1257">
        <v>73</v>
      </c>
      <c r="H1257">
        <v>54839.86</v>
      </c>
      <c r="I1257">
        <v>53029.24</v>
      </c>
      <c r="J1257">
        <v>0</v>
      </c>
      <c r="K1257" s="14" t="s">
        <v>15</v>
      </c>
      <c r="L1257" s="14">
        <f>IF(OR(Table1[[#This Row],[Order_Status]]="Delivered",Table1[[#This Row],[Delivery_Date]]&lt;&gt;"Not Yet Delivered"),Table1[[#This Row],[Delivery_Date]]-Table1[[#This Row],[Order_Date]],"Not Applicable")</f>
        <v>13</v>
      </c>
      <c r="M1257" s="14">
        <f>Table1[[#This Row],[Unit_Cost]]-Table1[[#This Row],[Negotiated_Cost]]</f>
        <v>1810.6200000000026</v>
      </c>
      <c r="N1257" s="18">
        <f>Table1[[#This Row],[Defective_Units]]/Table1[[#This Row],[Quantity]]</f>
        <v>0</v>
      </c>
      <c r="O1257" s="26">
        <f>(Table1[[#This Row],[Unit_Cost]]-Table1[[#This Row],[Negotiated_Cost]])/Table1[[#This Row],[Unit_Cost]]</f>
        <v>3.3016495665743904E-2</v>
      </c>
    </row>
    <row r="1258" spans="1:15" x14ac:dyDescent="0.25">
      <c r="A1258" t="s">
        <v>1293</v>
      </c>
      <c r="B1258" t="s">
        <v>12</v>
      </c>
      <c r="C1258" s="14" t="s">
        <v>24</v>
      </c>
      <c r="D1258" s="1">
        <v>45220</v>
      </c>
      <c r="E1258" s="13">
        <v>45240</v>
      </c>
      <c r="F1258" s="14" t="s">
        <v>14</v>
      </c>
      <c r="G1258">
        <v>468</v>
      </c>
      <c r="H1258">
        <v>12669.16</v>
      </c>
      <c r="I1258">
        <v>12359.77</v>
      </c>
      <c r="J1258">
        <v>5</v>
      </c>
      <c r="K1258" s="14" t="s">
        <v>15</v>
      </c>
      <c r="L1258" s="14">
        <f>IF(OR(Table1[[#This Row],[Order_Status]]="Delivered",Table1[[#This Row],[Delivery_Date]]&lt;&gt;"Not Yet Delivered"),Table1[[#This Row],[Delivery_Date]]-Table1[[#This Row],[Order_Date]],"Not Applicable")</f>
        <v>20</v>
      </c>
      <c r="M1258" s="14">
        <f>Table1[[#This Row],[Unit_Cost]]-Table1[[#This Row],[Negotiated_Cost]]</f>
        <v>309.38999999999942</v>
      </c>
      <c r="N1258" s="18">
        <f>Table1[[#This Row],[Defective_Units]]/Table1[[#This Row],[Quantity]]</f>
        <v>1.0683760683760684E-2</v>
      </c>
      <c r="O1258" s="26">
        <f>(Table1[[#This Row],[Unit_Cost]]-Table1[[#This Row],[Negotiated_Cost]])/Table1[[#This Row],[Unit_Cost]]</f>
        <v>2.4420719289992347E-2</v>
      </c>
    </row>
    <row r="1259" spans="1:15" x14ac:dyDescent="0.25">
      <c r="A1259" t="s">
        <v>1294</v>
      </c>
      <c r="B1259" t="s">
        <v>32</v>
      </c>
      <c r="C1259" s="14" t="s">
        <v>28</v>
      </c>
      <c r="D1259" s="1">
        <v>45172</v>
      </c>
      <c r="E1259" s="13">
        <v>45190</v>
      </c>
      <c r="F1259" s="14" t="s">
        <v>14</v>
      </c>
      <c r="G1259">
        <v>348</v>
      </c>
      <c r="H1259">
        <v>44754.62</v>
      </c>
      <c r="I1259">
        <v>42479.89</v>
      </c>
      <c r="J1259">
        <v>3</v>
      </c>
      <c r="K1259" s="14" t="s">
        <v>15</v>
      </c>
      <c r="L1259" s="14">
        <f>IF(OR(Table1[[#This Row],[Order_Status]]="Delivered",Table1[[#This Row],[Delivery_Date]]&lt;&gt;"Not Yet Delivered"),Table1[[#This Row],[Delivery_Date]]-Table1[[#This Row],[Order_Date]],"Not Applicable")</f>
        <v>18</v>
      </c>
      <c r="M1259" s="14">
        <f>Table1[[#This Row],[Unit_Cost]]-Table1[[#This Row],[Negotiated_Cost]]</f>
        <v>2274.7300000000032</v>
      </c>
      <c r="N1259" s="18">
        <f>Table1[[#This Row],[Defective_Units]]/Table1[[#This Row],[Quantity]]</f>
        <v>8.6206896551724137E-3</v>
      </c>
      <c r="O1259" s="26">
        <f>(Table1[[#This Row],[Unit_Cost]]-Table1[[#This Row],[Negotiated_Cost]])/Table1[[#This Row],[Unit_Cost]]</f>
        <v>5.0826707946576309E-2</v>
      </c>
    </row>
    <row r="1260" spans="1:15" x14ac:dyDescent="0.25">
      <c r="A1260" t="s">
        <v>1295</v>
      </c>
      <c r="B1260" t="s">
        <v>27</v>
      </c>
      <c r="C1260" s="14" t="s">
        <v>48</v>
      </c>
      <c r="D1260" s="1">
        <v>45106</v>
      </c>
      <c r="E1260" s="13">
        <v>45116</v>
      </c>
      <c r="F1260" s="14" t="s">
        <v>14</v>
      </c>
      <c r="G1260">
        <v>120</v>
      </c>
      <c r="H1260">
        <v>6625.83</v>
      </c>
      <c r="I1260">
        <v>6347.53</v>
      </c>
      <c r="J1260">
        <v>2</v>
      </c>
      <c r="K1260" s="14" t="s">
        <v>15</v>
      </c>
      <c r="L1260" s="14">
        <f>IF(OR(Table1[[#This Row],[Order_Status]]="Delivered",Table1[[#This Row],[Delivery_Date]]&lt;&gt;"Not Yet Delivered"),Table1[[#This Row],[Delivery_Date]]-Table1[[#This Row],[Order_Date]],"Not Applicable")</f>
        <v>10</v>
      </c>
      <c r="M1260" s="14">
        <f>Table1[[#This Row],[Unit_Cost]]-Table1[[#This Row],[Negotiated_Cost]]</f>
        <v>278.30000000000018</v>
      </c>
      <c r="N1260" s="18">
        <f>Table1[[#This Row],[Defective_Units]]/Table1[[#This Row],[Quantity]]</f>
        <v>1.6666666666666666E-2</v>
      </c>
      <c r="O1260" s="26">
        <f>(Table1[[#This Row],[Unit_Cost]]-Table1[[#This Row],[Negotiated_Cost]])/Table1[[#This Row],[Unit_Cost]]</f>
        <v>4.2002284996747602E-2</v>
      </c>
    </row>
    <row r="1261" spans="1:15" x14ac:dyDescent="0.25">
      <c r="A1261" t="s">
        <v>1296</v>
      </c>
      <c r="B1261" t="s">
        <v>46</v>
      </c>
      <c r="C1261" s="14" t="s">
        <v>42</v>
      </c>
      <c r="D1261" s="1">
        <v>45580</v>
      </c>
      <c r="E1261" s="13">
        <v>45599</v>
      </c>
      <c r="F1261" s="14" t="s">
        <v>14</v>
      </c>
      <c r="G1261">
        <v>192</v>
      </c>
      <c r="H1261">
        <v>11455.83</v>
      </c>
      <c r="I1261">
        <v>11380.3</v>
      </c>
      <c r="J1261">
        <v>0</v>
      </c>
      <c r="K1261" s="14" t="s">
        <v>15</v>
      </c>
      <c r="L1261" s="14">
        <f>IF(OR(Table1[[#This Row],[Order_Status]]="Delivered",Table1[[#This Row],[Delivery_Date]]&lt;&gt;"Not Yet Delivered"),Table1[[#This Row],[Delivery_Date]]-Table1[[#This Row],[Order_Date]],"Not Applicable")</f>
        <v>19</v>
      </c>
      <c r="M1261" s="14">
        <f>Table1[[#This Row],[Unit_Cost]]-Table1[[#This Row],[Negotiated_Cost]]</f>
        <v>75.530000000000655</v>
      </c>
      <c r="N1261" s="18">
        <f>Table1[[#This Row],[Defective_Units]]/Table1[[#This Row],[Quantity]]</f>
        <v>0</v>
      </c>
      <c r="O1261" s="26">
        <f>(Table1[[#This Row],[Unit_Cost]]-Table1[[#This Row],[Negotiated_Cost]])/Table1[[#This Row],[Unit_Cost]]</f>
        <v>6.5931495142648464E-3</v>
      </c>
    </row>
    <row r="1262" spans="1:15" x14ac:dyDescent="0.25">
      <c r="A1262" t="s">
        <v>1297</v>
      </c>
      <c r="B1262" t="s">
        <v>32</v>
      </c>
      <c r="C1262" s="14" t="s">
        <v>21</v>
      </c>
      <c r="D1262" s="1">
        <v>45454</v>
      </c>
      <c r="E1262" s="13">
        <v>45467</v>
      </c>
      <c r="F1262" s="14" t="s">
        <v>14</v>
      </c>
      <c r="G1262">
        <v>6</v>
      </c>
      <c r="H1262">
        <v>111.66</v>
      </c>
      <c r="I1262">
        <v>107.14</v>
      </c>
      <c r="J1262">
        <v>0</v>
      </c>
      <c r="K1262" s="14" t="s">
        <v>15</v>
      </c>
      <c r="L1262" s="14">
        <f>IF(OR(Table1[[#This Row],[Order_Status]]="Delivered",Table1[[#This Row],[Delivery_Date]]&lt;&gt;"Not Yet Delivered"),Table1[[#This Row],[Delivery_Date]]-Table1[[#This Row],[Order_Date]],"Not Applicable")</f>
        <v>13</v>
      </c>
      <c r="M1262" s="14">
        <f>Table1[[#This Row],[Unit_Cost]]-Table1[[#This Row],[Negotiated_Cost]]</f>
        <v>4.519999999999996</v>
      </c>
      <c r="N1262" s="18">
        <f>Table1[[#This Row],[Defective_Units]]/Table1[[#This Row],[Quantity]]</f>
        <v>0</v>
      </c>
      <c r="O1262" s="26">
        <f>(Table1[[#This Row],[Unit_Cost]]-Table1[[#This Row],[Negotiated_Cost]])/Table1[[#This Row],[Unit_Cost]]</f>
        <v>4.0480028658427335E-2</v>
      </c>
    </row>
    <row r="1263" spans="1:15" x14ac:dyDescent="0.25">
      <c r="A1263" t="s">
        <v>1298</v>
      </c>
      <c r="B1263" t="s">
        <v>32</v>
      </c>
      <c r="C1263" s="14" t="s">
        <v>50</v>
      </c>
      <c r="D1263" s="1">
        <v>45153</v>
      </c>
      <c r="E1263" s="13">
        <v>45157</v>
      </c>
      <c r="F1263" s="14" t="s">
        <v>14</v>
      </c>
      <c r="G1263">
        <v>375</v>
      </c>
      <c r="H1263">
        <v>46439.13</v>
      </c>
      <c r="I1263">
        <v>43742</v>
      </c>
      <c r="J1263">
        <v>5</v>
      </c>
      <c r="K1263" s="14" t="s">
        <v>15</v>
      </c>
      <c r="L1263" s="14">
        <f>IF(OR(Table1[[#This Row],[Order_Status]]="Delivered",Table1[[#This Row],[Delivery_Date]]&lt;&gt;"Not Yet Delivered"),Table1[[#This Row],[Delivery_Date]]-Table1[[#This Row],[Order_Date]],"Not Applicable")</f>
        <v>4</v>
      </c>
      <c r="M1263" s="14">
        <f>Table1[[#This Row],[Unit_Cost]]-Table1[[#This Row],[Negotiated_Cost]]</f>
        <v>2697.1299999999974</v>
      </c>
      <c r="N1263" s="18">
        <f>Table1[[#This Row],[Defective_Units]]/Table1[[#This Row],[Quantity]]</f>
        <v>1.3333333333333334E-2</v>
      </c>
      <c r="O1263" s="26">
        <f>(Table1[[#This Row],[Unit_Cost]]-Table1[[#This Row],[Negotiated_Cost]])/Table1[[#This Row],[Unit_Cost]]</f>
        <v>5.8078822751416695E-2</v>
      </c>
    </row>
    <row r="1264" spans="1:15" x14ac:dyDescent="0.25">
      <c r="A1264" t="s">
        <v>1299</v>
      </c>
      <c r="B1264" t="s">
        <v>32</v>
      </c>
      <c r="C1264" s="14" t="s">
        <v>36</v>
      </c>
      <c r="D1264" s="1">
        <v>45146</v>
      </c>
      <c r="E1264" s="13">
        <v>45157</v>
      </c>
      <c r="F1264" s="14" t="s">
        <v>14</v>
      </c>
      <c r="G1264">
        <v>244</v>
      </c>
      <c r="H1264">
        <v>477.21</v>
      </c>
      <c r="I1264">
        <v>449.16</v>
      </c>
      <c r="J1264">
        <v>4</v>
      </c>
      <c r="K1264" s="14" t="s">
        <v>15</v>
      </c>
      <c r="L1264" s="14">
        <f>IF(OR(Table1[[#This Row],[Order_Status]]="Delivered",Table1[[#This Row],[Delivery_Date]]&lt;&gt;"Not Yet Delivered"),Table1[[#This Row],[Delivery_Date]]-Table1[[#This Row],[Order_Date]],"Not Applicable")</f>
        <v>11</v>
      </c>
      <c r="M1264" s="14">
        <f>Table1[[#This Row],[Unit_Cost]]-Table1[[#This Row],[Negotiated_Cost]]</f>
        <v>28.049999999999955</v>
      </c>
      <c r="N1264" s="18">
        <f>Table1[[#This Row],[Defective_Units]]/Table1[[#This Row],[Quantity]]</f>
        <v>1.6393442622950821E-2</v>
      </c>
      <c r="O1264" s="26">
        <f>(Table1[[#This Row],[Unit_Cost]]-Table1[[#This Row],[Negotiated_Cost]])/Table1[[#This Row],[Unit_Cost]]</f>
        <v>5.877915383164635E-2</v>
      </c>
    </row>
    <row r="1265" spans="1:15" x14ac:dyDescent="0.25">
      <c r="A1265" t="s">
        <v>1300</v>
      </c>
      <c r="B1265" t="s">
        <v>17</v>
      </c>
      <c r="C1265" s="14" t="s">
        <v>28</v>
      </c>
      <c r="D1265" s="1">
        <v>44937</v>
      </c>
      <c r="E1265" s="14" t="s">
        <v>2057</v>
      </c>
      <c r="F1265" s="14" t="s">
        <v>22</v>
      </c>
      <c r="G1265">
        <v>310</v>
      </c>
      <c r="H1265">
        <v>44316.76</v>
      </c>
      <c r="I1265">
        <v>44066.48</v>
      </c>
      <c r="J1265">
        <v>2</v>
      </c>
      <c r="K1265" s="14" t="s">
        <v>15</v>
      </c>
      <c r="L1265" s="14" t="str">
        <f>IF(OR(Table1[[#This Row],[Order_Status]]="Delivered",Table1[[#This Row],[Delivery_Date]]&lt;&gt;"Not Yet Delivered"),Table1[[#This Row],[Delivery_Date]]-Table1[[#This Row],[Order_Date]],"Not Applicable")</f>
        <v>Not Applicable</v>
      </c>
      <c r="M1265" s="14">
        <f>Table1[[#This Row],[Unit_Cost]]-Table1[[#This Row],[Negotiated_Cost]]</f>
        <v>250.27999999999884</v>
      </c>
      <c r="N1265" s="18">
        <f>Table1[[#This Row],[Defective_Units]]/Table1[[#This Row],[Quantity]]</f>
        <v>6.4516129032258064E-3</v>
      </c>
      <c r="O1265" s="26">
        <f>(Table1[[#This Row],[Unit_Cost]]-Table1[[#This Row],[Negotiated_Cost]])/Table1[[#This Row],[Unit_Cost]]</f>
        <v>5.647524773922977E-3</v>
      </c>
    </row>
    <row r="1266" spans="1:15" x14ac:dyDescent="0.25">
      <c r="A1266" t="s">
        <v>1301</v>
      </c>
      <c r="B1266" t="s">
        <v>35</v>
      </c>
      <c r="C1266" s="14" t="s">
        <v>21</v>
      </c>
      <c r="D1266" s="1">
        <v>45079</v>
      </c>
      <c r="E1266" s="14" t="s">
        <v>2057</v>
      </c>
      <c r="F1266" s="14" t="s">
        <v>33</v>
      </c>
      <c r="G1266">
        <v>216</v>
      </c>
      <c r="H1266">
        <v>113.96</v>
      </c>
      <c r="I1266">
        <v>113.1</v>
      </c>
      <c r="J1266">
        <v>2</v>
      </c>
      <c r="K1266" s="14" t="s">
        <v>15</v>
      </c>
      <c r="L1266" s="14" t="str">
        <f>IF(OR(Table1[[#This Row],[Order_Status]]="Delivered",Table1[[#This Row],[Delivery_Date]]&lt;&gt;"Not Yet Delivered"),Table1[[#This Row],[Delivery_Date]]-Table1[[#This Row],[Order_Date]],"Not Applicable")</f>
        <v>Not Applicable</v>
      </c>
      <c r="M1266" s="14">
        <f>Table1[[#This Row],[Unit_Cost]]-Table1[[#This Row],[Negotiated_Cost]]</f>
        <v>0.85999999999999943</v>
      </c>
      <c r="N1266" s="18">
        <f>Table1[[#This Row],[Defective_Units]]/Table1[[#This Row],[Quantity]]</f>
        <v>9.2592592592592587E-3</v>
      </c>
      <c r="O1266" s="26">
        <f>(Table1[[#This Row],[Unit_Cost]]-Table1[[#This Row],[Negotiated_Cost]])/Table1[[#This Row],[Unit_Cost]]</f>
        <v>7.5465075465075415E-3</v>
      </c>
    </row>
    <row r="1267" spans="1:15" x14ac:dyDescent="0.25">
      <c r="A1267" t="s">
        <v>1302</v>
      </c>
      <c r="B1267" t="s">
        <v>32</v>
      </c>
      <c r="C1267" s="14" t="s">
        <v>44</v>
      </c>
      <c r="D1267" s="1">
        <v>45154</v>
      </c>
      <c r="E1267" s="14" t="s">
        <v>2057</v>
      </c>
      <c r="F1267" s="14" t="s">
        <v>33</v>
      </c>
      <c r="G1267">
        <v>198</v>
      </c>
      <c r="H1267">
        <v>7646.45</v>
      </c>
      <c r="I1267">
        <v>7427.92</v>
      </c>
      <c r="J1267">
        <v>2</v>
      </c>
      <c r="K1267" s="14" t="s">
        <v>15</v>
      </c>
      <c r="L1267" s="14" t="str">
        <f>IF(OR(Table1[[#This Row],[Order_Status]]="Delivered",Table1[[#This Row],[Delivery_Date]]&lt;&gt;"Not Yet Delivered"),Table1[[#This Row],[Delivery_Date]]-Table1[[#This Row],[Order_Date]],"Not Applicable")</f>
        <v>Not Applicable</v>
      </c>
      <c r="M1267" s="14">
        <f>Table1[[#This Row],[Unit_Cost]]-Table1[[#This Row],[Negotiated_Cost]]</f>
        <v>218.52999999999975</v>
      </c>
      <c r="N1267" s="18">
        <f>Table1[[#This Row],[Defective_Units]]/Table1[[#This Row],[Quantity]]</f>
        <v>1.0101010101010102E-2</v>
      </c>
      <c r="O1267" s="26">
        <f>(Table1[[#This Row],[Unit_Cost]]-Table1[[#This Row],[Negotiated_Cost]])/Table1[[#This Row],[Unit_Cost]]</f>
        <v>2.8579275349998986E-2</v>
      </c>
    </row>
    <row r="1268" spans="1:15" x14ac:dyDescent="0.25">
      <c r="A1268" t="s">
        <v>1303</v>
      </c>
      <c r="B1268" t="s">
        <v>27</v>
      </c>
      <c r="C1268" s="14" t="s">
        <v>44</v>
      </c>
      <c r="D1268" s="1">
        <v>45604</v>
      </c>
      <c r="E1268" s="14" t="s">
        <v>2057</v>
      </c>
      <c r="F1268" s="14" t="s">
        <v>22</v>
      </c>
      <c r="G1268">
        <v>187</v>
      </c>
      <c r="H1268">
        <v>8900.64</v>
      </c>
      <c r="I1268">
        <v>8441.6299999999992</v>
      </c>
      <c r="J1268">
        <v>2</v>
      </c>
      <c r="K1268" s="14" t="s">
        <v>15</v>
      </c>
      <c r="L1268" s="14" t="str">
        <f>IF(OR(Table1[[#This Row],[Order_Status]]="Delivered",Table1[[#This Row],[Delivery_Date]]&lt;&gt;"Not Yet Delivered"),Table1[[#This Row],[Delivery_Date]]-Table1[[#This Row],[Order_Date]],"Not Applicable")</f>
        <v>Not Applicable</v>
      </c>
      <c r="M1268" s="14">
        <f>Table1[[#This Row],[Unit_Cost]]-Table1[[#This Row],[Negotiated_Cost]]</f>
        <v>459.01000000000022</v>
      </c>
      <c r="N1268" s="18">
        <f>Table1[[#This Row],[Defective_Units]]/Table1[[#This Row],[Quantity]]</f>
        <v>1.06951871657754E-2</v>
      </c>
      <c r="O1268" s="26">
        <f>(Table1[[#This Row],[Unit_Cost]]-Table1[[#This Row],[Negotiated_Cost]])/Table1[[#This Row],[Unit_Cost]]</f>
        <v>5.1570448866598388E-2</v>
      </c>
    </row>
    <row r="1269" spans="1:15" x14ac:dyDescent="0.25">
      <c r="A1269" t="s">
        <v>1304</v>
      </c>
      <c r="B1269" t="s">
        <v>12</v>
      </c>
      <c r="C1269" s="14" t="s">
        <v>18</v>
      </c>
      <c r="D1269" s="1">
        <v>45534</v>
      </c>
      <c r="E1269" s="13">
        <v>45555</v>
      </c>
      <c r="F1269" s="14" t="s">
        <v>14</v>
      </c>
      <c r="G1269">
        <v>126</v>
      </c>
      <c r="H1269">
        <v>5426.01</v>
      </c>
      <c r="I1269">
        <v>5405.67</v>
      </c>
      <c r="J1269">
        <v>1</v>
      </c>
      <c r="K1269" s="14" t="s">
        <v>15</v>
      </c>
      <c r="L1269" s="14">
        <f>IF(OR(Table1[[#This Row],[Order_Status]]="Delivered",Table1[[#This Row],[Delivery_Date]]&lt;&gt;"Not Yet Delivered"),Table1[[#This Row],[Delivery_Date]]-Table1[[#This Row],[Order_Date]],"Not Applicable")</f>
        <v>21</v>
      </c>
      <c r="M1269" s="14">
        <f>Table1[[#This Row],[Unit_Cost]]-Table1[[#This Row],[Negotiated_Cost]]</f>
        <v>20.340000000000146</v>
      </c>
      <c r="N1269" s="18">
        <f>Table1[[#This Row],[Defective_Units]]/Table1[[#This Row],[Quantity]]</f>
        <v>7.9365079365079361E-3</v>
      </c>
      <c r="O1269" s="26">
        <f>(Table1[[#This Row],[Unit_Cost]]-Table1[[#This Row],[Negotiated_Cost]])/Table1[[#This Row],[Unit_Cost]]</f>
        <v>3.748610857702095E-3</v>
      </c>
    </row>
    <row r="1270" spans="1:15" x14ac:dyDescent="0.25">
      <c r="A1270" t="s">
        <v>1305</v>
      </c>
      <c r="B1270" t="s">
        <v>35</v>
      </c>
      <c r="C1270" s="14" t="s">
        <v>36</v>
      </c>
      <c r="D1270" s="1">
        <v>45499</v>
      </c>
      <c r="E1270" s="13">
        <v>45504</v>
      </c>
      <c r="F1270" s="14" t="s">
        <v>14</v>
      </c>
      <c r="G1270">
        <v>254</v>
      </c>
      <c r="H1270">
        <v>536.79</v>
      </c>
      <c r="I1270">
        <v>511.47</v>
      </c>
      <c r="J1270">
        <v>2</v>
      </c>
      <c r="K1270" s="14" t="s">
        <v>15</v>
      </c>
      <c r="L1270" s="14">
        <f>IF(OR(Table1[[#This Row],[Order_Status]]="Delivered",Table1[[#This Row],[Delivery_Date]]&lt;&gt;"Not Yet Delivered"),Table1[[#This Row],[Delivery_Date]]-Table1[[#This Row],[Order_Date]],"Not Applicable")</f>
        <v>5</v>
      </c>
      <c r="M1270" s="14">
        <f>Table1[[#This Row],[Unit_Cost]]-Table1[[#This Row],[Negotiated_Cost]]</f>
        <v>25.319999999999936</v>
      </c>
      <c r="N1270" s="18">
        <f>Table1[[#This Row],[Defective_Units]]/Table1[[#This Row],[Quantity]]</f>
        <v>7.874015748031496E-3</v>
      </c>
      <c r="O1270" s="26">
        <f>(Table1[[#This Row],[Unit_Cost]]-Table1[[#This Row],[Negotiated_Cost]])/Table1[[#This Row],[Unit_Cost]]</f>
        <v>4.7169284077572121E-2</v>
      </c>
    </row>
    <row r="1271" spans="1:15" x14ac:dyDescent="0.25">
      <c r="A1271" t="s">
        <v>1306</v>
      </c>
      <c r="B1271" t="s">
        <v>17</v>
      </c>
      <c r="C1271" s="14" t="s">
        <v>24</v>
      </c>
      <c r="D1271" s="1">
        <v>44934</v>
      </c>
      <c r="E1271" s="13">
        <v>44942</v>
      </c>
      <c r="F1271" s="14" t="s">
        <v>14</v>
      </c>
      <c r="G1271">
        <v>269</v>
      </c>
      <c r="H1271">
        <v>11291.67</v>
      </c>
      <c r="I1271">
        <v>11018.22</v>
      </c>
      <c r="J1271">
        <v>6</v>
      </c>
      <c r="K1271" s="14" t="s">
        <v>15</v>
      </c>
      <c r="L1271" s="14">
        <f>IF(OR(Table1[[#This Row],[Order_Status]]="Delivered",Table1[[#This Row],[Delivery_Date]]&lt;&gt;"Not Yet Delivered"),Table1[[#This Row],[Delivery_Date]]-Table1[[#This Row],[Order_Date]],"Not Applicable")</f>
        <v>8</v>
      </c>
      <c r="M1271" s="14">
        <f>Table1[[#This Row],[Unit_Cost]]-Table1[[#This Row],[Negotiated_Cost]]</f>
        <v>273.45000000000073</v>
      </c>
      <c r="N1271" s="18">
        <f>Table1[[#This Row],[Defective_Units]]/Table1[[#This Row],[Quantity]]</f>
        <v>2.2304832713754646E-2</v>
      </c>
      <c r="O1271" s="26">
        <f>(Table1[[#This Row],[Unit_Cost]]-Table1[[#This Row],[Negotiated_Cost]])/Table1[[#This Row],[Unit_Cost]]</f>
        <v>2.4216967020821607E-2</v>
      </c>
    </row>
    <row r="1272" spans="1:15" x14ac:dyDescent="0.25">
      <c r="A1272" t="s">
        <v>1307</v>
      </c>
      <c r="B1272" t="s">
        <v>17</v>
      </c>
      <c r="C1272" s="14" t="s">
        <v>55</v>
      </c>
      <c r="D1272" s="1">
        <v>45137</v>
      </c>
      <c r="E1272" s="14" t="s">
        <v>2057</v>
      </c>
      <c r="F1272" s="14" t="s">
        <v>22</v>
      </c>
      <c r="G1272">
        <v>317</v>
      </c>
      <c r="H1272">
        <v>13037.75</v>
      </c>
      <c r="I1272">
        <v>12717.99</v>
      </c>
      <c r="J1272">
        <v>2</v>
      </c>
      <c r="K1272" s="14" t="s">
        <v>15</v>
      </c>
      <c r="L1272" s="14" t="str">
        <f>IF(OR(Table1[[#This Row],[Order_Status]]="Delivered",Table1[[#This Row],[Delivery_Date]]&lt;&gt;"Not Yet Delivered"),Table1[[#This Row],[Delivery_Date]]-Table1[[#This Row],[Order_Date]],"Not Applicable")</f>
        <v>Not Applicable</v>
      </c>
      <c r="M1272" s="14">
        <f>Table1[[#This Row],[Unit_Cost]]-Table1[[#This Row],[Negotiated_Cost]]</f>
        <v>319.76000000000022</v>
      </c>
      <c r="N1272" s="18">
        <f>Table1[[#This Row],[Defective_Units]]/Table1[[#This Row],[Quantity]]</f>
        <v>6.3091482649842269E-3</v>
      </c>
      <c r="O1272" s="26">
        <f>(Table1[[#This Row],[Unit_Cost]]-Table1[[#This Row],[Negotiated_Cost]])/Table1[[#This Row],[Unit_Cost]]</f>
        <v>2.4525704205096754E-2</v>
      </c>
    </row>
    <row r="1273" spans="1:15" x14ac:dyDescent="0.25">
      <c r="A1273" t="s">
        <v>1308</v>
      </c>
      <c r="B1273" t="s">
        <v>32</v>
      </c>
      <c r="C1273" s="14" t="s">
        <v>24</v>
      </c>
      <c r="D1273" s="1">
        <v>45313</v>
      </c>
      <c r="E1273" s="14" t="s">
        <v>2057</v>
      </c>
      <c r="F1273" s="14" t="s">
        <v>33</v>
      </c>
      <c r="G1273">
        <v>150</v>
      </c>
      <c r="H1273">
        <v>11302.64</v>
      </c>
      <c r="I1273">
        <v>10972.17</v>
      </c>
      <c r="J1273">
        <v>2</v>
      </c>
      <c r="K1273" s="14" t="s">
        <v>15</v>
      </c>
      <c r="L1273" s="14" t="str">
        <f>IF(OR(Table1[[#This Row],[Order_Status]]="Delivered",Table1[[#This Row],[Delivery_Date]]&lt;&gt;"Not Yet Delivered"),Table1[[#This Row],[Delivery_Date]]-Table1[[#This Row],[Order_Date]],"Not Applicable")</f>
        <v>Not Applicable</v>
      </c>
      <c r="M1273" s="14">
        <f>Table1[[#This Row],[Unit_Cost]]-Table1[[#This Row],[Negotiated_Cost]]</f>
        <v>330.46999999999935</v>
      </c>
      <c r="N1273" s="18">
        <f>Table1[[#This Row],[Defective_Units]]/Table1[[#This Row],[Quantity]]</f>
        <v>1.3333333333333334E-2</v>
      </c>
      <c r="O1273" s="26">
        <f>(Table1[[#This Row],[Unit_Cost]]-Table1[[#This Row],[Negotiated_Cost]])/Table1[[#This Row],[Unit_Cost]]</f>
        <v>2.9238301848063759E-2</v>
      </c>
    </row>
    <row r="1274" spans="1:15" x14ac:dyDescent="0.25">
      <c r="A1274" t="s">
        <v>1309</v>
      </c>
      <c r="B1274" t="s">
        <v>27</v>
      </c>
      <c r="C1274" s="14" t="s">
        <v>13</v>
      </c>
      <c r="D1274" s="1">
        <v>45587</v>
      </c>
      <c r="E1274" s="13">
        <v>45598</v>
      </c>
      <c r="F1274" s="14" t="s">
        <v>14</v>
      </c>
      <c r="G1274">
        <v>251</v>
      </c>
      <c r="H1274">
        <v>4295.22</v>
      </c>
      <c r="I1274">
        <v>4087.37</v>
      </c>
      <c r="J1274">
        <v>1</v>
      </c>
      <c r="K1274" s="14" t="s">
        <v>15</v>
      </c>
      <c r="L1274" s="14">
        <f>IF(OR(Table1[[#This Row],[Order_Status]]="Delivered",Table1[[#This Row],[Delivery_Date]]&lt;&gt;"Not Yet Delivered"),Table1[[#This Row],[Delivery_Date]]-Table1[[#This Row],[Order_Date]],"Not Applicable")</f>
        <v>11</v>
      </c>
      <c r="M1274" s="14">
        <f>Table1[[#This Row],[Unit_Cost]]-Table1[[#This Row],[Negotiated_Cost]]</f>
        <v>207.85000000000036</v>
      </c>
      <c r="N1274" s="18">
        <f>Table1[[#This Row],[Defective_Units]]/Table1[[#This Row],[Quantity]]</f>
        <v>3.9840637450199202E-3</v>
      </c>
      <c r="O1274" s="26">
        <f>(Table1[[#This Row],[Unit_Cost]]-Table1[[#This Row],[Negotiated_Cost]])/Table1[[#This Row],[Unit_Cost]]</f>
        <v>4.8391002090696252E-2</v>
      </c>
    </row>
    <row r="1275" spans="1:15" x14ac:dyDescent="0.25">
      <c r="A1275" t="s">
        <v>1310</v>
      </c>
      <c r="B1275" t="s">
        <v>12</v>
      </c>
      <c r="C1275" s="14" t="s">
        <v>50</v>
      </c>
      <c r="D1275" s="1">
        <v>45267</v>
      </c>
      <c r="E1275" s="13">
        <v>45293</v>
      </c>
      <c r="F1275" s="14" t="s">
        <v>14</v>
      </c>
      <c r="G1275">
        <v>57</v>
      </c>
      <c r="H1275">
        <v>55035.49</v>
      </c>
      <c r="I1275">
        <v>52226.65</v>
      </c>
      <c r="J1275">
        <v>1</v>
      </c>
      <c r="K1275" s="14" t="s">
        <v>15</v>
      </c>
      <c r="L1275" s="14">
        <f>IF(OR(Table1[[#This Row],[Order_Status]]="Delivered",Table1[[#This Row],[Delivery_Date]]&lt;&gt;"Not Yet Delivered"),Table1[[#This Row],[Delivery_Date]]-Table1[[#This Row],[Order_Date]],"Not Applicable")</f>
        <v>26</v>
      </c>
      <c r="M1275" s="14">
        <f>Table1[[#This Row],[Unit_Cost]]-Table1[[#This Row],[Negotiated_Cost]]</f>
        <v>2808.8399999999965</v>
      </c>
      <c r="N1275" s="18">
        <f>Table1[[#This Row],[Defective_Units]]/Table1[[#This Row],[Quantity]]</f>
        <v>1.7543859649122806E-2</v>
      </c>
      <c r="O1275" s="26">
        <f>(Table1[[#This Row],[Unit_Cost]]-Table1[[#This Row],[Negotiated_Cost]])/Table1[[#This Row],[Unit_Cost]]</f>
        <v>5.1036885471538396E-2</v>
      </c>
    </row>
    <row r="1276" spans="1:15" x14ac:dyDescent="0.25">
      <c r="A1276" t="s">
        <v>1311</v>
      </c>
      <c r="B1276" t="s">
        <v>46</v>
      </c>
      <c r="C1276" s="14" t="s">
        <v>24</v>
      </c>
      <c r="D1276" s="1">
        <v>45610</v>
      </c>
      <c r="E1276" s="13">
        <v>45633</v>
      </c>
      <c r="F1276" s="14" t="s">
        <v>14</v>
      </c>
      <c r="G1276">
        <v>16</v>
      </c>
      <c r="H1276">
        <v>12818.68</v>
      </c>
      <c r="I1276">
        <v>12776.52</v>
      </c>
      <c r="J1276">
        <v>0</v>
      </c>
      <c r="K1276" s="14" t="s">
        <v>25</v>
      </c>
      <c r="L1276" s="14">
        <f>IF(OR(Table1[[#This Row],[Order_Status]]="Delivered",Table1[[#This Row],[Delivery_Date]]&lt;&gt;"Not Yet Delivered"),Table1[[#This Row],[Delivery_Date]]-Table1[[#This Row],[Order_Date]],"Not Applicable")</f>
        <v>23</v>
      </c>
      <c r="M1276" s="14">
        <f>Table1[[#This Row],[Unit_Cost]]-Table1[[#This Row],[Negotiated_Cost]]</f>
        <v>42.159999999999854</v>
      </c>
      <c r="N1276" s="18">
        <f>Table1[[#This Row],[Defective_Units]]/Table1[[#This Row],[Quantity]]</f>
        <v>0</v>
      </c>
      <c r="O1276" s="26">
        <f>(Table1[[#This Row],[Unit_Cost]]-Table1[[#This Row],[Negotiated_Cost]])/Table1[[#This Row],[Unit_Cost]]</f>
        <v>3.2889501883189105E-3</v>
      </c>
    </row>
    <row r="1277" spans="1:15" x14ac:dyDescent="0.25">
      <c r="A1277" t="s">
        <v>1312</v>
      </c>
      <c r="B1277" t="s">
        <v>12</v>
      </c>
      <c r="C1277" s="14" t="s">
        <v>44</v>
      </c>
      <c r="D1277" s="1">
        <v>45438</v>
      </c>
      <c r="E1277" s="13">
        <v>45446</v>
      </c>
      <c r="F1277" s="14" t="s">
        <v>14</v>
      </c>
      <c r="G1277">
        <v>323</v>
      </c>
      <c r="H1277">
        <v>8520.52</v>
      </c>
      <c r="I1277">
        <v>8491.07</v>
      </c>
      <c r="J1277">
        <v>0</v>
      </c>
      <c r="K1277" s="14" t="s">
        <v>15</v>
      </c>
      <c r="L1277" s="14">
        <f>IF(OR(Table1[[#This Row],[Order_Status]]="Delivered",Table1[[#This Row],[Delivery_Date]]&lt;&gt;"Not Yet Delivered"),Table1[[#This Row],[Delivery_Date]]-Table1[[#This Row],[Order_Date]],"Not Applicable")</f>
        <v>8</v>
      </c>
      <c r="M1277" s="14">
        <f>Table1[[#This Row],[Unit_Cost]]-Table1[[#This Row],[Negotiated_Cost]]</f>
        <v>29.450000000000728</v>
      </c>
      <c r="N1277" s="18">
        <f>Table1[[#This Row],[Defective_Units]]/Table1[[#This Row],[Quantity]]</f>
        <v>0</v>
      </c>
      <c r="O1277" s="26">
        <f>(Table1[[#This Row],[Unit_Cost]]-Table1[[#This Row],[Negotiated_Cost]])/Table1[[#This Row],[Unit_Cost]]</f>
        <v>3.4563618182928656E-3</v>
      </c>
    </row>
    <row r="1278" spans="1:15" x14ac:dyDescent="0.25">
      <c r="A1278" t="s">
        <v>1313</v>
      </c>
      <c r="B1278" t="s">
        <v>20</v>
      </c>
      <c r="C1278" s="14" t="s">
        <v>18</v>
      </c>
      <c r="D1278" s="1">
        <v>45456</v>
      </c>
      <c r="E1278" s="13">
        <v>45475</v>
      </c>
      <c r="F1278" s="14" t="s">
        <v>14</v>
      </c>
      <c r="G1278">
        <v>177</v>
      </c>
      <c r="H1278">
        <v>4772.38</v>
      </c>
      <c r="I1278">
        <v>4673.4799999999996</v>
      </c>
      <c r="J1278">
        <v>2</v>
      </c>
      <c r="K1278" s="14" t="s">
        <v>15</v>
      </c>
      <c r="L1278" s="14">
        <f>IF(OR(Table1[[#This Row],[Order_Status]]="Delivered",Table1[[#This Row],[Delivery_Date]]&lt;&gt;"Not Yet Delivered"),Table1[[#This Row],[Delivery_Date]]-Table1[[#This Row],[Order_Date]],"Not Applicable")</f>
        <v>19</v>
      </c>
      <c r="M1278" s="14">
        <f>Table1[[#This Row],[Unit_Cost]]-Table1[[#This Row],[Negotiated_Cost]]</f>
        <v>98.900000000000546</v>
      </c>
      <c r="N1278" s="18">
        <f>Table1[[#This Row],[Defective_Units]]/Table1[[#This Row],[Quantity]]</f>
        <v>1.1299435028248588E-2</v>
      </c>
      <c r="O1278" s="26">
        <f>(Table1[[#This Row],[Unit_Cost]]-Table1[[#This Row],[Negotiated_Cost]])/Table1[[#This Row],[Unit_Cost]]</f>
        <v>2.0723412636881502E-2</v>
      </c>
    </row>
    <row r="1279" spans="1:15" x14ac:dyDescent="0.25">
      <c r="A1279" t="s">
        <v>1314</v>
      </c>
      <c r="B1279" t="s">
        <v>46</v>
      </c>
      <c r="C1279" s="14" t="s">
        <v>18</v>
      </c>
      <c r="D1279" s="1">
        <v>44960</v>
      </c>
      <c r="E1279" s="14" t="s">
        <v>2057</v>
      </c>
      <c r="F1279" s="14" t="s">
        <v>33</v>
      </c>
      <c r="G1279">
        <v>284</v>
      </c>
      <c r="H1279">
        <v>4905.93</v>
      </c>
      <c r="I1279">
        <v>4685.63</v>
      </c>
      <c r="J1279">
        <v>2</v>
      </c>
      <c r="K1279" s="14" t="s">
        <v>15</v>
      </c>
      <c r="L1279" s="14" t="str">
        <f>IF(OR(Table1[[#This Row],[Order_Status]]="Delivered",Table1[[#This Row],[Delivery_Date]]&lt;&gt;"Not Yet Delivered"),Table1[[#This Row],[Delivery_Date]]-Table1[[#This Row],[Order_Date]],"Not Applicable")</f>
        <v>Not Applicable</v>
      </c>
      <c r="M1279" s="14">
        <f>Table1[[#This Row],[Unit_Cost]]-Table1[[#This Row],[Negotiated_Cost]]</f>
        <v>220.30000000000018</v>
      </c>
      <c r="N1279" s="18">
        <f>Table1[[#This Row],[Defective_Units]]/Table1[[#This Row],[Quantity]]</f>
        <v>7.0422535211267607E-3</v>
      </c>
      <c r="O1279" s="26">
        <f>(Table1[[#This Row],[Unit_Cost]]-Table1[[#This Row],[Negotiated_Cost]])/Table1[[#This Row],[Unit_Cost]]</f>
        <v>4.4904839653236016E-2</v>
      </c>
    </row>
    <row r="1280" spans="1:15" x14ac:dyDescent="0.25">
      <c r="A1280" t="s">
        <v>1315</v>
      </c>
      <c r="B1280" t="s">
        <v>40</v>
      </c>
      <c r="C1280" s="14" t="s">
        <v>36</v>
      </c>
      <c r="D1280" s="1">
        <v>45424</v>
      </c>
      <c r="E1280" s="13">
        <v>45427</v>
      </c>
      <c r="F1280" s="14" t="s">
        <v>14</v>
      </c>
      <c r="G1280">
        <v>157</v>
      </c>
      <c r="H1280">
        <v>564.20000000000005</v>
      </c>
      <c r="I1280">
        <v>540.53</v>
      </c>
      <c r="J1280">
        <v>2</v>
      </c>
      <c r="K1280" s="14" t="s">
        <v>15</v>
      </c>
      <c r="L1280" s="14">
        <f>IF(OR(Table1[[#This Row],[Order_Status]]="Delivered",Table1[[#This Row],[Delivery_Date]]&lt;&gt;"Not Yet Delivered"),Table1[[#This Row],[Delivery_Date]]-Table1[[#This Row],[Order_Date]],"Not Applicable")</f>
        <v>3</v>
      </c>
      <c r="M1280" s="14">
        <f>Table1[[#This Row],[Unit_Cost]]-Table1[[#This Row],[Negotiated_Cost]]</f>
        <v>23.670000000000073</v>
      </c>
      <c r="N1280" s="18">
        <f>Table1[[#This Row],[Defective_Units]]/Table1[[#This Row],[Quantity]]</f>
        <v>1.2738853503184714E-2</v>
      </c>
      <c r="O1280" s="26">
        <f>(Table1[[#This Row],[Unit_Cost]]-Table1[[#This Row],[Negotiated_Cost]])/Table1[[#This Row],[Unit_Cost]]</f>
        <v>4.1953208082240463E-2</v>
      </c>
    </row>
    <row r="1281" spans="1:15" x14ac:dyDescent="0.25">
      <c r="A1281" t="s">
        <v>1316</v>
      </c>
      <c r="B1281" t="s">
        <v>27</v>
      </c>
      <c r="C1281" s="14" t="s">
        <v>44</v>
      </c>
      <c r="D1281" s="1">
        <v>45453</v>
      </c>
      <c r="E1281" s="13">
        <v>45461</v>
      </c>
      <c r="F1281" s="14" t="s">
        <v>14</v>
      </c>
      <c r="G1281">
        <v>408</v>
      </c>
      <c r="H1281">
        <v>8163.6</v>
      </c>
      <c r="I1281">
        <v>7942.11</v>
      </c>
      <c r="J1281">
        <v>15</v>
      </c>
      <c r="K1281" s="14" t="s">
        <v>15</v>
      </c>
      <c r="L1281" s="14">
        <f>IF(OR(Table1[[#This Row],[Order_Status]]="Delivered",Table1[[#This Row],[Delivery_Date]]&lt;&gt;"Not Yet Delivered"),Table1[[#This Row],[Delivery_Date]]-Table1[[#This Row],[Order_Date]],"Not Applicable")</f>
        <v>8</v>
      </c>
      <c r="M1281" s="14">
        <f>Table1[[#This Row],[Unit_Cost]]-Table1[[#This Row],[Negotiated_Cost]]</f>
        <v>221.49000000000069</v>
      </c>
      <c r="N1281" s="18">
        <f>Table1[[#This Row],[Defective_Units]]/Table1[[#This Row],[Quantity]]</f>
        <v>3.6764705882352942E-2</v>
      </c>
      <c r="O1281" s="26">
        <f>(Table1[[#This Row],[Unit_Cost]]-Table1[[#This Row],[Negotiated_Cost]])/Table1[[#This Row],[Unit_Cost]]</f>
        <v>2.7131412612082989E-2</v>
      </c>
    </row>
    <row r="1282" spans="1:15" x14ac:dyDescent="0.25">
      <c r="A1282" t="s">
        <v>1317</v>
      </c>
      <c r="B1282" t="s">
        <v>20</v>
      </c>
      <c r="C1282" s="14" t="s">
        <v>18</v>
      </c>
      <c r="D1282" s="1">
        <v>44962</v>
      </c>
      <c r="E1282" s="13">
        <v>44991</v>
      </c>
      <c r="F1282" s="14" t="s">
        <v>37</v>
      </c>
      <c r="G1282">
        <v>377</v>
      </c>
      <c r="H1282">
        <v>5234.57</v>
      </c>
      <c r="I1282">
        <v>5096.38</v>
      </c>
      <c r="J1282">
        <v>7</v>
      </c>
      <c r="K1282" s="14" t="s">
        <v>15</v>
      </c>
      <c r="L1282" s="14">
        <f>IF(OR(Table1[[#This Row],[Order_Status]]="Delivered",Table1[[#This Row],[Delivery_Date]]&lt;&gt;"Not Yet Delivered"),Table1[[#This Row],[Delivery_Date]]-Table1[[#This Row],[Order_Date]],"Not Applicable")</f>
        <v>29</v>
      </c>
      <c r="M1282" s="14">
        <f>Table1[[#This Row],[Unit_Cost]]-Table1[[#This Row],[Negotiated_Cost]]</f>
        <v>138.1899999999996</v>
      </c>
      <c r="N1282" s="18">
        <f>Table1[[#This Row],[Defective_Units]]/Table1[[#This Row],[Quantity]]</f>
        <v>1.8567639257294429E-2</v>
      </c>
      <c r="O1282" s="26">
        <f>(Table1[[#This Row],[Unit_Cost]]-Table1[[#This Row],[Negotiated_Cost]])/Table1[[#This Row],[Unit_Cost]]</f>
        <v>2.6399494132278222E-2</v>
      </c>
    </row>
    <row r="1283" spans="1:15" x14ac:dyDescent="0.25">
      <c r="A1283" t="s">
        <v>1318</v>
      </c>
      <c r="B1283" t="s">
        <v>40</v>
      </c>
      <c r="C1283" s="14" t="s">
        <v>24</v>
      </c>
      <c r="D1283" s="1">
        <v>45233</v>
      </c>
      <c r="E1283" s="14" t="s">
        <v>2057</v>
      </c>
      <c r="F1283" s="14" t="s">
        <v>22</v>
      </c>
      <c r="G1283">
        <v>476</v>
      </c>
      <c r="H1283">
        <v>13824.3</v>
      </c>
      <c r="I1283">
        <v>13680.2</v>
      </c>
      <c r="J1283">
        <v>2</v>
      </c>
      <c r="K1283" s="14" t="s">
        <v>15</v>
      </c>
      <c r="L1283" s="14" t="str">
        <f>IF(OR(Table1[[#This Row],[Order_Status]]="Delivered",Table1[[#This Row],[Delivery_Date]]&lt;&gt;"Not Yet Delivered"),Table1[[#This Row],[Delivery_Date]]-Table1[[#This Row],[Order_Date]],"Not Applicable")</f>
        <v>Not Applicable</v>
      </c>
      <c r="M1283" s="14">
        <f>Table1[[#This Row],[Unit_Cost]]-Table1[[#This Row],[Negotiated_Cost]]</f>
        <v>144.09999999999854</v>
      </c>
      <c r="N1283" s="18">
        <f>Table1[[#This Row],[Defective_Units]]/Table1[[#This Row],[Quantity]]</f>
        <v>4.2016806722689074E-3</v>
      </c>
      <c r="O1283" s="26">
        <f>(Table1[[#This Row],[Unit_Cost]]-Table1[[#This Row],[Negotiated_Cost]])/Table1[[#This Row],[Unit_Cost]]</f>
        <v>1.0423674254754205E-2</v>
      </c>
    </row>
    <row r="1284" spans="1:15" x14ac:dyDescent="0.25">
      <c r="A1284" t="s">
        <v>1319</v>
      </c>
      <c r="B1284" t="s">
        <v>35</v>
      </c>
      <c r="C1284" s="14" t="s">
        <v>30</v>
      </c>
      <c r="D1284" s="1">
        <v>45444</v>
      </c>
      <c r="E1284" s="13">
        <v>45460</v>
      </c>
      <c r="F1284" s="14" t="s">
        <v>14</v>
      </c>
      <c r="G1284">
        <v>123</v>
      </c>
      <c r="H1284">
        <v>885.12</v>
      </c>
      <c r="I1284">
        <v>871</v>
      </c>
      <c r="J1284">
        <v>0</v>
      </c>
      <c r="K1284" s="14" t="s">
        <v>15</v>
      </c>
      <c r="L1284" s="14">
        <f>IF(OR(Table1[[#This Row],[Order_Status]]="Delivered",Table1[[#This Row],[Delivery_Date]]&lt;&gt;"Not Yet Delivered"),Table1[[#This Row],[Delivery_Date]]-Table1[[#This Row],[Order_Date]],"Not Applicable")</f>
        <v>16</v>
      </c>
      <c r="M1284" s="14">
        <f>Table1[[#This Row],[Unit_Cost]]-Table1[[#This Row],[Negotiated_Cost]]</f>
        <v>14.120000000000005</v>
      </c>
      <c r="N1284" s="18">
        <f>Table1[[#This Row],[Defective_Units]]/Table1[[#This Row],[Quantity]]</f>
        <v>0</v>
      </c>
      <c r="O1284" s="26">
        <f>(Table1[[#This Row],[Unit_Cost]]-Table1[[#This Row],[Negotiated_Cost]])/Table1[[#This Row],[Unit_Cost]]</f>
        <v>1.5952639190166311E-2</v>
      </c>
    </row>
    <row r="1285" spans="1:15" x14ac:dyDescent="0.25">
      <c r="A1285" t="s">
        <v>1320</v>
      </c>
      <c r="B1285" t="s">
        <v>27</v>
      </c>
      <c r="C1285" s="14" t="s">
        <v>42</v>
      </c>
      <c r="D1285" s="1">
        <v>45215</v>
      </c>
      <c r="E1285" s="14" t="s">
        <v>2057</v>
      </c>
      <c r="F1285" s="14" t="s">
        <v>33</v>
      </c>
      <c r="G1285">
        <v>488</v>
      </c>
      <c r="H1285">
        <v>12905.48</v>
      </c>
      <c r="I1285">
        <v>12459.02</v>
      </c>
      <c r="J1285">
        <v>2</v>
      </c>
      <c r="K1285" s="14" t="s">
        <v>15</v>
      </c>
      <c r="L1285" s="14" t="str">
        <f>IF(OR(Table1[[#This Row],[Order_Status]]="Delivered",Table1[[#This Row],[Delivery_Date]]&lt;&gt;"Not Yet Delivered"),Table1[[#This Row],[Delivery_Date]]-Table1[[#This Row],[Order_Date]],"Not Applicable")</f>
        <v>Not Applicable</v>
      </c>
      <c r="M1285" s="14">
        <f>Table1[[#This Row],[Unit_Cost]]-Table1[[#This Row],[Negotiated_Cost]]</f>
        <v>446.45999999999913</v>
      </c>
      <c r="N1285" s="18">
        <f>Table1[[#This Row],[Defective_Units]]/Table1[[#This Row],[Quantity]]</f>
        <v>4.0983606557377051E-3</v>
      </c>
      <c r="O1285" s="26">
        <f>(Table1[[#This Row],[Unit_Cost]]-Table1[[#This Row],[Negotiated_Cost]])/Table1[[#This Row],[Unit_Cost]]</f>
        <v>3.4594606322275429E-2</v>
      </c>
    </row>
    <row r="1286" spans="1:15" x14ac:dyDescent="0.25">
      <c r="A1286" t="s">
        <v>1321</v>
      </c>
      <c r="B1286" t="s">
        <v>35</v>
      </c>
      <c r="C1286" s="14" t="s">
        <v>36</v>
      </c>
      <c r="D1286" s="1">
        <v>45282</v>
      </c>
      <c r="E1286" s="13">
        <v>45311</v>
      </c>
      <c r="F1286" s="14" t="s">
        <v>14</v>
      </c>
      <c r="G1286">
        <v>153</v>
      </c>
      <c r="H1286">
        <v>530.52</v>
      </c>
      <c r="I1286">
        <v>510.5</v>
      </c>
      <c r="J1286">
        <v>3</v>
      </c>
      <c r="K1286" s="14" t="s">
        <v>15</v>
      </c>
      <c r="L1286" s="14">
        <f>IF(OR(Table1[[#This Row],[Order_Status]]="Delivered",Table1[[#This Row],[Delivery_Date]]&lt;&gt;"Not Yet Delivered"),Table1[[#This Row],[Delivery_Date]]-Table1[[#This Row],[Order_Date]],"Not Applicable")</f>
        <v>29</v>
      </c>
      <c r="M1286" s="14">
        <f>Table1[[#This Row],[Unit_Cost]]-Table1[[#This Row],[Negotiated_Cost]]</f>
        <v>20.019999999999982</v>
      </c>
      <c r="N1286" s="18">
        <f>Table1[[#This Row],[Defective_Units]]/Table1[[#This Row],[Quantity]]</f>
        <v>1.9607843137254902E-2</v>
      </c>
      <c r="O1286" s="26">
        <f>(Table1[[#This Row],[Unit_Cost]]-Table1[[#This Row],[Negotiated_Cost]])/Table1[[#This Row],[Unit_Cost]]</f>
        <v>3.7736560355877219E-2</v>
      </c>
    </row>
    <row r="1287" spans="1:15" x14ac:dyDescent="0.25">
      <c r="A1287" t="s">
        <v>1322</v>
      </c>
      <c r="B1287" t="s">
        <v>27</v>
      </c>
      <c r="C1287" s="14" t="s">
        <v>21</v>
      </c>
      <c r="D1287" s="1">
        <v>45516</v>
      </c>
      <c r="E1287" s="13">
        <v>45528</v>
      </c>
      <c r="F1287" s="14" t="s">
        <v>14</v>
      </c>
      <c r="G1287">
        <v>394</v>
      </c>
      <c r="H1287">
        <v>121.09</v>
      </c>
      <c r="I1287">
        <v>120.12</v>
      </c>
      <c r="J1287">
        <v>6</v>
      </c>
      <c r="K1287" s="14" t="s">
        <v>15</v>
      </c>
      <c r="L1287" s="14">
        <f>IF(OR(Table1[[#This Row],[Order_Status]]="Delivered",Table1[[#This Row],[Delivery_Date]]&lt;&gt;"Not Yet Delivered"),Table1[[#This Row],[Delivery_Date]]-Table1[[#This Row],[Order_Date]],"Not Applicable")</f>
        <v>12</v>
      </c>
      <c r="M1287" s="14">
        <f>Table1[[#This Row],[Unit_Cost]]-Table1[[#This Row],[Negotiated_Cost]]</f>
        <v>0.96999999999999886</v>
      </c>
      <c r="N1287" s="18">
        <f>Table1[[#This Row],[Defective_Units]]/Table1[[#This Row],[Quantity]]</f>
        <v>1.5228426395939087E-2</v>
      </c>
      <c r="O1287" s="26">
        <f>(Table1[[#This Row],[Unit_Cost]]-Table1[[#This Row],[Negotiated_Cost]])/Table1[[#This Row],[Unit_Cost]]</f>
        <v>8.0105706499297939E-3</v>
      </c>
    </row>
    <row r="1288" spans="1:15" x14ac:dyDescent="0.25">
      <c r="A1288" t="s">
        <v>1323</v>
      </c>
      <c r="B1288" t="s">
        <v>27</v>
      </c>
      <c r="C1288" s="14" t="s">
        <v>28</v>
      </c>
      <c r="D1288" s="1">
        <v>45405</v>
      </c>
      <c r="E1288" s="13">
        <v>45432</v>
      </c>
      <c r="F1288" s="14" t="s">
        <v>14</v>
      </c>
      <c r="G1288">
        <v>94</v>
      </c>
      <c r="H1288">
        <v>50065.56</v>
      </c>
      <c r="I1288">
        <v>50023.43</v>
      </c>
      <c r="J1288">
        <v>0</v>
      </c>
      <c r="K1288" s="14" t="s">
        <v>15</v>
      </c>
      <c r="L1288" s="14">
        <f>IF(OR(Table1[[#This Row],[Order_Status]]="Delivered",Table1[[#This Row],[Delivery_Date]]&lt;&gt;"Not Yet Delivered"),Table1[[#This Row],[Delivery_Date]]-Table1[[#This Row],[Order_Date]],"Not Applicable")</f>
        <v>27</v>
      </c>
      <c r="M1288" s="14">
        <f>Table1[[#This Row],[Unit_Cost]]-Table1[[#This Row],[Negotiated_Cost]]</f>
        <v>42.129999999997381</v>
      </c>
      <c r="N1288" s="18">
        <f>Table1[[#This Row],[Defective_Units]]/Table1[[#This Row],[Quantity]]</f>
        <v>0</v>
      </c>
      <c r="O1288" s="26">
        <f>(Table1[[#This Row],[Unit_Cost]]-Table1[[#This Row],[Negotiated_Cost]])/Table1[[#This Row],[Unit_Cost]]</f>
        <v>8.4149662961919094E-4</v>
      </c>
    </row>
    <row r="1289" spans="1:15" x14ac:dyDescent="0.25">
      <c r="A1289" t="s">
        <v>1324</v>
      </c>
      <c r="B1289" t="s">
        <v>35</v>
      </c>
      <c r="C1289" s="14" t="s">
        <v>13</v>
      </c>
      <c r="D1289" s="1">
        <v>45231</v>
      </c>
      <c r="E1289" s="13">
        <v>45239</v>
      </c>
      <c r="F1289" s="14" t="s">
        <v>37</v>
      </c>
      <c r="G1289">
        <v>38</v>
      </c>
      <c r="H1289">
        <v>4028.62</v>
      </c>
      <c r="I1289">
        <v>3790.34</v>
      </c>
      <c r="J1289">
        <v>0</v>
      </c>
      <c r="K1289" s="14" t="s">
        <v>15</v>
      </c>
      <c r="L1289" s="14">
        <f>IF(OR(Table1[[#This Row],[Order_Status]]="Delivered",Table1[[#This Row],[Delivery_Date]]&lt;&gt;"Not Yet Delivered"),Table1[[#This Row],[Delivery_Date]]-Table1[[#This Row],[Order_Date]],"Not Applicable")</f>
        <v>8</v>
      </c>
      <c r="M1289" s="14">
        <f>Table1[[#This Row],[Unit_Cost]]-Table1[[#This Row],[Negotiated_Cost]]</f>
        <v>238.27999999999975</v>
      </c>
      <c r="N1289" s="18">
        <f>Table1[[#This Row],[Defective_Units]]/Table1[[#This Row],[Quantity]]</f>
        <v>0</v>
      </c>
      <c r="O1289" s="26">
        <f>(Table1[[#This Row],[Unit_Cost]]-Table1[[#This Row],[Negotiated_Cost]])/Table1[[#This Row],[Unit_Cost]]</f>
        <v>5.9146804612993965E-2</v>
      </c>
    </row>
    <row r="1290" spans="1:15" x14ac:dyDescent="0.25">
      <c r="A1290" t="s">
        <v>1325</v>
      </c>
      <c r="B1290" t="s">
        <v>35</v>
      </c>
      <c r="C1290" s="14" t="s">
        <v>24</v>
      </c>
      <c r="D1290" s="1">
        <v>45133</v>
      </c>
      <c r="E1290" s="14" t="s">
        <v>2057</v>
      </c>
      <c r="F1290" s="14" t="s">
        <v>22</v>
      </c>
      <c r="G1290">
        <v>457</v>
      </c>
      <c r="H1290">
        <v>13164.57</v>
      </c>
      <c r="I1290">
        <v>12516.58</v>
      </c>
      <c r="J1290">
        <v>2</v>
      </c>
      <c r="K1290" s="14" t="s">
        <v>15</v>
      </c>
      <c r="L1290" s="14" t="str">
        <f>IF(OR(Table1[[#This Row],[Order_Status]]="Delivered",Table1[[#This Row],[Delivery_Date]]&lt;&gt;"Not Yet Delivered"),Table1[[#This Row],[Delivery_Date]]-Table1[[#This Row],[Order_Date]],"Not Applicable")</f>
        <v>Not Applicable</v>
      </c>
      <c r="M1290" s="14">
        <f>Table1[[#This Row],[Unit_Cost]]-Table1[[#This Row],[Negotiated_Cost]]</f>
        <v>647.98999999999978</v>
      </c>
      <c r="N1290" s="18">
        <f>Table1[[#This Row],[Defective_Units]]/Table1[[#This Row],[Quantity]]</f>
        <v>4.3763676148796497E-3</v>
      </c>
      <c r="O1290" s="26">
        <f>(Table1[[#This Row],[Unit_Cost]]-Table1[[#This Row],[Negotiated_Cost]])/Table1[[#This Row],[Unit_Cost]]</f>
        <v>4.9222268558714775E-2</v>
      </c>
    </row>
    <row r="1291" spans="1:15" x14ac:dyDescent="0.25">
      <c r="A1291" t="s">
        <v>1326</v>
      </c>
      <c r="B1291" t="s">
        <v>40</v>
      </c>
      <c r="C1291" s="14" t="s">
        <v>13</v>
      </c>
      <c r="D1291" s="1">
        <v>45036</v>
      </c>
      <c r="E1291" s="13">
        <v>45043</v>
      </c>
      <c r="F1291" s="14" t="s">
        <v>14</v>
      </c>
      <c r="G1291">
        <v>176</v>
      </c>
      <c r="H1291">
        <v>4270.32</v>
      </c>
      <c r="I1291">
        <v>4141.83</v>
      </c>
      <c r="J1291">
        <v>0</v>
      </c>
      <c r="K1291" s="14" t="s">
        <v>15</v>
      </c>
      <c r="L1291" s="14">
        <f>IF(OR(Table1[[#This Row],[Order_Status]]="Delivered",Table1[[#This Row],[Delivery_Date]]&lt;&gt;"Not Yet Delivered"),Table1[[#This Row],[Delivery_Date]]-Table1[[#This Row],[Order_Date]],"Not Applicable")</f>
        <v>7</v>
      </c>
      <c r="M1291" s="14">
        <f>Table1[[#This Row],[Unit_Cost]]-Table1[[#This Row],[Negotiated_Cost]]</f>
        <v>128.48999999999978</v>
      </c>
      <c r="N1291" s="18">
        <f>Table1[[#This Row],[Defective_Units]]/Table1[[#This Row],[Quantity]]</f>
        <v>0</v>
      </c>
      <c r="O1291" s="26">
        <f>(Table1[[#This Row],[Unit_Cost]]-Table1[[#This Row],[Negotiated_Cost]])/Table1[[#This Row],[Unit_Cost]]</f>
        <v>3.0089079975271125E-2</v>
      </c>
    </row>
    <row r="1292" spans="1:15" x14ac:dyDescent="0.25">
      <c r="A1292" t="s">
        <v>1327</v>
      </c>
      <c r="B1292" t="s">
        <v>40</v>
      </c>
      <c r="C1292" s="14" t="s">
        <v>44</v>
      </c>
      <c r="D1292" s="1">
        <v>45503</v>
      </c>
      <c r="E1292" s="14" t="s">
        <v>2057</v>
      </c>
      <c r="F1292" s="14" t="s">
        <v>22</v>
      </c>
      <c r="G1292">
        <v>348</v>
      </c>
      <c r="H1292">
        <v>8861.1299999999992</v>
      </c>
      <c r="I1292">
        <v>8509.56</v>
      </c>
      <c r="J1292">
        <v>2</v>
      </c>
      <c r="K1292" s="14" t="s">
        <v>15</v>
      </c>
      <c r="L1292" s="14" t="str">
        <f>IF(OR(Table1[[#This Row],[Order_Status]]="Delivered",Table1[[#This Row],[Delivery_Date]]&lt;&gt;"Not Yet Delivered"),Table1[[#This Row],[Delivery_Date]]-Table1[[#This Row],[Order_Date]],"Not Applicable")</f>
        <v>Not Applicable</v>
      </c>
      <c r="M1292" s="14">
        <f>Table1[[#This Row],[Unit_Cost]]-Table1[[#This Row],[Negotiated_Cost]]</f>
        <v>351.56999999999971</v>
      </c>
      <c r="N1292" s="18">
        <f>Table1[[#This Row],[Defective_Units]]/Table1[[#This Row],[Quantity]]</f>
        <v>5.7471264367816091E-3</v>
      </c>
      <c r="O1292" s="26">
        <f>(Table1[[#This Row],[Unit_Cost]]-Table1[[#This Row],[Negotiated_Cost]])/Table1[[#This Row],[Unit_Cost]]</f>
        <v>3.9675526710475952E-2</v>
      </c>
    </row>
    <row r="1293" spans="1:15" x14ac:dyDescent="0.25">
      <c r="A1293" t="s">
        <v>1328</v>
      </c>
      <c r="B1293" t="s">
        <v>32</v>
      </c>
      <c r="C1293" s="14" t="s">
        <v>42</v>
      </c>
      <c r="D1293" s="1">
        <v>45582</v>
      </c>
      <c r="E1293" s="13">
        <v>45592</v>
      </c>
      <c r="F1293" s="14" t="s">
        <v>14</v>
      </c>
      <c r="G1293">
        <v>385</v>
      </c>
      <c r="H1293">
        <v>10609.04</v>
      </c>
      <c r="I1293">
        <v>10179.629999999999</v>
      </c>
      <c r="J1293">
        <v>4</v>
      </c>
      <c r="K1293" s="14" t="s">
        <v>15</v>
      </c>
      <c r="L1293" s="14">
        <f>IF(OR(Table1[[#This Row],[Order_Status]]="Delivered",Table1[[#This Row],[Delivery_Date]]&lt;&gt;"Not Yet Delivered"),Table1[[#This Row],[Delivery_Date]]-Table1[[#This Row],[Order_Date]],"Not Applicable")</f>
        <v>10</v>
      </c>
      <c r="M1293" s="14">
        <f>Table1[[#This Row],[Unit_Cost]]-Table1[[#This Row],[Negotiated_Cost]]</f>
        <v>429.41000000000167</v>
      </c>
      <c r="N1293" s="18">
        <f>Table1[[#This Row],[Defective_Units]]/Table1[[#This Row],[Quantity]]</f>
        <v>1.038961038961039E-2</v>
      </c>
      <c r="O1293" s="26">
        <f>(Table1[[#This Row],[Unit_Cost]]-Table1[[#This Row],[Negotiated_Cost]])/Table1[[#This Row],[Unit_Cost]]</f>
        <v>4.0475858324598796E-2</v>
      </c>
    </row>
    <row r="1294" spans="1:15" x14ac:dyDescent="0.25">
      <c r="A1294" t="s">
        <v>1329</v>
      </c>
      <c r="B1294" t="s">
        <v>40</v>
      </c>
      <c r="C1294" s="14" t="s">
        <v>24</v>
      </c>
      <c r="D1294" s="1">
        <v>45596</v>
      </c>
      <c r="E1294" s="13">
        <v>45623</v>
      </c>
      <c r="F1294" s="14" t="s">
        <v>37</v>
      </c>
      <c r="G1294">
        <v>62</v>
      </c>
      <c r="H1294">
        <v>13149.1</v>
      </c>
      <c r="I1294">
        <v>12865.15</v>
      </c>
      <c r="J1294">
        <v>0</v>
      </c>
      <c r="K1294" s="14" t="s">
        <v>15</v>
      </c>
      <c r="L1294" s="14">
        <f>IF(OR(Table1[[#This Row],[Order_Status]]="Delivered",Table1[[#This Row],[Delivery_Date]]&lt;&gt;"Not Yet Delivered"),Table1[[#This Row],[Delivery_Date]]-Table1[[#This Row],[Order_Date]],"Not Applicable")</f>
        <v>27</v>
      </c>
      <c r="M1294" s="14">
        <f>Table1[[#This Row],[Unit_Cost]]-Table1[[#This Row],[Negotiated_Cost]]</f>
        <v>283.95000000000073</v>
      </c>
      <c r="N1294" s="18">
        <f>Table1[[#This Row],[Defective_Units]]/Table1[[#This Row],[Quantity]]</f>
        <v>0</v>
      </c>
      <c r="O1294" s="26">
        <f>(Table1[[#This Row],[Unit_Cost]]-Table1[[#This Row],[Negotiated_Cost]])/Table1[[#This Row],[Unit_Cost]]</f>
        <v>2.159463385326758E-2</v>
      </c>
    </row>
    <row r="1295" spans="1:15" x14ac:dyDescent="0.25">
      <c r="A1295" t="s">
        <v>1330</v>
      </c>
      <c r="B1295" t="s">
        <v>32</v>
      </c>
      <c r="C1295" s="14" t="s">
        <v>21</v>
      </c>
      <c r="D1295" s="1">
        <v>44973</v>
      </c>
      <c r="E1295" s="14" t="s">
        <v>2057</v>
      </c>
      <c r="F1295" s="14" t="s">
        <v>22</v>
      </c>
      <c r="G1295">
        <v>232</v>
      </c>
      <c r="H1295">
        <v>113.57</v>
      </c>
      <c r="I1295">
        <v>112.1</v>
      </c>
      <c r="J1295">
        <v>2</v>
      </c>
      <c r="K1295" s="14" t="s">
        <v>15</v>
      </c>
      <c r="L1295" s="14" t="str">
        <f>IF(OR(Table1[[#This Row],[Order_Status]]="Delivered",Table1[[#This Row],[Delivery_Date]]&lt;&gt;"Not Yet Delivered"),Table1[[#This Row],[Delivery_Date]]-Table1[[#This Row],[Order_Date]],"Not Applicable")</f>
        <v>Not Applicable</v>
      </c>
      <c r="M1295" s="14">
        <f>Table1[[#This Row],[Unit_Cost]]-Table1[[#This Row],[Negotiated_Cost]]</f>
        <v>1.4699999999999989</v>
      </c>
      <c r="N1295" s="18">
        <f>Table1[[#This Row],[Defective_Units]]/Table1[[#This Row],[Quantity]]</f>
        <v>8.6206896551724137E-3</v>
      </c>
      <c r="O1295" s="26">
        <f>(Table1[[#This Row],[Unit_Cost]]-Table1[[#This Row],[Negotiated_Cost]])/Table1[[#This Row],[Unit_Cost]]</f>
        <v>1.2943559038478462E-2</v>
      </c>
    </row>
    <row r="1296" spans="1:15" x14ac:dyDescent="0.25">
      <c r="A1296" t="s">
        <v>1331</v>
      </c>
      <c r="B1296" t="s">
        <v>32</v>
      </c>
      <c r="C1296" s="14" t="s">
        <v>36</v>
      </c>
      <c r="D1296" s="1">
        <v>45439</v>
      </c>
      <c r="E1296" s="13">
        <v>45446</v>
      </c>
      <c r="F1296" s="14" t="s">
        <v>37</v>
      </c>
      <c r="G1296">
        <v>90</v>
      </c>
      <c r="H1296">
        <v>535.63</v>
      </c>
      <c r="I1296">
        <v>503.75</v>
      </c>
      <c r="J1296">
        <v>0</v>
      </c>
      <c r="K1296" s="14" t="s">
        <v>15</v>
      </c>
      <c r="L1296" s="14">
        <f>IF(OR(Table1[[#This Row],[Order_Status]]="Delivered",Table1[[#This Row],[Delivery_Date]]&lt;&gt;"Not Yet Delivered"),Table1[[#This Row],[Delivery_Date]]-Table1[[#This Row],[Order_Date]],"Not Applicable")</f>
        <v>7</v>
      </c>
      <c r="M1296" s="14">
        <f>Table1[[#This Row],[Unit_Cost]]-Table1[[#This Row],[Negotiated_Cost]]</f>
        <v>31.879999999999995</v>
      </c>
      <c r="N1296" s="18">
        <f>Table1[[#This Row],[Defective_Units]]/Table1[[#This Row],[Quantity]]</f>
        <v>0</v>
      </c>
      <c r="O1296" s="26">
        <f>(Table1[[#This Row],[Unit_Cost]]-Table1[[#This Row],[Negotiated_Cost]])/Table1[[#This Row],[Unit_Cost]]</f>
        <v>5.9518697608423717E-2</v>
      </c>
    </row>
    <row r="1297" spans="1:15" x14ac:dyDescent="0.25">
      <c r="A1297" t="s">
        <v>1332</v>
      </c>
      <c r="B1297" t="s">
        <v>12</v>
      </c>
      <c r="C1297" s="14" t="s">
        <v>36</v>
      </c>
      <c r="D1297" s="1">
        <v>45264</v>
      </c>
      <c r="E1297" s="13">
        <v>45278</v>
      </c>
      <c r="F1297" s="14" t="s">
        <v>14</v>
      </c>
      <c r="G1297">
        <v>166</v>
      </c>
      <c r="H1297">
        <v>561.91</v>
      </c>
      <c r="I1297">
        <v>556.34</v>
      </c>
      <c r="J1297">
        <v>2</v>
      </c>
      <c r="K1297" s="14" t="s">
        <v>15</v>
      </c>
      <c r="L1297" s="14">
        <f>IF(OR(Table1[[#This Row],[Order_Status]]="Delivered",Table1[[#This Row],[Delivery_Date]]&lt;&gt;"Not Yet Delivered"),Table1[[#This Row],[Delivery_Date]]-Table1[[#This Row],[Order_Date]],"Not Applicable")</f>
        <v>14</v>
      </c>
      <c r="M1297" s="14">
        <f>Table1[[#This Row],[Unit_Cost]]-Table1[[#This Row],[Negotiated_Cost]]</f>
        <v>5.5699999999999363</v>
      </c>
      <c r="N1297" s="18">
        <f>Table1[[#This Row],[Defective_Units]]/Table1[[#This Row],[Quantity]]</f>
        <v>1.2048192771084338E-2</v>
      </c>
      <c r="O1297" s="26">
        <f>(Table1[[#This Row],[Unit_Cost]]-Table1[[#This Row],[Negotiated_Cost]])/Table1[[#This Row],[Unit_Cost]]</f>
        <v>9.9126194586320517E-3</v>
      </c>
    </row>
    <row r="1298" spans="1:15" x14ac:dyDescent="0.25">
      <c r="A1298" t="s">
        <v>1333</v>
      </c>
      <c r="B1298" t="s">
        <v>20</v>
      </c>
      <c r="C1298" s="14" t="s">
        <v>24</v>
      </c>
      <c r="D1298" s="1">
        <v>45115</v>
      </c>
      <c r="E1298" s="13">
        <v>45144</v>
      </c>
      <c r="F1298" s="14" t="s">
        <v>14</v>
      </c>
      <c r="G1298">
        <v>310</v>
      </c>
      <c r="H1298">
        <v>11426.78</v>
      </c>
      <c r="I1298">
        <v>11079.57</v>
      </c>
      <c r="J1298">
        <v>4</v>
      </c>
      <c r="K1298" s="14" t="s">
        <v>25</v>
      </c>
      <c r="L1298" s="14">
        <f>IF(OR(Table1[[#This Row],[Order_Status]]="Delivered",Table1[[#This Row],[Delivery_Date]]&lt;&gt;"Not Yet Delivered"),Table1[[#This Row],[Delivery_Date]]-Table1[[#This Row],[Order_Date]],"Not Applicable")</f>
        <v>29</v>
      </c>
      <c r="M1298" s="14">
        <f>Table1[[#This Row],[Unit_Cost]]-Table1[[#This Row],[Negotiated_Cost]]</f>
        <v>347.21000000000095</v>
      </c>
      <c r="N1298" s="18">
        <f>Table1[[#This Row],[Defective_Units]]/Table1[[#This Row],[Quantity]]</f>
        <v>1.2903225806451613E-2</v>
      </c>
      <c r="O1298" s="26">
        <f>(Table1[[#This Row],[Unit_Cost]]-Table1[[#This Row],[Negotiated_Cost]])/Table1[[#This Row],[Unit_Cost]]</f>
        <v>3.0385637948748549E-2</v>
      </c>
    </row>
    <row r="1299" spans="1:15" x14ac:dyDescent="0.25">
      <c r="A1299" t="s">
        <v>1334</v>
      </c>
      <c r="B1299" t="s">
        <v>40</v>
      </c>
      <c r="C1299" s="14" t="s">
        <v>13</v>
      </c>
      <c r="D1299" s="1">
        <v>45529</v>
      </c>
      <c r="E1299" s="13">
        <v>45543</v>
      </c>
      <c r="F1299" s="14" t="s">
        <v>14</v>
      </c>
      <c r="G1299">
        <v>181</v>
      </c>
      <c r="H1299">
        <v>4621.78</v>
      </c>
      <c r="I1299">
        <v>4575.93</v>
      </c>
      <c r="J1299">
        <v>2</v>
      </c>
      <c r="K1299" s="14" t="s">
        <v>15</v>
      </c>
      <c r="L1299" s="14">
        <f>IF(OR(Table1[[#This Row],[Order_Status]]="Delivered",Table1[[#This Row],[Delivery_Date]]&lt;&gt;"Not Yet Delivered"),Table1[[#This Row],[Delivery_Date]]-Table1[[#This Row],[Order_Date]],"Not Applicable")</f>
        <v>14</v>
      </c>
      <c r="M1299" s="14">
        <f>Table1[[#This Row],[Unit_Cost]]-Table1[[#This Row],[Negotiated_Cost]]</f>
        <v>45.849999999999454</v>
      </c>
      <c r="N1299" s="18">
        <f>Table1[[#This Row],[Defective_Units]]/Table1[[#This Row],[Quantity]]</f>
        <v>1.1049723756906077E-2</v>
      </c>
      <c r="O1299" s="26">
        <f>(Table1[[#This Row],[Unit_Cost]]-Table1[[#This Row],[Negotiated_Cost]])/Table1[[#This Row],[Unit_Cost]]</f>
        <v>9.9204202709777308E-3</v>
      </c>
    </row>
    <row r="1300" spans="1:15" x14ac:dyDescent="0.25">
      <c r="A1300" t="s">
        <v>1335</v>
      </c>
      <c r="B1300" t="s">
        <v>35</v>
      </c>
      <c r="C1300" s="14" t="s">
        <v>28</v>
      </c>
      <c r="D1300" s="1">
        <v>45409</v>
      </c>
      <c r="E1300" s="13">
        <v>45438</v>
      </c>
      <c r="F1300" s="14" t="s">
        <v>14</v>
      </c>
      <c r="G1300">
        <v>266</v>
      </c>
      <c r="H1300">
        <v>46450.37</v>
      </c>
      <c r="I1300">
        <v>46099.91</v>
      </c>
      <c r="J1300">
        <v>2</v>
      </c>
      <c r="K1300" s="14" t="s">
        <v>15</v>
      </c>
      <c r="L1300" s="14">
        <f>IF(OR(Table1[[#This Row],[Order_Status]]="Delivered",Table1[[#This Row],[Delivery_Date]]&lt;&gt;"Not Yet Delivered"),Table1[[#This Row],[Delivery_Date]]-Table1[[#This Row],[Order_Date]],"Not Applicable")</f>
        <v>29</v>
      </c>
      <c r="M1300" s="14">
        <f>Table1[[#This Row],[Unit_Cost]]-Table1[[#This Row],[Negotiated_Cost]]</f>
        <v>350.45999999999913</v>
      </c>
      <c r="N1300" s="18">
        <f>Table1[[#This Row],[Defective_Units]]/Table1[[#This Row],[Quantity]]</f>
        <v>7.5187969924812026E-3</v>
      </c>
      <c r="O1300" s="26">
        <f>(Table1[[#This Row],[Unit_Cost]]-Table1[[#This Row],[Negotiated_Cost]])/Table1[[#This Row],[Unit_Cost]]</f>
        <v>7.5448268765135589E-3</v>
      </c>
    </row>
    <row r="1301" spans="1:15" x14ac:dyDescent="0.25">
      <c r="A1301" t="s">
        <v>1336</v>
      </c>
      <c r="B1301" t="s">
        <v>46</v>
      </c>
      <c r="C1301" s="14" t="s">
        <v>36</v>
      </c>
      <c r="D1301" s="1">
        <v>45628</v>
      </c>
      <c r="E1301" s="14" t="s">
        <v>2057</v>
      </c>
      <c r="F1301" s="14" t="s">
        <v>22</v>
      </c>
      <c r="G1301">
        <v>50</v>
      </c>
      <c r="H1301">
        <v>567.51</v>
      </c>
      <c r="I1301">
        <v>552.32000000000005</v>
      </c>
      <c r="J1301">
        <v>2</v>
      </c>
      <c r="K1301" s="14" t="s">
        <v>15</v>
      </c>
      <c r="L1301" s="14" t="str">
        <f>IF(OR(Table1[[#This Row],[Order_Status]]="Delivered",Table1[[#This Row],[Delivery_Date]]&lt;&gt;"Not Yet Delivered"),Table1[[#This Row],[Delivery_Date]]-Table1[[#This Row],[Order_Date]],"Not Applicable")</f>
        <v>Not Applicable</v>
      </c>
      <c r="M1301" s="14">
        <f>Table1[[#This Row],[Unit_Cost]]-Table1[[#This Row],[Negotiated_Cost]]</f>
        <v>15.189999999999941</v>
      </c>
      <c r="N1301" s="18">
        <f>Table1[[#This Row],[Defective_Units]]/Table1[[#This Row],[Quantity]]</f>
        <v>0.04</v>
      </c>
      <c r="O1301" s="26">
        <f>(Table1[[#This Row],[Unit_Cost]]-Table1[[#This Row],[Negotiated_Cost]])/Table1[[#This Row],[Unit_Cost]]</f>
        <v>2.6766048175362444E-2</v>
      </c>
    </row>
    <row r="1302" spans="1:15" x14ac:dyDescent="0.25">
      <c r="A1302" t="s">
        <v>1337</v>
      </c>
      <c r="B1302" t="s">
        <v>40</v>
      </c>
      <c r="C1302" s="14" t="s">
        <v>13</v>
      </c>
      <c r="D1302" s="1">
        <v>45309</v>
      </c>
      <c r="E1302" s="14" t="s">
        <v>2057</v>
      </c>
      <c r="F1302" s="14" t="s">
        <v>33</v>
      </c>
      <c r="G1302">
        <v>162</v>
      </c>
      <c r="H1302">
        <v>4574.2299999999996</v>
      </c>
      <c r="I1302">
        <v>4400.2299999999996</v>
      </c>
      <c r="J1302">
        <v>2</v>
      </c>
      <c r="K1302" s="14" t="s">
        <v>15</v>
      </c>
      <c r="L1302" s="14" t="str">
        <f>IF(OR(Table1[[#This Row],[Order_Status]]="Delivered",Table1[[#This Row],[Delivery_Date]]&lt;&gt;"Not Yet Delivered"),Table1[[#This Row],[Delivery_Date]]-Table1[[#This Row],[Order_Date]],"Not Applicable")</f>
        <v>Not Applicable</v>
      </c>
      <c r="M1302" s="14">
        <f>Table1[[#This Row],[Unit_Cost]]-Table1[[#This Row],[Negotiated_Cost]]</f>
        <v>174</v>
      </c>
      <c r="N1302" s="18">
        <f>Table1[[#This Row],[Defective_Units]]/Table1[[#This Row],[Quantity]]</f>
        <v>1.2345679012345678E-2</v>
      </c>
      <c r="O1302" s="26">
        <f>(Table1[[#This Row],[Unit_Cost]]-Table1[[#This Row],[Negotiated_Cost]])/Table1[[#This Row],[Unit_Cost]]</f>
        <v>3.8039189109423888E-2</v>
      </c>
    </row>
    <row r="1303" spans="1:15" x14ac:dyDescent="0.25">
      <c r="A1303" t="s">
        <v>1338</v>
      </c>
      <c r="B1303" t="s">
        <v>35</v>
      </c>
      <c r="C1303" s="14" t="s">
        <v>24</v>
      </c>
      <c r="D1303" s="1">
        <v>45201</v>
      </c>
      <c r="E1303" s="14" t="s">
        <v>2057</v>
      </c>
      <c r="F1303" s="14" t="s">
        <v>33</v>
      </c>
      <c r="G1303">
        <v>496</v>
      </c>
      <c r="H1303">
        <v>12257.22</v>
      </c>
      <c r="I1303">
        <v>11706.3</v>
      </c>
      <c r="J1303">
        <v>2</v>
      </c>
      <c r="K1303" s="14" t="s">
        <v>15</v>
      </c>
      <c r="L1303" s="14" t="str">
        <f>IF(OR(Table1[[#This Row],[Order_Status]]="Delivered",Table1[[#This Row],[Delivery_Date]]&lt;&gt;"Not Yet Delivered"),Table1[[#This Row],[Delivery_Date]]-Table1[[#This Row],[Order_Date]],"Not Applicable")</f>
        <v>Not Applicable</v>
      </c>
      <c r="M1303" s="14">
        <f>Table1[[#This Row],[Unit_Cost]]-Table1[[#This Row],[Negotiated_Cost]]</f>
        <v>550.92000000000007</v>
      </c>
      <c r="N1303" s="18">
        <f>Table1[[#This Row],[Defective_Units]]/Table1[[#This Row],[Quantity]]</f>
        <v>4.0322580645161289E-3</v>
      </c>
      <c r="O1303" s="26">
        <f>(Table1[[#This Row],[Unit_Cost]]-Table1[[#This Row],[Negotiated_Cost]])/Table1[[#This Row],[Unit_Cost]]</f>
        <v>4.4946570266340989E-2</v>
      </c>
    </row>
    <row r="1304" spans="1:15" x14ac:dyDescent="0.25">
      <c r="A1304" t="s">
        <v>1339</v>
      </c>
      <c r="B1304" t="s">
        <v>32</v>
      </c>
      <c r="C1304" s="14" t="s">
        <v>36</v>
      </c>
      <c r="D1304" s="1">
        <v>45358</v>
      </c>
      <c r="E1304" s="13">
        <v>45375</v>
      </c>
      <c r="F1304" s="14" t="s">
        <v>14</v>
      </c>
      <c r="G1304">
        <v>34</v>
      </c>
      <c r="H1304">
        <v>508</v>
      </c>
      <c r="I1304">
        <v>500.66</v>
      </c>
      <c r="J1304">
        <v>0</v>
      </c>
      <c r="K1304" s="14" t="s">
        <v>15</v>
      </c>
      <c r="L1304" s="14">
        <f>IF(OR(Table1[[#This Row],[Order_Status]]="Delivered",Table1[[#This Row],[Delivery_Date]]&lt;&gt;"Not Yet Delivered"),Table1[[#This Row],[Delivery_Date]]-Table1[[#This Row],[Order_Date]],"Not Applicable")</f>
        <v>17</v>
      </c>
      <c r="M1304" s="14">
        <f>Table1[[#This Row],[Unit_Cost]]-Table1[[#This Row],[Negotiated_Cost]]</f>
        <v>7.339999999999975</v>
      </c>
      <c r="N1304" s="18">
        <f>Table1[[#This Row],[Defective_Units]]/Table1[[#This Row],[Quantity]]</f>
        <v>0</v>
      </c>
      <c r="O1304" s="26">
        <f>(Table1[[#This Row],[Unit_Cost]]-Table1[[#This Row],[Negotiated_Cost]])/Table1[[#This Row],[Unit_Cost]]</f>
        <v>1.4448818897637746E-2</v>
      </c>
    </row>
    <row r="1305" spans="1:15" x14ac:dyDescent="0.25">
      <c r="A1305" t="s">
        <v>1340</v>
      </c>
      <c r="B1305" t="s">
        <v>17</v>
      </c>
      <c r="C1305" s="14" t="s">
        <v>13</v>
      </c>
      <c r="D1305" s="1">
        <v>45133</v>
      </c>
      <c r="E1305" s="13">
        <v>45148</v>
      </c>
      <c r="F1305" s="14" t="s">
        <v>14</v>
      </c>
      <c r="G1305">
        <v>416</v>
      </c>
      <c r="H1305">
        <v>4098.0600000000004</v>
      </c>
      <c r="I1305">
        <v>4039.38</v>
      </c>
      <c r="J1305">
        <v>9</v>
      </c>
      <c r="K1305" s="14" t="s">
        <v>15</v>
      </c>
      <c r="L1305" s="14">
        <f>IF(OR(Table1[[#This Row],[Order_Status]]="Delivered",Table1[[#This Row],[Delivery_Date]]&lt;&gt;"Not Yet Delivered"),Table1[[#This Row],[Delivery_Date]]-Table1[[#This Row],[Order_Date]],"Not Applicable")</f>
        <v>15</v>
      </c>
      <c r="M1305" s="14">
        <f>Table1[[#This Row],[Unit_Cost]]-Table1[[#This Row],[Negotiated_Cost]]</f>
        <v>58.680000000000291</v>
      </c>
      <c r="N1305" s="18">
        <f>Table1[[#This Row],[Defective_Units]]/Table1[[#This Row],[Quantity]]</f>
        <v>2.1634615384615384E-2</v>
      </c>
      <c r="O1305" s="26">
        <f>(Table1[[#This Row],[Unit_Cost]]-Table1[[#This Row],[Negotiated_Cost]])/Table1[[#This Row],[Unit_Cost]]</f>
        <v>1.4318970439671523E-2</v>
      </c>
    </row>
    <row r="1306" spans="1:15" x14ac:dyDescent="0.25">
      <c r="A1306" t="s">
        <v>1341</v>
      </c>
      <c r="B1306" t="s">
        <v>27</v>
      </c>
      <c r="C1306" s="14" t="s">
        <v>44</v>
      </c>
      <c r="D1306" s="1">
        <v>45349</v>
      </c>
      <c r="E1306" s="13">
        <v>45372</v>
      </c>
      <c r="F1306" s="14" t="s">
        <v>14</v>
      </c>
      <c r="G1306">
        <v>408</v>
      </c>
      <c r="H1306">
        <v>8505.94</v>
      </c>
      <c r="I1306">
        <v>8220.32</v>
      </c>
      <c r="J1306">
        <v>7</v>
      </c>
      <c r="K1306" s="14" t="s">
        <v>15</v>
      </c>
      <c r="L1306" s="14">
        <f>IF(OR(Table1[[#This Row],[Order_Status]]="Delivered",Table1[[#This Row],[Delivery_Date]]&lt;&gt;"Not Yet Delivered"),Table1[[#This Row],[Delivery_Date]]-Table1[[#This Row],[Order_Date]],"Not Applicable")</f>
        <v>23</v>
      </c>
      <c r="M1306" s="14">
        <f>Table1[[#This Row],[Unit_Cost]]-Table1[[#This Row],[Negotiated_Cost]]</f>
        <v>285.6200000000008</v>
      </c>
      <c r="N1306" s="18">
        <f>Table1[[#This Row],[Defective_Units]]/Table1[[#This Row],[Quantity]]</f>
        <v>1.7156862745098041E-2</v>
      </c>
      <c r="O1306" s="26">
        <f>(Table1[[#This Row],[Unit_Cost]]-Table1[[#This Row],[Negotiated_Cost]])/Table1[[#This Row],[Unit_Cost]]</f>
        <v>3.3578887224692482E-2</v>
      </c>
    </row>
    <row r="1307" spans="1:15" x14ac:dyDescent="0.25">
      <c r="A1307" t="s">
        <v>1342</v>
      </c>
      <c r="B1307" t="s">
        <v>40</v>
      </c>
      <c r="C1307" s="14" t="s">
        <v>28</v>
      </c>
      <c r="D1307" s="1">
        <v>45643</v>
      </c>
      <c r="E1307" s="13">
        <v>45651</v>
      </c>
      <c r="F1307" s="14" t="s">
        <v>14</v>
      </c>
      <c r="G1307">
        <v>324</v>
      </c>
      <c r="H1307">
        <v>50636.89</v>
      </c>
      <c r="I1307">
        <v>50133.39</v>
      </c>
      <c r="J1307">
        <v>1</v>
      </c>
      <c r="K1307" s="14" t="s">
        <v>15</v>
      </c>
      <c r="L1307" s="14">
        <f>IF(OR(Table1[[#This Row],[Order_Status]]="Delivered",Table1[[#This Row],[Delivery_Date]]&lt;&gt;"Not Yet Delivered"),Table1[[#This Row],[Delivery_Date]]-Table1[[#This Row],[Order_Date]],"Not Applicable")</f>
        <v>8</v>
      </c>
      <c r="M1307" s="14">
        <f>Table1[[#This Row],[Unit_Cost]]-Table1[[#This Row],[Negotiated_Cost]]</f>
        <v>503.5</v>
      </c>
      <c r="N1307" s="18">
        <f>Table1[[#This Row],[Defective_Units]]/Table1[[#This Row],[Quantity]]</f>
        <v>3.0864197530864196E-3</v>
      </c>
      <c r="O1307" s="26">
        <f>(Table1[[#This Row],[Unit_Cost]]-Table1[[#This Row],[Negotiated_Cost]])/Table1[[#This Row],[Unit_Cost]]</f>
        <v>9.943343676912228E-3</v>
      </c>
    </row>
    <row r="1308" spans="1:15" x14ac:dyDescent="0.25">
      <c r="A1308" t="s">
        <v>1343</v>
      </c>
      <c r="B1308" t="s">
        <v>35</v>
      </c>
      <c r="C1308" s="14" t="s">
        <v>28</v>
      </c>
      <c r="D1308" s="1">
        <v>45424</v>
      </c>
      <c r="E1308" s="14" t="s">
        <v>2057</v>
      </c>
      <c r="F1308" s="14" t="s">
        <v>22</v>
      </c>
      <c r="G1308">
        <v>247</v>
      </c>
      <c r="H1308">
        <v>45253.1</v>
      </c>
      <c r="I1308">
        <v>42676.75</v>
      </c>
      <c r="J1308">
        <v>2</v>
      </c>
      <c r="K1308" s="14" t="s">
        <v>25</v>
      </c>
      <c r="L1308" s="14" t="str">
        <f>IF(OR(Table1[[#This Row],[Order_Status]]="Delivered",Table1[[#This Row],[Delivery_Date]]&lt;&gt;"Not Yet Delivered"),Table1[[#This Row],[Delivery_Date]]-Table1[[#This Row],[Order_Date]],"Not Applicable")</f>
        <v>Not Applicable</v>
      </c>
      <c r="M1308" s="14">
        <f>Table1[[#This Row],[Unit_Cost]]-Table1[[#This Row],[Negotiated_Cost]]</f>
        <v>2576.3499999999985</v>
      </c>
      <c r="N1308" s="18">
        <f>Table1[[#This Row],[Defective_Units]]/Table1[[#This Row],[Quantity]]</f>
        <v>8.0971659919028341E-3</v>
      </c>
      <c r="O1308" s="26">
        <f>(Table1[[#This Row],[Unit_Cost]]-Table1[[#This Row],[Negotiated_Cost]])/Table1[[#This Row],[Unit_Cost]]</f>
        <v>5.6932011287624464E-2</v>
      </c>
    </row>
    <row r="1309" spans="1:15" x14ac:dyDescent="0.25">
      <c r="A1309" t="s">
        <v>1344</v>
      </c>
      <c r="B1309" t="s">
        <v>40</v>
      </c>
      <c r="C1309" s="14" t="s">
        <v>36</v>
      </c>
      <c r="D1309" s="1">
        <v>45342</v>
      </c>
      <c r="E1309" s="13">
        <v>45353</v>
      </c>
      <c r="F1309" s="14" t="s">
        <v>14</v>
      </c>
      <c r="G1309">
        <v>12</v>
      </c>
      <c r="H1309">
        <v>594.63</v>
      </c>
      <c r="I1309">
        <v>575.54</v>
      </c>
      <c r="J1309">
        <v>0</v>
      </c>
      <c r="K1309" s="14" t="s">
        <v>15</v>
      </c>
      <c r="L1309" s="14">
        <f>IF(OR(Table1[[#This Row],[Order_Status]]="Delivered",Table1[[#This Row],[Delivery_Date]]&lt;&gt;"Not Yet Delivered"),Table1[[#This Row],[Delivery_Date]]-Table1[[#This Row],[Order_Date]],"Not Applicable")</f>
        <v>11</v>
      </c>
      <c r="M1309" s="14">
        <f>Table1[[#This Row],[Unit_Cost]]-Table1[[#This Row],[Negotiated_Cost]]</f>
        <v>19.090000000000032</v>
      </c>
      <c r="N1309" s="18">
        <f>Table1[[#This Row],[Defective_Units]]/Table1[[#This Row],[Quantity]]</f>
        <v>0</v>
      </c>
      <c r="O1309" s="26">
        <f>(Table1[[#This Row],[Unit_Cost]]-Table1[[#This Row],[Negotiated_Cost]])/Table1[[#This Row],[Unit_Cost]]</f>
        <v>3.2103997443788626E-2</v>
      </c>
    </row>
    <row r="1310" spans="1:15" x14ac:dyDescent="0.25">
      <c r="A1310" t="s">
        <v>1345</v>
      </c>
      <c r="B1310" t="s">
        <v>17</v>
      </c>
      <c r="C1310" s="14" t="s">
        <v>36</v>
      </c>
      <c r="D1310" s="1">
        <v>45007</v>
      </c>
      <c r="E1310" s="13">
        <v>45037</v>
      </c>
      <c r="F1310" s="14" t="s">
        <v>14</v>
      </c>
      <c r="G1310">
        <v>108</v>
      </c>
      <c r="H1310">
        <v>523.38</v>
      </c>
      <c r="I1310">
        <v>510.16</v>
      </c>
      <c r="J1310">
        <v>0</v>
      </c>
      <c r="K1310" s="14" t="s">
        <v>15</v>
      </c>
      <c r="L1310" s="14">
        <f>IF(OR(Table1[[#This Row],[Order_Status]]="Delivered",Table1[[#This Row],[Delivery_Date]]&lt;&gt;"Not Yet Delivered"),Table1[[#This Row],[Delivery_Date]]-Table1[[#This Row],[Order_Date]],"Not Applicable")</f>
        <v>30</v>
      </c>
      <c r="M1310" s="14">
        <f>Table1[[#This Row],[Unit_Cost]]-Table1[[#This Row],[Negotiated_Cost]]</f>
        <v>13.21999999999997</v>
      </c>
      <c r="N1310" s="18">
        <f>Table1[[#This Row],[Defective_Units]]/Table1[[#This Row],[Quantity]]</f>
        <v>0</v>
      </c>
      <c r="O1310" s="26">
        <f>(Table1[[#This Row],[Unit_Cost]]-Table1[[#This Row],[Negotiated_Cost]])/Table1[[#This Row],[Unit_Cost]]</f>
        <v>2.5258894111353073E-2</v>
      </c>
    </row>
    <row r="1311" spans="1:15" x14ac:dyDescent="0.25">
      <c r="A1311" t="s">
        <v>1346</v>
      </c>
      <c r="B1311" t="s">
        <v>17</v>
      </c>
      <c r="C1311" s="14" t="s">
        <v>42</v>
      </c>
      <c r="D1311" s="1">
        <v>45455</v>
      </c>
      <c r="E1311" s="13">
        <v>45457</v>
      </c>
      <c r="F1311" s="14" t="s">
        <v>14</v>
      </c>
      <c r="G1311">
        <v>82</v>
      </c>
      <c r="H1311">
        <v>10695.72</v>
      </c>
      <c r="I1311">
        <v>10584.31</v>
      </c>
      <c r="J1311">
        <v>2</v>
      </c>
      <c r="K1311" s="14" t="s">
        <v>15</v>
      </c>
      <c r="L1311" s="14">
        <f>IF(OR(Table1[[#This Row],[Order_Status]]="Delivered",Table1[[#This Row],[Delivery_Date]]&lt;&gt;"Not Yet Delivered"),Table1[[#This Row],[Delivery_Date]]-Table1[[#This Row],[Order_Date]],"Not Applicable")</f>
        <v>2</v>
      </c>
      <c r="M1311" s="14">
        <f>Table1[[#This Row],[Unit_Cost]]-Table1[[#This Row],[Negotiated_Cost]]</f>
        <v>111.40999999999985</v>
      </c>
      <c r="N1311" s="18">
        <f>Table1[[#This Row],[Defective_Units]]/Table1[[#This Row],[Quantity]]</f>
        <v>2.4390243902439025E-2</v>
      </c>
      <c r="O1311" s="26">
        <f>(Table1[[#This Row],[Unit_Cost]]-Table1[[#This Row],[Negotiated_Cost]])/Table1[[#This Row],[Unit_Cost]]</f>
        <v>1.0416316059133922E-2</v>
      </c>
    </row>
    <row r="1312" spans="1:15" x14ac:dyDescent="0.25">
      <c r="A1312" t="s">
        <v>1347</v>
      </c>
      <c r="B1312" t="s">
        <v>27</v>
      </c>
      <c r="C1312" s="14" t="s">
        <v>28</v>
      </c>
      <c r="D1312" s="1">
        <v>45574</v>
      </c>
      <c r="E1312" s="14" t="s">
        <v>2057</v>
      </c>
      <c r="F1312" s="14" t="s">
        <v>33</v>
      </c>
      <c r="G1312">
        <v>422</v>
      </c>
      <c r="H1312">
        <v>47069.56</v>
      </c>
      <c r="I1312">
        <v>46671.87</v>
      </c>
      <c r="J1312">
        <v>2</v>
      </c>
      <c r="K1312" s="14" t="s">
        <v>15</v>
      </c>
      <c r="L1312" s="14" t="str">
        <f>IF(OR(Table1[[#This Row],[Order_Status]]="Delivered",Table1[[#This Row],[Delivery_Date]]&lt;&gt;"Not Yet Delivered"),Table1[[#This Row],[Delivery_Date]]-Table1[[#This Row],[Order_Date]],"Not Applicable")</f>
        <v>Not Applicable</v>
      </c>
      <c r="M1312" s="14">
        <f>Table1[[#This Row],[Unit_Cost]]-Table1[[#This Row],[Negotiated_Cost]]</f>
        <v>397.68999999999505</v>
      </c>
      <c r="N1312" s="18">
        <f>Table1[[#This Row],[Defective_Units]]/Table1[[#This Row],[Quantity]]</f>
        <v>4.7393364928909956E-3</v>
      </c>
      <c r="O1312" s="26">
        <f>(Table1[[#This Row],[Unit_Cost]]-Table1[[#This Row],[Negotiated_Cost]])/Table1[[#This Row],[Unit_Cost]]</f>
        <v>8.4489848641031498E-3</v>
      </c>
    </row>
    <row r="1313" spans="1:15" x14ac:dyDescent="0.25">
      <c r="A1313" t="s">
        <v>1348</v>
      </c>
      <c r="B1313" t="s">
        <v>32</v>
      </c>
      <c r="C1313" s="14" t="s">
        <v>21</v>
      </c>
      <c r="D1313" s="1">
        <v>45454</v>
      </c>
      <c r="E1313" s="14" t="s">
        <v>2057</v>
      </c>
      <c r="F1313" s="14" t="s">
        <v>22</v>
      </c>
      <c r="G1313">
        <v>16</v>
      </c>
      <c r="H1313">
        <v>114.38</v>
      </c>
      <c r="I1313">
        <v>110.9</v>
      </c>
      <c r="J1313">
        <v>2</v>
      </c>
      <c r="K1313" s="14" t="s">
        <v>15</v>
      </c>
      <c r="L1313" s="14" t="str">
        <f>IF(OR(Table1[[#This Row],[Order_Status]]="Delivered",Table1[[#This Row],[Delivery_Date]]&lt;&gt;"Not Yet Delivered"),Table1[[#This Row],[Delivery_Date]]-Table1[[#This Row],[Order_Date]],"Not Applicable")</f>
        <v>Not Applicable</v>
      </c>
      <c r="M1313" s="14">
        <f>Table1[[#This Row],[Unit_Cost]]-Table1[[#This Row],[Negotiated_Cost]]</f>
        <v>3.4799999999999898</v>
      </c>
      <c r="N1313" s="18">
        <f>Table1[[#This Row],[Defective_Units]]/Table1[[#This Row],[Quantity]]</f>
        <v>0.125</v>
      </c>
      <c r="O1313" s="26">
        <f>(Table1[[#This Row],[Unit_Cost]]-Table1[[#This Row],[Negotiated_Cost]])/Table1[[#This Row],[Unit_Cost]]</f>
        <v>3.0424899457947106E-2</v>
      </c>
    </row>
    <row r="1314" spans="1:15" x14ac:dyDescent="0.25">
      <c r="A1314" t="s">
        <v>1349</v>
      </c>
      <c r="B1314" t="s">
        <v>46</v>
      </c>
      <c r="C1314" s="14" t="s">
        <v>36</v>
      </c>
      <c r="D1314" s="1">
        <v>45236</v>
      </c>
      <c r="E1314" s="13">
        <v>45252</v>
      </c>
      <c r="F1314" s="14" t="s">
        <v>14</v>
      </c>
      <c r="G1314">
        <v>169</v>
      </c>
      <c r="H1314">
        <v>537.49</v>
      </c>
      <c r="I1314">
        <v>505.38</v>
      </c>
      <c r="J1314">
        <v>1</v>
      </c>
      <c r="K1314" s="14" t="s">
        <v>15</v>
      </c>
      <c r="L1314" s="14">
        <f>IF(OR(Table1[[#This Row],[Order_Status]]="Delivered",Table1[[#This Row],[Delivery_Date]]&lt;&gt;"Not Yet Delivered"),Table1[[#This Row],[Delivery_Date]]-Table1[[#This Row],[Order_Date]],"Not Applicable")</f>
        <v>16</v>
      </c>
      <c r="M1314" s="14">
        <f>Table1[[#This Row],[Unit_Cost]]-Table1[[#This Row],[Negotiated_Cost]]</f>
        <v>32.110000000000014</v>
      </c>
      <c r="N1314" s="18">
        <f>Table1[[#This Row],[Defective_Units]]/Table1[[#This Row],[Quantity]]</f>
        <v>5.9171597633136093E-3</v>
      </c>
      <c r="O1314" s="26">
        <f>(Table1[[#This Row],[Unit_Cost]]-Table1[[#This Row],[Negotiated_Cost]])/Table1[[#This Row],[Unit_Cost]]</f>
        <v>5.9740646337606305E-2</v>
      </c>
    </row>
    <row r="1315" spans="1:15" x14ac:dyDescent="0.25">
      <c r="A1315" t="s">
        <v>1350</v>
      </c>
      <c r="B1315" t="s">
        <v>40</v>
      </c>
      <c r="C1315" s="14" t="s">
        <v>13</v>
      </c>
      <c r="D1315" s="1">
        <v>45382</v>
      </c>
      <c r="E1315" s="13">
        <v>45387</v>
      </c>
      <c r="F1315" s="14" t="s">
        <v>37</v>
      </c>
      <c r="G1315">
        <v>482</v>
      </c>
      <c r="H1315">
        <v>4284.08</v>
      </c>
      <c r="I1315">
        <v>4119.79</v>
      </c>
      <c r="J1315">
        <v>2</v>
      </c>
      <c r="K1315" s="14" t="s">
        <v>15</v>
      </c>
      <c r="L1315" s="14">
        <f>IF(OR(Table1[[#This Row],[Order_Status]]="Delivered",Table1[[#This Row],[Delivery_Date]]&lt;&gt;"Not Yet Delivered"),Table1[[#This Row],[Delivery_Date]]-Table1[[#This Row],[Order_Date]],"Not Applicable")</f>
        <v>5</v>
      </c>
      <c r="M1315" s="14">
        <f>Table1[[#This Row],[Unit_Cost]]-Table1[[#This Row],[Negotiated_Cost]]</f>
        <v>164.28999999999996</v>
      </c>
      <c r="N1315" s="18">
        <f>Table1[[#This Row],[Defective_Units]]/Table1[[#This Row],[Quantity]]</f>
        <v>4.1493775933609959E-3</v>
      </c>
      <c r="O1315" s="26">
        <f>(Table1[[#This Row],[Unit_Cost]]-Table1[[#This Row],[Negotiated_Cost]])/Table1[[#This Row],[Unit_Cost]]</f>
        <v>3.834895706896229E-2</v>
      </c>
    </row>
    <row r="1316" spans="1:15" x14ac:dyDescent="0.25">
      <c r="A1316" t="s">
        <v>1351</v>
      </c>
      <c r="B1316" t="s">
        <v>32</v>
      </c>
      <c r="C1316" s="14" t="s">
        <v>50</v>
      </c>
      <c r="D1316" s="1">
        <v>45375</v>
      </c>
      <c r="E1316" s="13">
        <v>45392</v>
      </c>
      <c r="F1316" s="14" t="s">
        <v>14</v>
      </c>
      <c r="G1316">
        <v>121</v>
      </c>
      <c r="H1316">
        <v>45767.91</v>
      </c>
      <c r="I1316">
        <v>43623.17</v>
      </c>
      <c r="J1316">
        <v>2</v>
      </c>
      <c r="K1316" s="14" t="s">
        <v>15</v>
      </c>
      <c r="L1316" s="14">
        <f>IF(OR(Table1[[#This Row],[Order_Status]]="Delivered",Table1[[#This Row],[Delivery_Date]]&lt;&gt;"Not Yet Delivered"),Table1[[#This Row],[Delivery_Date]]-Table1[[#This Row],[Order_Date]],"Not Applicable")</f>
        <v>17</v>
      </c>
      <c r="M1316" s="14">
        <f>Table1[[#This Row],[Unit_Cost]]-Table1[[#This Row],[Negotiated_Cost]]</f>
        <v>2144.7400000000052</v>
      </c>
      <c r="N1316" s="18">
        <f>Table1[[#This Row],[Defective_Units]]/Table1[[#This Row],[Quantity]]</f>
        <v>1.6528925619834711E-2</v>
      </c>
      <c r="O1316" s="26">
        <f>(Table1[[#This Row],[Unit_Cost]]-Table1[[#This Row],[Negotiated_Cost]])/Table1[[#This Row],[Unit_Cost]]</f>
        <v>4.6861217827075891E-2</v>
      </c>
    </row>
    <row r="1317" spans="1:15" x14ac:dyDescent="0.25">
      <c r="A1317" t="s">
        <v>1352</v>
      </c>
      <c r="B1317" t="s">
        <v>32</v>
      </c>
      <c r="C1317" s="14" t="s">
        <v>50</v>
      </c>
      <c r="D1317" s="1">
        <v>44972</v>
      </c>
      <c r="E1317" s="13">
        <v>44985</v>
      </c>
      <c r="F1317" s="14" t="s">
        <v>14</v>
      </c>
      <c r="G1317">
        <v>167</v>
      </c>
      <c r="H1317">
        <v>47650.37</v>
      </c>
      <c r="I1317">
        <v>45442.64</v>
      </c>
      <c r="J1317">
        <v>1</v>
      </c>
      <c r="K1317" s="14" t="s">
        <v>15</v>
      </c>
      <c r="L1317" s="14">
        <f>IF(OR(Table1[[#This Row],[Order_Status]]="Delivered",Table1[[#This Row],[Delivery_Date]]&lt;&gt;"Not Yet Delivered"),Table1[[#This Row],[Delivery_Date]]-Table1[[#This Row],[Order_Date]],"Not Applicable")</f>
        <v>13</v>
      </c>
      <c r="M1317" s="14">
        <f>Table1[[#This Row],[Unit_Cost]]-Table1[[#This Row],[Negotiated_Cost]]</f>
        <v>2207.7300000000032</v>
      </c>
      <c r="N1317" s="18">
        <f>Table1[[#This Row],[Defective_Units]]/Table1[[#This Row],[Quantity]]</f>
        <v>5.9880239520958087E-3</v>
      </c>
      <c r="O1317" s="26">
        <f>(Table1[[#This Row],[Unit_Cost]]-Table1[[#This Row],[Negotiated_Cost]])/Table1[[#This Row],[Unit_Cost]]</f>
        <v>4.6331854296199654E-2</v>
      </c>
    </row>
    <row r="1318" spans="1:15" x14ac:dyDescent="0.25">
      <c r="A1318" t="s">
        <v>1353</v>
      </c>
      <c r="B1318" t="s">
        <v>46</v>
      </c>
      <c r="C1318" s="14" t="s">
        <v>44</v>
      </c>
      <c r="D1318" s="1">
        <v>44927</v>
      </c>
      <c r="E1318" s="13">
        <v>44930</v>
      </c>
      <c r="F1318" s="14" t="s">
        <v>14</v>
      </c>
      <c r="G1318">
        <v>220</v>
      </c>
      <c r="H1318">
        <v>8226.49</v>
      </c>
      <c r="I1318">
        <v>8028.14</v>
      </c>
      <c r="J1318">
        <v>1</v>
      </c>
      <c r="K1318" s="14" t="s">
        <v>15</v>
      </c>
      <c r="L1318" s="14">
        <f>IF(OR(Table1[[#This Row],[Order_Status]]="Delivered",Table1[[#This Row],[Delivery_Date]]&lt;&gt;"Not Yet Delivered"),Table1[[#This Row],[Delivery_Date]]-Table1[[#This Row],[Order_Date]],"Not Applicable")</f>
        <v>3</v>
      </c>
      <c r="M1318" s="14">
        <f>Table1[[#This Row],[Unit_Cost]]-Table1[[#This Row],[Negotiated_Cost]]</f>
        <v>198.34999999999945</v>
      </c>
      <c r="N1318" s="18">
        <f>Table1[[#This Row],[Defective_Units]]/Table1[[#This Row],[Quantity]]</f>
        <v>4.5454545454545452E-3</v>
      </c>
      <c r="O1318" s="26">
        <f>(Table1[[#This Row],[Unit_Cost]]-Table1[[#This Row],[Negotiated_Cost]])/Table1[[#This Row],[Unit_Cost]]</f>
        <v>2.4111133666970902E-2</v>
      </c>
    </row>
    <row r="1319" spans="1:15" x14ac:dyDescent="0.25">
      <c r="A1319" t="s">
        <v>1354</v>
      </c>
      <c r="B1319" t="s">
        <v>40</v>
      </c>
      <c r="C1319" s="14" t="s">
        <v>55</v>
      </c>
      <c r="D1319" s="1">
        <v>45141</v>
      </c>
      <c r="E1319" s="13">
        <v>45171</v>
      </c>
      <c r="F1319" s="14" t="s">
        <v>14</v>
      </c>
      <c r="G1319">
        <v>403</v>
      </c>
      <c r="H1319">
        <v>16097.9</v>
      </c>
      <c r="I1319">
        <v>15392.05</v>
      </c>
      <c r="J1319">
        <v>1</v>
      </c>
      <c r="K1319" s="14" t="s">
        <v>15</v>
      </c>
      <c r="L1319" s="14">
        <f>IF(OR(Table1[[#This Row],[Order_Status]]="Delivered",Table1[[#This Row],[Delivery_Date]]&lt;&gt;"Not Yet Delivered"),Table1[[#This Row],[Delivery_Date]]-Table1[[#This Row],[Order_Date]],"Not Applicable")</f>
        <v>30</v>
      </c>
      <c r="M1319" s="14">
        <f>Table1[[#This Row],[Unit_Cost]]-Table1[[#This Row],[Negotiated_Cost]]</f>
        <v>705.85000000000036</v>
      </c>
      <c r="N1319" s="18">
        <f>Table1[[#This Row],[Defective_Units]]/Table1[[#This Row],[Quantity]]</f>
        <v>2.4813895781637717E-3</v>
      </c>
      <c r="O1319" s="26">
        <f>(Table1[[#This Row],[Unit_Cost]]-Table1[[#This Row],[Negotiated_Cost]])/Table1[[#This Row],[Unit_Cost]]</f>
        <v>4.3847334124326801E-2</v>
      </c>
    </row>
    <row r="1320" spans="1:15" x14ac:dyDescent="0.25">
      <c r="A1320" t="s">
        <v>1355</v>
      </c>
      <c r="B1320" t="s">
        <v>17</v>
      </c>
      <c r="C1320" s="14" t="s">
        <v>55</v>
      </c>
      <c r="D1320" s="1">
        <v>45069</v>
      </c>
      <c r="E1320" s="13">
        <v>45079</v>
      </c>
      <c r="F1320" s="14" t="s">
        <v>14</v>
      </c>
      <c r="G1320">
        <v>41</v>
      </c>
      <c r="H1320">
        <v>13841.83</v>
      </c>
      <c r="I1320">
        <v>13417.2</v>
      </c>
      <c r="J1320">
        <v>0</v>
      </c>
      <c r="K1320" s="14" t="s">
        <v>15</v>
      </c>
      <c r="L1320" s="14">
        <f>IF(OR(Table1[[#This Row],[Order_Status]]="Delivered",Table1[[#This Row],[Delivery_Date]]&lt;&gt;"Not Yet Delivered"),Table1[[#This Row],[Delivery_Date]]-Table1[[#This Row],[Order_Date]],"Not Applicable")</f>
        <v>10</v>
      </c>
      <c r="M1320" s="14">
        <f>Table1[[#This Row],[Unit_Cost]]-Table1[[#This Row],[Negotiated_Cost]]</f>
        <v>424.6299999999992</v>
      </c>
      <c r="N1320" s="18">
        <f>Table1[[#This Row],[Defective_Units]]/Table1[[#This Row],[Quantity]]</f>
        <v>0</v>
      </c>
      <c r="O1320" s="26">
        <f>(Table1[[#This Row],[Unit_Cost]]-Table1[[#This Row],[Negotiated_Cost]])/Table1[[#This Row],[Unit_Cost]]</f>
        <v>3.0677302061938284E-2</v>
      </c>
    </row>
    <row r="1321" spans="1:15" x14ac:dyDescent="0.25">
      <c r="A1321" t="s">
        <v>1356</v>
      </c>
      <c r="B1321" t="s">
        <v>32</v>
      </c>
      <c r="C1321" s="14" t="s">
        <v>18</v>
      </c>
      <c r="D1321" s="1">
        <v>45351</v>
      </c>
      <c r="E1321" s="13">
        <v>45359</v>
      </c>
      <c r="F1321" s="14" t="s">
        <v>14</v>
      </c>
      <c r="G1321">
        <v>197</v>
      </c>
      <c r="H1321">
        <v>4735.7299999999996</v>
      </c>
      <c r="I1321">
        <v>4538.3599999999997</v>
      </c>
      <c r="J1321">
        <v>1</v>
      </c>
      <c r="K1321" s="14" t="s">
        <v>15</v>
      </c>
      <c r="L1321" s="14">
        <f>IF(OR(Table1[[#This Row],[Order_Status]]="Delivered",Table1[[#This Row],[Delivery_Date]]&lt;&gt;"Not Yet Delivered"),Table1[[#This Row],[Delivery_Date]]-Table1[[#This Row],[Order_Date]],"Not Applicable")</f>
        <v>8</v>
      </c>
      <c r="M1321" s="14">
        <f>Table1[[#This Row],[Unit_Cost]]-Table1[[#This Row],[Negotiated_Cost]]</f>
        <v>197.36999999999989</v>
      </c>
      <c r="N1321" s="18">
        <f>Table1[[#This Row],[Defective_Units]]/Table1[[#This Row],[Quantity]]</f>
        <v>5.076142131979695E-3</v>
      </c>
      <c r="O1321" s="26">
        <f>(Table1[[#This Row],[Unit_Cost]]-Table1[[#This Row],[Negotiated_Cost]])/Table1[[#This Row],[Unit_Cost]]</f>
        <v>4.1676784782916233E-2</v>
      </c>
    </row>
    <row r="1322" spans="1:15" x14ac:dyDescent="0.25">
      <c r="A1322" t="s">
        <v>1357</v>
      </c>
      <c r="B1322" t="s">
        <v>27</v>
      </c>
      <c r="C1322" s="14" t="s">
        <v>36</v>
      </c>
      <c r="D1322" s="1">
        <v>45497</v>
      </c>
      <c r="E1322" s="13">
        <v>45506</v>
      </c>
      <c r="F1322" s="14" t="s">
        <v>14</v>
      </c>
      <c r="G1322">
        <v>312</v>
      </c>
      <c r="H1322">
        <v>574.11</v>
      </c>
      <c r="I1322">
        <v>542.41</v>
      </c>
      <c r="J1322">
        <v>0</v>
      </c>
      <c r="K1322" s="14" t="s">
        <v>15</v>
      </c>
      <c r="L1322" s="14">
        <f>IF(OR(Table1[[#This Row],[Order_Status]]="Delivered",Table1[[#This Row],[Delivery_Date]]&lt;&gt;"Not Yet Delivered"),Table1[[#This Row],[Delivery_Date]]-Table1[[#This Row],[Order_Date]],"Not Applicable")</f>
        <v>9</v>
      </c>
      <c r="M1322" s="14">
        <f>Table1[[#This Row],[Unit_Cost]]-Table1[[#This Row],[Negotiated_Cost]]</f>
        <v>31.700000000000045</v>
      </c>
      <c r="N1322" s="18">
        <f>Table1[[#This Row],[Defective_Units]]/Table1[[#This Row],[Quantity]]</f>
        <v>0</v>
      </c>
      <c r="O1322" s="26">
        <f>(Table1[[#This Row],[Unit_Cost]]-Table1[[#This Row],[Negotiated_Cost]])/Table1[[#This Row],[Unit_Cost]]</f>
        <v>5.5215899392102634E-2</v>
      </c>
    </row>
    <row r="1323" spans="1:15" x14ac:dyDescent="0.25">
      <c r="A1323" t="s">
        <v>1358</v>
      </c>
      <c r="B1323" t="s">
        <v>12</v>
      </c>
      <c r="C1323" s="14" t="s">
        <v>21</v>
      </c>
      <c r="D1323" s="1">
        <v>45522</v>
      </c>
      <c r="E1323" s="13">
        <v>45548</v>
      </c>
      <c r="F1323" s="14" t="s">
        <v>14</v>
      </c>
      <c r="G1323">
        <v>301</v>
      </c>
      <c r="H1323">
        <v>133.25</v>
      </c>
      <c r="I1323">
        <v>128.97</v>
      </c>
      <c r="J1323">
        <v>5</v>
      </c>
      <c r="K1323" s="14" t="s">
        <v>15</v>
      </c>
      <c r="L1323" s="14">
        <f>IF(OR(Table1[[#This Row],[Order_Status]]="Delivered",Table1[[#This Row],[Delivery_Date]]&lt;&gt;"Not Yet Delivered"),Table1[[#This Row],[Delivery_Date]]-Table1[[#This Row],[Order_Date]],"Not Applicable")</f>
        <v>26</v>
      </c>
      <c r="M1323" s="14">
        <f>Table1[[#This Row],[Unit_Cost]]-Table1[[#This Row],[Negotiated_Cost]]</f>
        <v>4.2800000000000011</v>
      </c>
      <c r="N1323" s="18">
        <f>Table1[[#This Row],[Defective_Units]]/Table1[[#This Row],[Quantity]]</f>
        <v>1.6611295681063124E-2</v>
      </c>
      <c r="O1323" s="26">
        <f>(Table1[[#This Row],[Unit_Cost]]-Table1[[#This Row],[Negotiated_Cost]])/Table1[[#This Row],[Unit_Cost]]</f>
        <v>3.2120075046904326E-2</v>
      </c>
    </row>
    <row r="1324" spans="1:15" x14ac:dyDescent="0.25">
      <c r="A1324" t="s">
        <v>1359</v>
      </c>
      <c r="B1324" t="s">
        <v>46</v>
      </c>
      <c r="C1324" s="14" t="s">
        <v>55</v>
      </c>
      <c r="D1324" s="1">
        <v>45502</v>
      </c>
      <c r="E1324" s="13">
        <v>45510</v>
      </c>
      <c r="F1324" s="14" t="s">
        <v>14</v>
      </c>
      <c r="G1324">
        <v>223</v>
      </c>
      <c r="H1324">
        <v>13695.43</v>
      </c>
      <c r="I1324">
        <v>13119.69</v>
      </c>
      <c r="J1324">
        <v>4</v>
      </c>
      <c r="K1324" s="14" t="s">
        <v>15</v>
      </c>
      <c r="L1324" s="14">
        <f>IF(OR(Table1[[#This Row],[Order_Status]]="Delivered",Table1[[#This Row],[Delivery_Date]]&lt;&gt;"Not Yet Delivered"),Table1[[#This Row],[Delivery_Date]]-Table1[[#This Row],[Order_Date]],"Not Applicable")</f>
        <v>8</v>
      </c>
      <c r="M1324" s="14">
        <f>Table1[[#This Row],[Unit_Cost]]-Table1[[#This Row],[Negotiated_Cost]]</f>
        <v>575.73999999999978</v>
      </c>
      <c r="N1324" s="18">
        <f>Table1[[#This Row],[Defective_Units]]/Table1[[#This Row],[Quantity]]</f>
        <v>1.7937219730941704E-2</v>
      </c>
      <c r="O1324" s="26">
        <f>(Table1[[#This Row],[Unit_Cost]]-Table1[[#This Row],[Negotiated_Cost]])/Table1[[#This Row],[Unit_Cost]]</f>
        <v>4.2038840693574407E-2</v>
      </c>
    </row>
    <row r="1325" spans="1:15" x14ac:dyDescent="0.25">
      <c r="A1325" t="s">
        <v>1360</v>
      </c>
      <c r="B1325" t="s">
        <v>35</v>
      </c>
      <c r="C1325" s="14" t="s">
        <v>48</v>
      </c>
      <c r="D1325" s="1">
        <v>45005</v>
      </c>
      <c r="E1325" s="13">
        <v>45029</v>
      </c>
      <c r="F1325" s="14" t="s">
        <v>14</v>
      </c>
      <c r="G1325">
        <v>481</v>
      </c>
      <c r="H1325">
        <v>6754.56</v>
      </c>
      <c r="I1325">
        <v>6457.61</v>
      </c>
      <c r="J1325">
        <v>9</v>
      </c>
      <c r="K1325" s="14" t="s">
        <v>15</v>
      </c>
      <c r="L1325" s="14">
        <f>IF(OR(Table1[[#This Row],[Order_Status]]="Delivered",Table1[[#This Row],[Delivery_Date]]&lt;&gt;"Not Yet Delivered"),Table1[[#This Row],[Delivery_Date]]-Table1[[#This Row],[Order_Date]],"Not Applicable")</f>
        <v>24</v>
      </c>
      <c r="M1325" s="14">
        <f>Table1[[#This Row],[Unit_Cost]]-Table1[[#This Row],[Negotiated_Cost]]</f>
        <v>296.95000000000073</v>
      </c>
      <c r="N1325" s="18">
        <f>Table1[[#This Row],[Defective_Units]]/Table1[[#This Row],[Quantity]]</f>
        <v>1.8711018711018712E-2</v>
      </c>
      <c r="O1325" s="26">
        <f>(Table1[[#This Row],[Unit_Cost]]-Table1[[#This Row],[Negotiated_Cost]])/Table1[[#This Row],[Unit_Cost]]</f>
        <v>4.3962893215842437E-2</v>
      </c>
    </row>
    <row r="1326" spans="1:15" x14ac:dyDescent="0.25">
      <c r="A1326" t="s">
        <v>1361</v>
      </c>
      <c r="B1326" t="s">
        <v>12</v>
      </c>
      <c r="C1326" s="14" t="s">
        <v>30</v>
      </c>
      <c r="D1326" s="1">
        <v>45196</v>
      </c>
      <c r="E1326" s="13">
        <v>45217</v>
      </c>
      <c r="F1326" s="14" t="s">
        <v>14</v>
      </c>
      <c r="G1326">
        <v>432</v>
      </c>
      <c r="H1326">
        <v>990.94</v>
      </c>
      <c r="I1326">
        <v>983.17</v>
      </c>
      <c r="J1326">
        <v>2</v>
      </c>
      <c r="K1326" s="14" t="s">
        <v>15</v>
      </c>
      <c r="L1326" s="14">
        <f>IF(OR(Table1[[#This Row],[Order_Status]]="Delivered",Table1[[#This Row],[Delivery_Date]]&lt;&gt;"Not Yet Delivered"),Table1[[#This Row],[Delivery_Date]]-Table1[[#This Row],[Order_Date]],"Not Applicable")</f>
        <v>21</v>
      </c>
      <c r="M1326" s="14">
        <f>Table1[[#This Row],[Unit_Cost]]-Table1[[#This Row],[Negotiated_Cost]]</f>
        <v>7.7700000000000955</v>
      </c>
      <c r="N1326" s="18">
        <f>Table1[[#This Row],[Defective_Units]]/Table1[[#This Row],[Quantity]]</f>
        <v>4.6296296296296294E-3</v>
      </c>
      <c r="O1326" s="26">
        <f>(Table1[[#This Row],[Unit_Cost]]-Table1[[#This Row],[Negotiated_Cost]])/Table1[[#This Row],[Unit_Cost]]</f>
        <v>7.8410398207763281E-3</v>
      </c>
    </row>
    <row r="1327" spans="1:15" x14ac:dyDescent="0.25">
      <c r="A1327" t="s">
        <v>1362</v>
      </c>
      <c r="B1327" t="s">
        <v>46</v>
      </c>
      <c r="C1327" s="14" t="s">
        <v>50</v>
      </c>
      <c r="D1327" s="1">
        <v>45259</v>
      </c>
      <c r="E1327" s="13">
        <v>45271</v>
      </c>
      <c r="F1327" s="14" t="s">
        <v>14</v>
      </c>
      <c r="G1327">
        <v>315</v>
      </c>
      <c r="H1327">
        <v>52375.95</v>
      </c>
      <c r="I1327">
        <v>51900.08</v>
      </c>
      <c r="J1327">
        <v>6</v>
      </c>
      <c r="K1327" s="14" t="s">
        <v>15</v>
      </c>
      <c r="L1327" s="14">
        <f>IF(OR(Table1[[#This Row],[Order_Status]]="Delivered",Table1[[#This Row],[Delivery_Date]]&lt;&gt;"Not Yet Delivered"),Table1[[#This Row],[Delivery_Date]]-Table1[[#This Row],[Order_Date]],"Not Applicable")</f>
        <v>12</v>
      </c>
      <c r="M1327" s="14">
        <f>Table1[[#This Row],[Unit_Cost]]-Table1[[#This Row],[Negotiated_Cost]]</f>
        <v>475.86999999999534</v>
      </c>
      <c r="N1327" s="18">
        <f>Table1[[#This Row],[Defective_Units]]/Table1[[#This Row],[Quantity]]</f>
        <v>1.9047619047619049E-2</v>
      </c>
      <c r="O1327" s="26">
        <f>(Table1[[#This Row],[Unit_Cost]]-Table1[[#This Row],[Negotiated_Cost]])/Table1[[#This Row],[Unit_Cost]]</f>
        <v>9.0856585894861161E-3</v>
      </c>
    </row>
    <row r="1328" spans="1:15" x14ac:dyDescent="0.25">
      <c r="A1328" t="s">
        <v>1363</v>
      </c>
      <c r="B1328" t="s">
        <v>12</v>
      </c>
      <c r="C1328" s="14" t="s">
        <v>44</v>
      </c>
      <c r="D1328" s="1">
        <v>45509</v>
      </c>
      <c r="E1328" s="13">
        <v>45525</v>
      </c>
      <c r="F1328" s="14" t="s">
        <v>14</v>
      </c>
      <c r="G1328">
        <v>160</v>
      </c>
      <c r="H1328">
        <v>8726.2999999999993</v>
      </c>
      <c r="I1328">
        <v>8636.7099999999991</v>
      </c>
      <c r="J1328">
        <v>0</v>
      </c>
      <c r="K1328" s="14" t="s">
        <v>15</v>
      </c>
      <c r="L1328" s="14">
        <f>IF(OR(Table1[[#This Row],[Order_Status]]="Delivered",Table1[[#This Row],[Delivery_Date]]&lt;&gt;"Not Yet Delivered"),Table1[[#This Row],[Delivery_Date]]-Table1[[#This Row],[Order_Date]],"Not Applicable")</f>
        <v>16</v>
      </c>
      <c r="M1328" s="14">
        <f>Table1[[#This Row],[Unit_Cost]]-Table1[[#This Row],[Negotiated_Cost]]</f>
        <v>89.590000000000146</v>
      </c>
      <c r="N1328" s="18">
        <f>Table1[[#This Row],[Defective_Units]]/Table1[[#This Row],[Quantity]]</f>
        <v>0</v>
      </c>
      <c r="O1328" s="26">
        <f>(Table1[[#This Row],[Unit_Cost]]-Table1[[#This Row],[Negotiated_Cost]])/Table1[[#This Row],[Unit_Cost]]</f>
        <v>1.0266665138718604E-2</v>
      </c>
    </row>
    <row r="1329" spans="1:15" x14ac:dyDescent="0.25">
      <c r="A1329" t="s">
        <v>1364</v>
      </c>
      <c r="B1329" t="s">
        <v>17</v>
      </c>
      <c r="C1329" s="14" t="s">
        <v>30</v>
      </c>
      <c r="D1329" s="1">
        <v>45152</v>
      </c>
      <c r="E1329" s="13">
        <v>45173</v>
      </c>
      <c r="F1329" s="14" t="s">
        <v>14</v>
      </c>
      <c r="G1329">
        <v>312</v>
      </c>
      <c r="H1329">
        <v>820.59</v>
      </c>
      <c r="I1329">
        <v>799.6</v>
      </c>
      <c r="J1329">
        <v>4</v>
      </c>
      <c r="K1329" s="14" t="s">
        <v>15</v>
      </c>
      <c r="L1329" s="14">
        <f>IF(OR(Table1[[#This Row],[Order_Status]]="Delivered",Table1[[#This Row],[Delivery_Date]]&lt;&gt;"Not Yet Delivered"),Table1[[#This Row],[Delivery_Date]]-Table1[[#This Row],[Order_Date]],"Not Applicable")</f>
        <v>21</v>
      </c>
      <c r="M1329" s="14">
        <f>Table1[[#This Row],[Unit_Cost]]-Table1[[#This Row],[Negotiated_Cost]]</f>
        <v>20.990000000000009</v>
      </c>
      <c r="N1329" s="18">
        <f>Table1[[#This Row],[Defective_Units]]/Table1[[#This Row],[Quantity]]</f>
        <v>1.282051282051282E-2</v>
      </c>
      <c r="O1329" s="26">
        <f>(Table1[[#This Row],[Unit_Cost]]-Table1[[#This Row],[Negotiated_Cost]])/Table1[[#This Row],[Unit_Cost]]</f>
        <v>2.5579156460595436E-2</v>
      </c>
    </row>
    <row r="1330" spans="1:15" x14ac:dyDescent="0.25">
      <c r="A1330" t="s">
        <v>1365</v>
      </c>
      <c r="B1330" t="s">
        <v>27</v>
      </c>
      <c r="C1330" s="14" t="s">
        <v>42</v>
      </c>
      <c r="D1330" s="1">
        <v>45159</v>
      </c>
      <c r="E1330" s="13">
        <v>45178</v>
      </c>
      <c r="F1330" s="14" t="s">
        <v>14</v>
      </c>
      <c r="G1330">
        <v>336</v>
      </c>
      <c r="H1330">
        <v>12923.2</v>
      </c>
      <c r="I1330">
        <v>12527.52</v>
      </c>
      <c r="J1330">
        <v>5</v>
      </c>
      <c r="K1330" s="14" t="s">
        <v>15</v>
      </c>
      <c r="L1330" s="14">
        <f>IF(OR(Table1[[#This Row],[Order_Status]]="Delivered",Table1[[#This Row],[Delivery_Date]]&lt;&gt;"Not Yet Delivered"),Table1[[#This Row],[Delivery_Date]]-Table1[[#This Row],[Order_Date]],"Not Applicable")</f>
        <v>19</v>
      </c>
      <c r="M1330" s="14">
        <f>Table1[[#This Row],[Unit_Cost]]-Table1[[#This Row],[Negotiated_Cost]]</f>
        <v>395.68000000000029</v>
      </c>
      <c r="N1330" s="18">
        <f>Table1[[#This Row],[Defective_Units]]/Table1[[#This Row],[Quantity]]</f>
        <v>1.488095238095238E-2</v>
      </c>
      <c r="O1330" s="26">
        <f>(Table1[[#This Row],[Unit_Cost]]-Table1[[#This Row],[Negotiated_Cost]])/Table1[[#This Row],[Unit_Cost]]</f>
        <v>3.0617803639965354E-2</v>
      </c>
    </row>
    <row r="1331" spans="1:15" x14ac:dyDescent="0.25">
      <c r="A1331" t="s">
        <v>1366</v>
      </c>
      <c r="B1331" t="s">
        <v>40</v>
      </c>
      <c r="C1331" s="14" t="s">
        <v>21</v>
      </c>
      <c r="D1331" s="1">
        <v>44962</v>
      </c>
      <c r="E1331" s="14" t="s">
        <v>2057</v>
      </c>
      <c r="F1331" s="14" t="s">
        <v>22</v>
      </c>
      <c r="G1331">
        <v>307</v>
      </c>
      <c r="H1331">
        <v>130.28</v>
      </c>
      <c r="I1331">
        <v>129.03</v>
      </c>
      <c r="J1331">
        <v>2</v>
      </c>
      <c r="K1331" s="14" t="s">
        <v>15</v>
      </c>
      <c r="L1331" s="14" t="str">
        <f>IF(OR(Table1[[#This Row],[Order_Status]]="Delivered",Table1[[#This Row],[Delivery_Date]]&lt;&gt;"Not Yet Delivered"),Table1[[#This Row],[Delivery_Date]]-Table1[[#This Row],[Order_Date]],"Not Applicable")</f>
        <v>Not Applicable</v>
      </c>
      <c r="M1331" s="14">
        <f>Table1[[#This Row],[Unit_Cost]]-Table1[[#This Row],[Negotiated_Cost]]</f>
        <v>1.25</v>
      </c>
      <c r="N1331" s="18">
        <f>Table1[[#This Row],[Defective_Units]]/Table1[[#This Row],[Quantity]]</f>
        <v>6.5146579804560263E-3</v>
      </c>
      <c r="O1331" s="26">
        <f>(Table1[[#This Row],[Unit_Cost]]-Table1[[#This Row],[Negotiated_Cost]])/Table1[[#This Row],[Unit_Cost]]</f>
        <v>9.5947190666257291E-3</v>
      </c>
    </row>
    <row r="1332" spans="1:15" x14ac:dyDescent="0.25">
      <c r="A1332" t="s">
        <v>1367</v>
      </c>
      <c r="B1332" t="s">
        <v>40</v>
      </c>
      <c r="C1332" s="14" t="s">
        <v>42</v>
      </c>
      <c r="D1332" s="1">
        <v>45205</v>
      </c>
      <c r="E1332" s="13">
        <v>45229</v>
      </c>
      <c r="F1332" s="14" t="s">
        <v>14</v>
      </c>
      <c r="G1332">
        <v>175</v>
      </c>
      <c r="H1332">
        <v>12187.9</v>
      </c>
      <c r="I1332">
        <v>12137.54</v>
      </c>
      <c r="J1332">
        <v>3</v>
      </c>
      <c r="K1332" s="14" t="s">
        <v>15</v>
      </c>
      <c r="L1332" s="14">
        <f>IF(OR(Table1[[#This Row],[Order_Status]]="Delivered",Table1[[#This Row],[Delivery_Date]]&lt;&gt;"Not Yet Delivered"),Table1[[#This Row],[Delivery_Date]]-Table1[[#This Row],[Order_Date]],"Not Applicable")</f>
        <v>24</v>
      </c>
      <c r="M1332" s="14">
        <f>Table1[[#This Row],[Unit_Cost]]-Table1[[#This Row],[Negotiated_Cost]]</f>
        <v>50.359999999998763</v>
      </c>
      <c r="N1332" s="18">
        <f>Table1[[#This Row],[Defective_Units]]/Table1[[#This Row],[Quantity]]</f>
        <v>1.7142857142857144E-2</v>
      </c>
      <c r="O1332" s="26">
        <f>(Table1[[#This Row],[Unit_Cost]]-Table1[[#This Row],[Negotiated_Cost]])/Table1[[#This Row],[Unit_Cost]]</f>
        <v>4.1319669508281791E-3</v>
      </c>
    </row>
    <row r="1333" spans="1:15" x14ac:dyDescent="0.25">
      <c r="A1333" t="s">
        <v>1368</v>
      </c>
      <c r="B1333" t="s">
        <v>46</v>
      </c>
      <c r="C1333" s="14" t="s">
        <v>30</v>
      </c>
      <c r="D1333" s="1">
        <v>45347</v>
      </c>
      <c r="E1333" s="13">
        <v>45364</v>
      </c>
      <c r="F1333" s="14" t="s">
        <v>14</v>
      </c>
      <c r="G1333">
        <v>117</v>
      </c>
      <c r="H1333">
        <v>880.65</v>
      </c>
      <c r="I1333">
        <v>865.26</v>
      </c>
      <c r="J1333">
        <v>0</v>
      </c>
      <c r="K1333" s="14" t="s">
        <v>15</v>
      </c>
      <c r="L1333" s="14">
        <f>IF(OR(Table1[[#This Row],[Order_Status]]="Delivered",Table1[[#This Row],[Delivery_Date]]&lt;&gt;"Not Yet Delivered"),Table1[[#This Row],[Delivery_Date]]-Table1[[#This Row],[Order_Date]],"Not Applicable")</f>
        <v>17</v>
      </c>
      <c r="M1333" s="14">
        <f>Table1[[#This Row],[Unit_Cost]]-Table1[[#This Row],[Negotiated_Cost]]</f>
        <v>15.389999999999986</v>
      </c>
      <c r="N1333" s="18">
        <f>Table1[[#This Row],[Defective_Units]]/Table1[[#This Row],[Quantity]]</f>
        <v>0</v>
      </c>
      <c r="O1333" s="26">
        <f>(Table1[[#This Row],[Unit_Cost]]-Table1[[#This Row],[Negotiated_Cost]])/Table1[[#This Row],[Unit_Cost]]</f>
        <v>1.7475728155339793E-2</v>
      </c>
    </row>
    <row r="1334" spans="1:15" x14ac:dyDescent="0.25">
      <c r="A1334" t="s">
        <v>1369</v>
      </c>
      <c r="B1334" t="s">
        <v>17</v>
      </c>
      <c r="C1334" s="14" t="s">
        <v>18</v>
      </c>
      <c r="D1334" s="1">
        <v>45622</v>
      </c>
      <c r="E1334" s="13">
        <v>45633</v>
      </c>
      <c r="F1334" s="14" t="s">
        <v>14</v>
      </c>
      <c r="G1334">
        <v>19</v>
      </c>
      <c r="H1334">
        <v>5160.07</v>
      </c>
      <c r="I1334">
        <v>4912.41</v>
      </c>
      <c r="J1334">
        <v>0</v>
      </c>
      <c r="K1334" s="14" t="s">
        <v>15</v>
      </c>
      <c r="L1334" s="14">
        <f>IF(OR(Table1[[#This Row],[Order_Status]]="Delivered",Table1[[#This Row],[Delivery_Date]]&lt;&gt;"Not Yet Delivered"),Table1[[#This Row],[Delivery_Date]]-Table1[[#This Row],[Order_Date]],"Not Applicable")</f>
        <v>11</v>
      </c>
      <c r="M1334" s="14">
        <f>Table1[[#This Row],[Unit_Cost]]-Table1[[#This Row],[Negotiated_Cost]]</f>
        <v>247.65999999999985</v>
      </c>
      <c r="N1334" s="18">
        <f>Table1[[#This Row],[Defective_Units]]/Table1[[#This Row],[Quantity]]</f>
        <v>0</v>
      </c>
      <c r="O1334" s="26">
        <f>(Table1[[#This Row],[Unit_Cost]]-Table1[[#This Row],[Negotiated_Cost]])/Table1[[#This Row],[Unit_Cost]]</f>
        <v>4.7995472929630772E-2</v>
      </c>
    </row>
    <row r="1335" spans="1:15" x14ac:dyDescent="0.25">
      <c r="A1335" t="s">
        <v>1370</v>
      </c>
      <c r="B1335" t="s">
        <v>27</v>
      </c>
      <c r="C1335" s="14" t="s">
        <v>55</v>
      </c>
      <c r="D1335" s="1">
        <v>45546</v>
      </c>
      <c r="E1335" s="13">
        <v>45570</v>
      </c>
      <c r="F1335" s="14" t="s">
        <v>37</v>
      </c>
      <c r="G1335">
        <v>246</v>
      </c>
      <c r="H1335">
        <v>14873.04</v>
      </c>
      <c r="J1335">
        <v>2</v>
      </c>
      <c r="K1335" s="14" t="s">
        <v>15</v>
      </c>
      <c r="L1335" s="14">
        <f>IF(OR(Table1[[#This Row],[Order_Status]]="Delivered",Table1[[#This Row],[Delivery_Date]]&lt;&gt;"Not Yet Delivered"),Table1[[#This Row],[Delivery_Date]]-Table1[[#This Row],[Order_Date]],"Not Applicable")</f>
        <v>24</v>
      </c>
      <c r="M1335" s="14">
        <f>Table1[[#This Row],[Unit_Cost]]-Table1[[#This Row],[Negotiated_Cost]]</f>
        <v>14873.04</v>
      </c>
      <c r="N1335" s="18">
        <f>Table1[[#This Row],[Defective_Units]]/Table1[[#This Row],[Quantity]]</f>
        <v>8.130081300813009E-3</v>
      </c>
      <c r="O1335" s="26">
        <f>(Table1[[#This Row],[Unit_Cost]]-Table1[[#This Row],[Negotiated_Cost]])/Table1[[#This Row],[Unit_Cost]]</f>
        <v>1</v>
      </c>
    </row>
    <row r="1336" spans="1:15" x14ac:dyDescent="0.25">
      <c r="A1336" t="s">
        <v>1371</v>
      </c>
      <c r="B1336" t="s">
        <v>12</v>
      </c>
      <c r="C1336" s="14" t="s">
        <v>50</v>
      </c>
      <c r="D1336" s="1">
        <v>45360</v>
      </c>
      <c r="E1336" s="14" t="s">
        <v>2057</v>
      </c>
      <c r="F1336" s="14" t="s">
        <v>33</v>
      </c>
      <c r="G1336">
        <v>413</v>
      </c>
      <c r="H1336">
        <v>54660.35</v>
      </c>
      <c r="I1336">
        <v>54480.14</v>
      </c>
      <c r="J1336">
        <v>2</v>
      </c>
      <c r="K1336" s="14" t="s">
        <v>15</v>
      </c>
      <c r="L1336" s="14" t="str">
        <f>IF(OR(Table1[[#This Row],[Order_Status]]="Delivered",Table1[[#This Row],[Delivery_Date]]&lt;&gt;"Not Yet Delivered"),Table1[[#This Row],[Delivery_Date]]-Table1[[#This Row],[Order_Date]],"Not Applicable")</f>
        <v>Not Applicable</v>
      </c>
      <c r="M1336" s="14">
        <f>Table1[[#This Row],[Unit_Cost]]-Table1[[#This Row],[Negotiated_Cost]]</f>
        <v>180.20999999999913</v>
      </c>
      <c r="N1336" s="18">
        <f>Table1[[#This Row],[Defective_Units]]/Table1[[#This Row],[Quantity]]</f>
        <v>4.8426150121065378E-3</v>
      </c>
      <c r="O1336" s="26">
        <f>(Table1[[#This Row],[Unit_Cost]]-Table1[[#This Row],[Negotiated_Cost]])/Table1[[#This Row],[Unit_Cost]]</f>
        <v>3.2969053436357272E-3</v>
      </c>
    </row>
    <row r="1337" spans="1:15" x14ac:dyDescent="0.25">
      <c r="A1337" t="s">
        <v>1372</v>
      </c>
      <c r="B1337" t="s">
        <v>40</v>
      </c>
      <c r="C1337" s="14" t="s">
        <v>13</v>
      </c>
      <c r="D1337" s="1">
        <v>44935</v>
      </c>
      <c r="E1337" s="13">
        <v>44945</v>
      </c>
      <c r="F1337" s="14" t="s">
        <v>14</v>
      </c>
      <c r="G1337">
        <v>49</v>
      </c>
      <c r="H1337">
        <v>4516.3100000000004</v>
      </c>
      <c r="I1337">
        <v>4451.5600000000004</v>
      </c>
      <c r="J1337">
        <v>2</v>
      </c>
      <c r="K1337" s="14" t="s">
        <v>15</v>
      </c>
      <c r="L1337" s="14">
        <f>IF(OR(Table1[[#This Row],[Order_Status]]="Delivered",Table1[[#This Row],[Delivery_Date]]&lt;&gt;"Not Yet Delivered"),Table1[[#This Row],[Delivery_Date]]-Table1[[#This Row],[Order_Date]],"Not Applicable")</f>
        <v>10</v>
      </c>
      <c r="M1337" s="14">
        <f>Table1[[#This Row],[Unit_Cost]]-Table1[[#This Row],[Negotiated_Cost]]</f>
        <v>64.75</v>
      </c>
      <c r="N1337" s="18">
        <f>Table1[[#This Row],[Defective_Units]]/Table1[[#This Row],[Quantity]]</f>
        <v>4.0816326530612242E-2</v>
      </c>
      <c r="O1337" s="26">
        <f>(Table1[[#This Row],[Unit_Cost]]-Table1[[#This Row],[Negotiated_Cost]])/Table1[[#This Row],[Unit_Cost]]</f>
        <v>1.4336925498913935E-2</v>
      </c>
    </row>
    <row r="1338" spans="1:15" x14ac:dyDescent="0.25">
      <c r="A1338" t="s">
        <v>1373</v>
      </c>
      <c r="B1338" t="s">
        <v>20</v>
      </c>
      <c r="C1338" s="14" t="s">
        <v>36</v>
      </c>
      <c r="D1338" s="1">
        <v>45031</v>
      </c>
      <c r="E1338" s="13">
        <v>45038</v>
      </c>
      <c r="F1338" s="14" t="s">
        <v>37</v>
      </c>
      <c r="G1338">
        <v>151</v>
      </c>
      <c r="H1338">
        <v>504.1</v>
      </c>
      <c r="I1338">
        <v>476.41</v>
      </c>
      <c r="J1338">
        <v>0</v>
      </c>
      <c r="K1338" s="14" t="s">
        <v>15</v>
      </c>
      <c r="L1338" s="14">
        <f>IF(OR(Table1[[#This Row],[Order_Status]]="Delivered",Table1[[#This Row],[Delivery_Date]]&lt;&gt;"Not Yet Delivered"),Table1[[#This Row],[Delivery_Date]]-Table1[[#This Row],[Order_Date]],"Not Applicable")</f>
        <v>7</v>
      </c>
      <c r="M1338" s="14">
        <f>Table1[[#This Row],[Unit_Cost]]-Table1[[#This Row],[Negotiated_Cost]]</f>
        <v>27.689999999999998</v>
      </c>
      <c r="N1338" s="18">
        <f>Table1[[#This Row],[Defective_Units]]/Table1[[#This Row],[Quantity]]</f>
        <v>0</v>
      </c>
      <c r="O1338" s="26">
        <f>(Table1[[#This Row],[Unit_Cost]]-Table1[[#This Row],[Negotiated_Cost]])/Table1[[#This Row],[Unit_Cost]]</f>
        <v>5.4929577464788729E-2</v>
      </c>
    </row>
    <row r="1339" spans="1:15" x14ac:dyDescent="0.25">
      <c r="A1339" t="s">
        <v>1374</v>
      </c>
      <c r="B1339" t="s">
        <v>32</v>
      </c>
      <c r="C1339" s="14" t="s">
        <v>36</v>
      </c>
      <c r="D1339" s="1">
        <v>44984</v>
      </c>
      <c r="E1339" s="13">
        <v>44992</v>
      </c>
      <c r="F1339" s="14" t="s">
        <v>14</v>
      </c>
      <c r="G1339">
        <v>483</v>
      </c>
      <c r="H1339">
        <v>502.58</v>
      </c>
      <c r="I1339">
        <v>475.05</v>
      </c>
      <c r="J1339">
        <v>6</v>
      </c>
      <c r="K1339" s="14" t="s">
        <v>25</v>
      </c>
      <c r="L1339" s="14">
        <f>IF(OR(Table1[[#This Row],[Order_Status]]="Delivered",Table1[[#This Row],[Delivery_Date]]&lt;&gt;"Not Yet Delivered"),Table1[[#This Row],[Delivery_Date]]-Table1[[#This Row],[Order_Date]],"Not Applicable")</f>
        <v>8</v>
      </c>
      <c r="M1339" s="14">
        <f>Table1[[#This Row],[Unit_Cost]]-Table1[[#This Row],[Negotiated_Cost]]</f>
        <v>27.529999999999973</v>
      </c>
      <c r="N1339" s="18">
        <f>Table1[[#This Row],[Defective_Units]]/Table1[[#This Row],[Quantity]]</f>
        <v>1.2422360248447204E-2</v>
      </c>
      <c r="O1339" s="26">
        <f>(Table1[[#This Row],[Unit_Cost]]-Table1[[#This Row],[Negotiated_Cost]])/Table1[[#This Row],[Unit_Cost]]</f>
        <v>5.477734887978028E-2</v>
      </c>
    </row>
    <row r="1340" spans="1:15" x14ac:dyDescent="0.25">
      <c r="A1340" t="s">
        <v>1375</v>
      </c>
      <c r="B1340" t="s">
        <v>32</v>
      </c>
      <c r="C1340" s="14" t="s">
        <v>30</v>
      </c>
      <c r="D1340" s="1">
        <v>45452</v>
      </c>
      <c r="E1340" s="13">
        <v>45460</v>
      </c>
      <c r="F1340" s="14" t="s">
        <v>14</v>
      </c>
      <c r="G1340">
        <v>423</v>
      </c>
      <c r="H1340">
        <v>789.15</v>
      </c>
      <c r="I1340">
        <v>753.67</v>
      </c>
      <c r="J1340">
        <v>6</v>
      </c>
      <c r="K1340" s="14" t="s">
        <v>15</v>
      </c>
      <c r="L1340" s="14">
        <f>IF(OR(Table1[[#This Row],[Order_Status]]="Delivered",Table1[[#This Row],[Delivery_Date]]&lt;&gt;"Not Yet Delivered"),Table1[[#This Row],[Delivery_Date]]-Table1[[#This Row],[Order_Date]],"Not Applicable")</f>
        <v>8</v>
      </c>
      <c r="M1340" s="14">
        <f>Table1[[#This Row],[Unit_Cost]]-Table1[[#This Row],[Negotiated_Cost]]</f>
        <v>35.480000000000018</v>
      </c>
      <c r="N1340" s="18">
        <f>Table1[[#This Row],[Defective_Units]]/Table1[[#This Row],[Quantity]]</f>
        <v>1.4184397163120567E-2</v>
      </c>
      <c r="O1340" s="26">
        <f>(Table1[[#This Row],[Unit_Cost]]-Table1[[#This Row],[Negotiated_Cost]])/Table1[[#This Row],[Unit_Cost]]</f>
        <v>4.495976683773683E-2</v>
      </c>
    </row>
    <row r="1341" spans="1:15" x14ac:dyDescent="0.25">
      <c r="A1341" t="s">
        <v>1376</v>
      </c>
      <c r="B1341" t="s">
        <v>17</v>
      </c>
      <c r="C1341" s="14" t="s">
        <v>30</v>
      </c>
      <c r="D1341" s="1">
        <v>45590</v>
      </c>
      <c r="E1341" s="13">
        <v>45599</v>
      </c>
      <c r="F1341" s="14" t="s">
        <v>14</v>
      </c>
      <c r="G1341">
        <v>428</v>
      </c>
      <c r="H1341">
        <v>843.24</v>
      </c>
      <c r="I1341">
        <v>838.17</v>
      </c>
      <c r="J1341">
        <v>9</v>
      </c>
      <c r="K1341" s="14" t="s">
        <v>15</v>
      </c>
      <c r="L1341" s="14">
        <f>IF(OR(Table1[[#This Row],[Order_Status]]="Delivered",Table1[[#This Row],[Delivery_Date]]&lt;&gt;"Not Yet Delivered"),Table1[[#This Row],[Delivery_Date]]-Table1[[#This Row],[Order_Date]],"Not Applicable")</f>
        <v>9</v>
      </c>
      <c r="M1341" s="14">
        <f>Table1[[#This Row],[Unit_Cost]]-Table1[[#This Row],[Negotiated_Cost]]</f>
        <v>5.07000000000005</v>
      </c>
      <c r="N1341" s="18">
        <f>Table1[[#This Row],[Defective_Units]]/Table1[[#This Row],[Quantity]]</f>
        <v>2.1028037383177569E-2</v>
      </c>
      <c r="O1341" s="26">
        <f>(Table1[[#This Row],[Unit_Cost]]-Table1[[#This Row],[Negotiated_Cost]])/Table1[[#This Row],[Unit_Cost]]</f>
        <v>6.0125231250890022E-3</v>
      </c>
    </row>
    <row r="1342" spans="1:15" x14ac:dyDescent="0.25">
      <c r="A1342" t="s">
        <v>1377</v>
      </c>
      <c r="B1342" t="s">
        <v>20</v>
      </c>
      <c r="C1342" s="14" t="s">
        <v>44</v>
      </c>
      <c r="D1342" s="1">
        <v>44956</v>
      </c>
      <c r="E1342" s="13">
        <v>44972</v>
      </c>
      <c r="F1342" s="14" t="s">
        <v>37</v>
      </c>
      <c r="G1342">
        <v>147</v>
      </c>
      <c r="H1342">
        <v>7922.7</v>
      </c>
      <c r="I1342">
        <v>7885.94</v>
      </c>
      <c r="J1342">
        <v>4</v>
      </c>
      <c r="K1342" s="14" t="s">
        <v>15</v>
      </c>
      <c r="L1342" s="14">
        <f>IF(OR(Table1[[#This Row],[Order_Status]]="Delivered",Table1[[#This Row],[Delivery_Date]]&lt;&gt;"Not Yet Delivered"),Table1[[#This Row],[Delivery_Date]]-Table1[[#This Row],[Order_Date]],"Not Applicable")</f>
        <v>16</v>
      </c>
      <c r="M1342" s="14">
        <f>Table1[[#This Row],[Unit_Cost]]-Table1[[#This Row],[Negotiated_Cost]]</f>
        <v>36.760000000000218</v>
      </c>
      <c r="N1342" s="18">
        <f>Table1[[#This Row],[Defective_Units]]/Table1[[#This Row],[Quantity]]</f>
        <v>2.7210884353741496E-2</v>
      </c>
      <c r="O1342" s="26">
        <f>(Table1[[#This Row],[Unit_Cost]]-Table1[[#This Row],[Negotiated_Cost]])/Table1[[#This Row],[Unit_Cost]]</f>
        <v>4.6398323803754048E-3</v>
      </c>
    </row>
    <row r="1343" spans="1:15" x14ac:dyDescent="0.25">
      <c r="A1343" t="s">
        <v>1378</v>
      </c>
      <c r="B1343" t="s">
        <v>20</v>
      </c>
      <c r="C1343" s="14" t="s">
        <v>42</v>
      </c>
      <c r="D1343" s="1">
        <v>45123</v>
      </c>
      <c r="E1343" s="13">
        <v>45145</v>
      </c>
      <c r="F1343" s="14" t="s">
        <v>37</v>
      </c>
      <c r="G1343">
        <v>247</v>
      </c>
      <c r="H1343">
        <v>11059.8</v>
      </c>
      <c r="I1343">
        <v>10418.370000000001</v>
      </c>
      <c r="J1343">
        <v>6</v>
      </c>
      <c r="K1343" s="14" t="s">
        <v>15</v>
      </c>
      <c r="L1343" s="14">
        <f>IF(OR(Table1[[#This Row],[Order_Status]]="Delivered",Table1[[#This Row],[Delivery_Date]]&lt;&gt;"Not Yet Delivered"),Table1[[#This Row],[Delivery_Date]]-Table1[[#This Row],[Order_Date]],"Not Applicable")</f>
        <v>22</v>
      </c>
      <c r="M1343" s="14">
        <f>Table1[[#This Row],[Unit_Cost]]-Table1[[#This Row],[Negotiated_Cost]]</f>
        <v>641.42999999999847</v>
      </c>
      <c r="N1343" s="18">
        <f>Table1[[#This Row],[Defective_Units]]/Table1[[#This Row],[Quantity]]</f>
        <v>2.4291497975708502E-2</v>
      </c>
      <c r="O1343" s="26">
        <f>(Table1[[#This Row],[Unit_Cost]]-Table1[[#This Row],[Negotiated_Cost]])/Table1[[#This Row],[Unit_Cost]]</f>
        <v>5.7996527966147536E-2</v>
      </c>
    </row>
    <row r="1344" spans="1:15" x14ac:dyDescent="0.25">
      <c r="A1344" t="s">
        <v>1379</v>
      </c>
      <c r="B1344" t="s">
        <v>32</v>
      </c>
      <c r="C1344" s="14" t="s">
        <v>24</v>
      </c>
      <c r="D1344" s="1">
        <v>45142</v>
      </c>
      <c r="E1344" s="13">
        <v>45161</v>
      </c>
      <c r="F1344" s="14" t="s">
        <v>14</v>
      </c>
      <c r="G1344">
        <v>427</v>
      </c>
      <c r="H1344">
        <v>11253.49</v>
      </c>
      <c r="I1344">
        <v>10603.59</v>
      </c>
      <c r="J1344">
        <v>4</v>
      </c>
      <c r="K1344" s="14" t="s">
        <v>15</v>
      </c>
      <c r="L1344" s="14">
        <f>IF(OR(Table1[[#This Row],[Order_Status]]="Delivered",Table1[[#This Row],[Delivery_Date]]&lt;&gt;"Not Yet Delivered"),Table1[[#This Row],[Delivery_Date]]-Table1[[#This Row],[Order_Date]],"Not Applicable")</f>
        <v>19</v>
      </c>
      <c r="M1344" s="14">
        <f>Table1[[#This Row],[Unit_Cost]]-Table1[[#This Row],[Negotiated_Cost]]</f>
        <v>649.89999999999964</v>
      </c>
      <c r="N1344" s="18">
        <f>Table1[[#This Row],[Defective_Units]]/Table1[[#This Row],[Quantity]]</f>
        <v>9.3676814988290398E-3</v>
      </c>
      <c r="O1344" s="26">
        <f>(Table1[[#This Row],[Unit_Cost]]-Table1[[#This Row],[Negotiated_Cost]])/Table1[[#This Row],[Unit_Cost]]</f>
        <v>5.7750973253630621E-2</v>
      </c>
    </row>
    <row r="1345" spans="1:15" x14ac:dyDescent="0.25">
      <c r="A1345" t="s">
        <v>1380</v>
      </c>
      <c r="B1345" t="s">
        <v>40</v>
      </c>
      <c r="C1345" s="14" t="s">
        <v>18</v>
      </c>
      <c r="D1345" s="1">
        <v>45368</v>
      </c>
      <c r="E1345" s="13">
        <v>45387</v>
      </c>
      <c r="F1345" s="14" t="s">
        <v>14</v>
      </c>
      <c r="G1345">
        <v>427</v>
      </c>
      <c r="H1345">
        <v>5665.19</v>
      </c>
      <c r="I1345">
        <v>5481.09</v>
      </c>
      <c r="J1345">
        <v>3</v>
      </c>
      <c r="K1345" s="14" t="s">
        <v>15</v>
      </c>
      <c r="L1345" s="14">
        <f>IF(OR(Table1[[#This Row],[Order_Status]]="Delivered",Table1[[#This Row],[Delivery_Date]]&lt;&gt;"Not Yet Delivered"),Table1[[#This Row],[Delivery_Date]]-Table1[[#This Row],[Order_Date]],"Not Applicable")</f>
        <v>19</v>
      </c>
      <c r="M1345" s="14">
        <f>Table1[[#This Row],[Unit_Cost]]-Table1[[#This Row],[Negotiated_Cost]]</f>
        <v>184.09999999999945</v>
      </c>
      <c r="N1345" s="18">
        <f>Table1[[#This Row],[Defective_Units]]/Table1[[#This Row],[Quantity]]</f>
        <v>7.0257611241217799E-3</v>
      </c>
      <c r="O1345" s="26">
        <f>(Table1[[#This Row],[Unit_Cost]]-Table1[[#This Row],[Negotiated_Cost]])/Table1[[#This Row],[Unit_Cost]]</f>
        <v>3.2496703552749237E-2</v>
      </c>
    </row>
    <row r="1346" spans="1:15" x14ac:dyDescent="0.25">
      <c r="A1346" t="s">
        <v>1381</v>
      </c>
      <c r="B1346" t="s">
        <v>35</v>
      </c>
      <c r="C1346" s="14" t="s">
        <v>44</v>
      </c>
      <c r="D1346" s="1">
        <v>45174</v>
      </c>
      <c r="E1346" s="13">
        <v>45204</v>
      </c>
      <c r="F1346" s="14" t="s">
        <v>14</v>
      </c>
      <c r="G1346">
        <v>335</v>
      </c>
      <c r="H1346">
        <v>8703.16</v>
      </c>
      <c r="I1346">
        <v>8192.7199999999993</v>
      </c>
      <c r="J1346">
        <v>4</v>
      </c>
      <c r="K1346" s="14" t="s">
        <v>15</v>
      </c>
      <c r="L1346" s="14">
        <f>IF(OR(Table1[[#This Row],[Order_Status]]="Delivered",Table1[[#This Row],[Delivery_Date]]&lt;&gt;"Not Yet Delivered"),Table1[[#This Row],[Delivery_Date]]-Table1[[#This Row],[Order_Date]],"Not Applicable")</f>
        <v>30</v>
      </c>
      <c r="M1346" s="14">
        <f>Table1[[#This Row],[Unit_Cost]]-Table1[[#This Row],[Negotiated_Cost]]</f>
        <v>510.44000000000051</v>
      </c>
      <c r="N1346" s="18">
        <f>Table1[[#This Row],[Defective_Units]]/Table1[[#This Row],[Quantity]]</f>
        <v>1.1940298507462687E-2</v>
      </c>
      <c r="O1346" s="26">
        <f>(Table1[[#This Row],[Unit_Cost]]-Table1[[#This Row],[Negotiated_Cost]])/Table1[[#This Row],[Unit_Cost]]</f>
        <v>5.8649961623134649E-2</v>
      </c>
    </row>
    <row r="1347" spans="1:15" x14ac:dyDescent="0.25">
      <c r="A1347" t="s">
        <v>1382</v>
      </c>
      <c r="B1347" t="s">
        <v>32</v>
      </c>
      <c r="C1347" s="14" t="s">
        <v>18</v>
      </c>
      <c r="D1347" s="1">
        <v>45110</v>
      </c>
      <c r="E1347" s="13">
        <v>45126</v>
      </c>
      <c r="F1347" s="14" t="s">
        <v>14</v>
      </c>
      <c r="G1347">
        <v>195</v>
      </c>
      <c r="H1347">
        <v>4914.4799999999996</v>
      </c>
      <c r="I1347">
        <v>4699.1000000000004</v>
      </c>
      <c r="J1347">
        <v>3</v>
      </c>
      <c r="K1347" s="14" t="s">
        <v>15</v>
      </c>
      <c r="L1347" s="14">
        <f>IF(OR(Table1[[#This Row],[Order_Status]]="Delivered",Table1[[#This Row],[Delivery_Date]]&lt;&gt;"Not Yet Delivered"),Table1[[#This Row],[Delivery_Date]]-Table1[[#This Row],[Order_Date]],"Not Applicable")</f>
        <v>16</v>
      </c>
      <c r="M1347" s="14">
        <f>Table1[[#This Row],[Unit_Cost]]-Table1[[#This Row],[Negotiated_Cost]]</f>
        <v>215.3799999999992</v>
      </c>
      <c r="N1347" s="18">
        <f>Table1[[#This Row],[Defective_Units]]/Table1[[#This Row],[Quantity]]</f>
        <v>1.5384615384615385E-2</v>
      </c>
      <c r="O1347" s="26">
        <f>(Table1[[#This Row],[Unit_Cost]]-Table1[[#This Row],[Negotiated_Cost]])/Table1[[#This Row],[Unit_Cost]]</f>
        <v>4.3825592941674242E-2</v>
      </c>
    </row>
    <row r="1348" spans="1:15" x14ac:dyDescent="0.25">
      <c r="A1348" t="s">
        <v>1383</v>
      </c>
      <c r="B1348" t="s">
        <v>27</v>
      </c>
      <c r="C1348" s="14" t="s">
        <v>48</v>
      </c>
      <c r="D1348" s="1">
        <v>45265</v>
      </c>
      <c r="E1348" s="14" t="s">
        <v>2057</v>
      </c>
      <c r="F1348" s="14" t="s">
        <v>33</v>
      </c>
      <c r="G1348">
        <v>242</v>
      </c>
      <c r="H1348">
        <v>6630.75</v>
      </c>
      <c r="I1348">
        <v>6611.31</v>
      </c>
      <c r="J1348">
        <v>2</v>
      </c>
      <c r="K1348" s="14" t="s">
        <v>15</v>
      </c>
      <c r="L1348" s="14" t="str">
        <f>IF(OR(Table1[[#This Row],[Order_Status]]="Delivered",Table1[[#This Row],[Delivery_Date]]&lt;&gt;"Not Yet Delivered"),Table1[[#This Row],[Delivery_Date]]-Table1[[#This Row],[Order_Date]],"Not Applicable")</f>
        <v>Not Applicable</v>
      </c>
      <c r="M1348" s="14">
        <f>Table1[[#This Row],[Unit_Cost]]-Table1[[#This Row],[Negotiated_Cost]]</f>
        <v>19.4399999999996</v>
      </c>
      <c r="N1348" s="18">
        <f>Table1[[#This Row],[Defective_Units]]/Table1[[#This Row],[Quantity]]</f>
        <v>8.2644628099173556E-3</v>
      </c>
      <c r="O1348" s="26">
        <f>(Table1[[#This Row],[Unit_Cost]]-Table1[[#This Row],[Negotiated_Cost]])/Table1[[#This Row],[Unit_Cost]]</f>
        <v>2.9317950458092371E-3</v>
      </c>
    </row>
    <row r="1349" spans="1:15" x14ac:dyDescent="0.25">
      <c r="A1349" t="s">
        <v>1384</v>
      </c>
      <c r="B1349" t="s">
        <v>27</v>
      </c>
      <c r="C1349" s="14" t="s">
        <v>50</v>
      </c>
      <c r="D1349" s="1">
        <v>45593</v>
      </c>
      <c r="E1349" s="14" t="s">
        <v>2057</v>
      </c>
      <c r="F1349" s="14" t="s">
        <v>33</v>
      </c>
      <c r="G1349">
        <v>377</v>
      </c>
      <c r="H1349">
        <v>55037.440000000002</v>
      </c>
      <c r="I1349">
        <v>52992.34</v>
      </c>
      <c r="J1349">
        <v>2</v>
      </c>
      <c r="K1349" s="14" t="s">
        <v>15</v>
      </c>
      <c r="L1349" s="14" t="str">
        <f>IF(OR(Table1[[#This Row],[Order_Status]]="Delivered",Table1[[#This Row],[Delivery_Date]]&lt;&gt;"Not Yet Delivered"),Table1[[#This Row],[Delivery_Date]]-Table1[[#This Row],[Order_Date]],"Not Applicable")</f>
        <v>Not Applicable</v>
      </c>
      <c r="M1349" s="14">
        <f>Table1[[#This Row],[Unit_Cost]]-Table1[[#This Row],[Negotiated_Cost]]</f>
        <v>2045.1000000000058</v>
      </c>
      <c r="N1349" s="18">
        <f>Table1[[#This Row],[Defective_Units]]/Table1[[#This Row],[Quantity]]</f>
        <v>5.3050397877984082E-3</v>
      </c>
      <c r="O1349" s="26">
        <f>(Table1[[#This Row],[Unit_Cost]]-Table1[[#This Row],[Negotiated_Cost]])/Table1[[#This Row],[Unit_Cost]]</f>
        <v>3.7158341667054388E-2</v>
      </c>
    </row>
    <row r="1350" spans="1:15" x14ac:dyDescent="0.25">
      <c r="A1350" t="s">
        <v>1385</v>
      </c>
      <c r="B1350" t="s">
        <v>27</v>
      </c>
      <c r="C1350" s="14" t="s">
        <v>21</v>
      </c>
      <c r="D1350" s="1">
        <v>45540</v>
      </c>
      <c r="E1350" s="13">
        <v>45544</v>
      </c>
      <c r="F1350" s="14" t="s">
        <v>14</v>
      </c>
      <c r="G1350">
        <v>55</v>
      </c>
      <c r="H1350">
        <v>125.28</v>
      </c>
      <c r="I1350">
        <v>124.91</v>
      </c>
      <c r="J1350">
        <v>0</v>
      </c>
      <c r="K1350" s="14" t="s">
        <v>15</v>
      </c>
      <c r="L1350" s="14">
        <f>IF(OR(Table1[[#This Row],[Order_Status]]="Delivered",Table1[[#This Row],[Delivery_Date]]&lt;&gt;"Not Yet Delivered"),Table1[[#This Row],[Delivery_Date]]-Table1[[#This Row],[Order_Date]],"Not Applicable")</f>
        <v>4</v>
      </c>
      <c r="M1350" s="14">
        <f>Table1[[#This Row],[Unit_Cost]]-Table1[[#This Row],[Negotiated_Cost]]</f>
        <v>0.37000000000000455</v>
      </c>
      <c r="N1350" s="18">
        <f>Table1[[#This Row],[Defective_Units]]/Table1[[#This Row],[Quantity]]</f>
        <v>0</v>
      </c>
      <c r="O1350" s="26">
        <f>(Table1[[#This Row],[Unit_Cost]]-Table1[[#This Row],[Negotiated_Cost]])/Table1[[#This Row],[Unit_Cost]]</f>
        <v>2.9533844189016966E-3</v>
      </c>
    </row>
    <row r="1351" spans="1:15" x14ac:dyDescent="0.25">
      <c r="A1351" t="s">
        <v>1386</v>
      </c>
      <c r="B1351" t="s">
        <v>35</v>
      </c>
      <c r="C1351" s="14" t="s">
        <v>50</v>
      </c>
      <c r="D1351" s="1">
        <v>45616</v>
      </c>
      <c r="E1351" s="13">
        <v>45634</v>
      </c>
      <c r="F1351" s="14" t="s">
        <v>14</v>
      </c>
      <c r="G1351">
        <v>486</v>
      </c>
      <c r="H1351">
        <v>50251.56</v>
      </c>
      <c r="I1351">
        <v>48169.85</v>
      </c>
      <c r="J1351">
        <v>1</v>
      </c>
      <c r="K1351" s="14" t="s">
        <v>15</v>
      </c>
      <c r="L1351" s="14">
        <f>IF(OR(Table1[[#This Row],[Order_Status]]="Delivered",Table1[[#This Row],[Delivery_Date]]&lt;&gt;"Not Yet Delivered"),Table1[[#This Row],[Delivery_Date]]-Table1[[#This Row],[Order_Date]],"Not Applicable")</f>
        <v>18</v>
      </c>
      <c r="M1351" s="14">
        <f>Table1[[#This Row],[Unit_Cost]]-Table1[[#This Row],[Negotiated_Cost]]</f>
        <v>2081.7099999999991</v>
      </c>
      <c r="N1351" s="18">
        <f>Table1[[#This Row],[Defective_Units]]/Table1[[#This Row],[Quantity]]</f>
        <v>2.05761316872428E-3</v>
      </c>
      <c r="O1351" s="26">
        <f>(Table1[[#This Row],[Unit_Cost]]-Table1[[#This Row],[Negotiated_Cost]])/Table1[[#This Row],[Unit_Cost]]</f>
        <v>4.1425778622593987E-2</v>
      </c>
    </row>
    <row r="1352" spans="1:15" x14ac:dyDescent="0.25">
      <c r="A1352" t="s">
        <v>1387</v>
      </c>
      <c r="B1352" t="s">
        <v>32</v>
      </c>
      <c r="C1352" s="14" t="s">
        <v>48</v>
      </c>
      <c r="D1352" s="1">
        <v>45010</v>
      </c>
      <c r="E1352" s="13">
        <v>45037</v>
      </c>
      <c r="F1352" s="14" t="s">
        <v>37</v>
      </c>
      <c r="G1352">
        <v>25</v>
      </c>
      <c r="H1352">
        <v>6301.2</v>
      </c>
      <c r="I1352">
        <v>6098.5</v>
      </c>
      <c r="J1352">
        <v>0</v>
      </c>
      <c r="K1352" s="14" t="s">
        <v>15</v>
      </c>
      <c r="L1352" s="14">
        <f>IF(OR(Table1[[#This Row],[Order_Status]]="Delivered",Table1[[#This Row],[Delivery_Date]]&lt;&gt;"Not Yet Delivered"),Table1[[#This Row],[Delivery_Date]]-Table1[[#This Row],[Order_Date]],"Not Applicable")</f>
        <v>27</v>
      </c>
      <c r="M1352" s="14">
        <f>Table1[[#This Row],[Unit_Cost]]-Table1[[#This Row],[Negotiated_Cost]]</f>
        <v>202.69999999999982</v>
      </c>
      <c r="N1352" s="18">
        <f>Table1[[#This Row],[Defective_Units]]/Table1[[#This Row],[Quantity]]</f>
        <v>0</v>
      </c>
      <c r="O1352" s="26">
        <f>(Table1[[#This Row],[Unit_Cost]]-Table1[[#This Row],[Negotiated_Cost]])/Table1[[#This Row],[Unit_Cost]]</f>
        <v>3.2168475845870598E-2</v>
      </c>
    </row>
    <row r="1353" spans="1:15" x14ac:dyDescent="0.25">
      <c r="A1353" t="s">
        <v>1388</v>
      </c>
      <c r="B1353" t="s">
        <v>35</v>
      </c>
      <c r="C1353" s="14" t="s">
        <v>36</v>
      </c>
      <c r="D1353" s="1">
        <v>45258</v>
      </c>
      <c r="E1353" s="13">
        <v>45266</v>
      </c>
      <c r="F1353" s="14" t="s">
        <v>14</v>
      </c>
      <c r="G1353">
        <v>156</v>
      </c>
      <c r="H1353">
        <v>578.25</v>
      </c>
      <c r="I1353">
        <v>552.61</v>
      </c>
      <c r="J1353">
        <v>0</v>
      </c>
      <c r="K1353" s="14" t="s">
        <v>25</v>
      </c>
      <c r="L1353" s="14">
        <f>IF(OR(Table1[[#This Row],[Order_Status]]="Delivered",Table1[[#This Row],[Delivery_Date]]&lt;&gt;"Not Yet Delivered"),Table1[[#This Row],[Delivery_Date]]-Table1[[#This Row],[Order_Date]],"Not Applicable")</f>
        <v>8</v>
      </c>
      <c r="M1353" s="14">
        <f>Table1[[#This Row],[Unit_Cost]]-Table1[[#This Row],[Negotiated_Cost]]</f>
        <v>25.639999999999986</v>
      </c>
      <c r="N1353" s="18">
        <f>Table1[[#This Row],[Defective_Units]]/Table1[[#This Row],[Quantity]]</f>
        <v>0</v>
      </c>
      <c r="O1353" s="26">
        <f>(Table1[[#This Row],[Unit_Cost]]-Table1[[#This Row],[Negotiated_Cost]])/Table1[[#This Row],[Unit_Cost]]</f>
        <v>4.4340683095546889E-2</v>
      </c>
    </row>
    <row r="1354" spans="1:15" x14ac:dyDescent="0.25">
      <c r="A1354" t="s">
        <v>1389</v>
      </c>
      <c r="B1354" t="s">
        <v>12</v>
      </c>
      <c r="C1354" s="14" t="s">
        <v>36</v>
      </c>
      <c r="D1354" s="1">
        <v>45601</v>
      </c>
      <c r="E1354" s="13">
        <v>45625</v>
      </c>
      <c r="F1354" s="14" t="s">
        <v>14</v>
      </c>
      <c r="G1354">
        <v>117</v>
      </c>
      <c r="H1354">
        <v>611.07000000000005</v>
      </c>
      <c r="I1354">
        <v>594.83000000000004</v>
      </c>
      <c r="J1354">
        <v>4</v>
      </c>
      <c r="K1354" s="14" t="s">
        <v>25</v>
      </c>
      <c r="L1354" s="14">
        <f>IF(OR(Table1[[#This Row],[Order_Status]]="Delivered",Table1[[#This Row],[Delivery_Date]]&lt;&gt;"Not Yet Delivered"),Table1[[#This Row],[Delivery_Date]]-Table1[[#This Row],[Order_Date]],"Not Applicable")</f>
        <v>24</v>
      </c>
      <c r="M1354" s="14">
        <f>Table1[[#This Row],[Unit_Cost]]-Table1[[#This Row],[Negotiated_Cost]]</f>
        <v>16.240000000000009</v>
      </c>
      <c r="N1354" s="18">
        <f>Table1[[#This Row],[Defective_Units]]/Table1[[#This Row],[Quantity]]</f>
        <v>3.4188034188034191E-2</v>
      </c>
      <c r="O1354" s="26">
        <f>(Table1[[#This Row],[Unit_Cost]]-Table1[[#This Row],[Negotiated_Cost]])/Table1[[#This Row],[Unit_Cost]]</f>
        <v>2.6576333316968608E-2</v>
      </c>
    </row>
    <row r="1355" spans="1:15" x14ac:dyDescent="0.25">
      <c r="A1355" t="s">
        <v>1390</v>
      </c>
      <c r="B1355" t="s">
        <v>20</v>
      </c>
      <c r="C1355" s="14" t="s">
        <v>13</v>
      </c>
      <c r="D1355" s="1">
        <v>45024</v>
      </c>
      <c r="E1355" s="13">
        <v>45039</v>
      </c>
      <c r="F1355" s="14" t="s">
        <v>14</v>
      </c>
      <c r="G1355">
        <v>294</v>
      </c>
      <c r="H1355">
        <v>4204.38</v>
      </c>
      <c r="I1355">
        <v>3981.75</v>
      </c>
      <c r="J1355">
        <v>1</v>
      </c>
      <c r="K1355" s="14" t="s">
        <v>15</v>
      </c>
      <c r="L1355" s="14">
        <f>IF(OR(Table1[[#This Row],[Order_Status]]="Delivered",Table1[[#This Row],[Delivery_Date]]&lt;&gt;"Not Yet Delivered"),Table1[[#This Row],[Delivery_Date]]-Table1[[#This Row],[Order_Date]],"Not Applicable")</f>
        <v>15</v>
      </c>
      <c r="M1355" s="14">
        <f>Table1[[#This Row],[Unit_Cost]]-Table1[[#This Row],[Negotiated_Cost]]</f>
        <v>222.63000000000011</v>
      </c>
      <c r="N1355" s="18">
        <f>Table1[[#This Row],[Defective_Units]]/Table1[[#This Row],[Quantity]]</f>
        <v>3.4013605442176869E-3</v>
      </c>
      <c r="O1355" s="26">
        <f>(Table1[[#This Row],[Unit_Cost]]-Table1[[#This Row],[Negotiated_Cost]])/Table1[[#This Row],[Unit_Cost]]</f>
        <v>5.2951921567508192E-2</v>
      </c>
    </row>
    <row r="1356" spans="1:15" x14ac:dyDescent="0.25">
      <c r="A1356" t="s">
        <v>1391</v>
      </c>
      <c r="B1356" t="s">
        <v>27</v>
      </c>
      <c r="C1356" s="14" t="s">
        <v>28</v>
      </c>
      <c r="D1356" s="1">
        <v>45043</v>
      </c>
      <c r="E1356" s="14" t="s">
        <v>2057</v>
      </c>
      <c r="F1356" s="14" t="s">
        <v>33</v>
      </c>
      <c r="G1356">
        <v>97</v>
      </c>
      <c r="H1356">
        <v>50534.99</v>
      </c>
      <c r="I1356">
        <v>48001.06</v>
      </c>
      <c r="J1356">
        <v>2</v>
      </c>
      <c r="K1356" s="14" t="s">
        <v>15</v>
      </c>
      <c r="L1356" s="14" t="str">
        <f>IF(OR(Table1[[#This Row],[Order_Status]]="Delivered",Table1[[#This Row],[Delivery_Date]]&lt;&gt;"Not Yet Delivered"),Table1[[#This Row],[Delivery_Date]]-Table1[[#This Row],[Order_Date]],"Not Applicable")</f>
        <v>Not Applicable</v>
      </c>
      <c r="M1356" s="14">
        <f>Table1[[#This Row],[Unit_Cost]]-Table1[[#This Row],[Negotiated_Cost]]</f>
        <v>2533.9300000000003</v>
      </c>
      <c r="N1356" s="18">
        <f>Table1[[#This Row],[Defective_Units]]/Table1[[#This Row],[Quantity]]</f>
        <v>2.0618556701030927E-2</v>
      </c>
      <c r="O1356" s="26">
        <f>(Table1[[#This Row],[Unit_Cost]]-Table1[[#This Row],[Negotiated_Cost]])/Table1[[#This Row],[Unit_Cost]]</f>
        <v>5.0142089668960069E-2</v>
      </c>
    </row>
    <row r="1357" spans="1:15" x14ac:dyDescent="0.25">
      <c r="A1357" t="s">
        <v>1392</v>
      </c>
      <c r="B1357" t="s">
        <v>12</v>
      </c>
      <c r="C1357" s="14" t="s">
        <v>44</v>
      </c>
      <c r="D1357" s="1">
        <v>45107</v>
      </c>
      <c r="E1357" s="13">
        <v>45135</v>
      </c>
      <c r="F1357" s="14" t="s">
        <v>14</v>
      </c>
      <c r="G1357">
        <v>451</v>
      </c>
      <c r="H1357">
        <v>8596.61</v>
      </c>
      <c r="I1357">
        <v>8504.8700000000008</v>
      </c>
      <c r="J1357">
        <v>2</v>
      </c>
      <c r="K1357" s="14" t="s">
        <v>15</v>
      </c>
      <c r="L1357" s="14">
        <f>IF(OR(Table1[[#This Row],[Order_Status]]="Delivered",Table1[[#This Row],[Delivery_Date]]&lt;&gt;"Not Yet Delivered"),Table1[[#This Row],[Delivery_Date]]-Table1[[#This Row],[Order_Date]],"Not Applicable")</f>
        <v>28</v>
      </c>
      <c r="M1357" s="14">
        <f>Table1[[#This Row],[Unit_Cost]]-Table1[[#This Row],[Negotiated_Cost]]</f>
        <v>91.739999999999782</v>
      </c>
      <c r="N1357" s="18">
        <f>Table1[[#This Row],[Defective_Units]]/Table1[[#This Row],[Quantity]]</f>
        <v>4.434589800443459E-3</v>
      </c>
      <c r="O1357" s="26">
        <f>(Table1[[#This Row],[Unit_Cost]]-Table1[[#This Row],[Negotiated_Cost]])/Table1[[#This Row],[Unit_Cost]]</f>
        <v>1.0671648475387365E-2</v>
      </c>
    </row>
    <row r="1358" spans="1:15" x14ac:dyDescent="0.25">
      <c r="A1358" t="s">
        <v>1393</v>
      </c>
      <c r="B1358" t="s">
        <v>46</v>
      </c>
      <c r="C1358" s="14" t="s">
        <v>36</v>
      </c>
      <c r="D1358" s="1">
        <v>45395</v>
      </c>
      <c r="E1358" s="14" t="s">
        <v>2057</v>
      </c>
      <c r="F1358" s="14" t="s">
        <v>33</v>
      </c>
      <c r="G1358">
        <v>278</v>
      </c>
      <c r="H1358">
        <v>541.19000000000005</v>
      </c>
      <c r="I1358">
        <v>531.73</v>
      </c>
      <c r="J1358">
        <v>2</v>
      </c>
      <c r="K1358" s="14" t="s">
        <v>15</v>
      </c>
      <c r="L1358" s="14" t="str">
        <f>IF(OR(Table1[[#This Row],[Order_Status]]="Delivered",Table1[[#This Row],[Delivery_Date]]&lt;&gt;"Not Yet Delivered"),Table1[[#This Row],[Delivery_Date]]-Table1[[#This Row],[Order_Date]],"Not Applicable")</f>
        <v>Not Applicable</v>
      </c>
      <c r="M1358" s="14">
        <f>Table1[[#This Row],[Unit_Cost]]-Table1[[#This Row],[Negotiated_Cost]]</f>
        <v>9.4600000000000364</v>
      </c>
      <c r="N1358" s="18">
        <f>Table1[[#This Row],[Defective_Units]]/Table1[[#This Row],[Quantity]]</f>
        <v>7.1942446043165471E-3</v>
      </c>
      <c r="O1358" s="26">
        <f>(Table1[[#This Row],[Unit_Cost]]-Table1[[#This Row],[Negotiated_Cost]])/Table1[[#This Row],[Unit_Cost]]</f>
        <v>1.7479997782664194E-2</v>
      </c>
    </row>
    <row r="1359" spans="1:15" x14ac:dyDescent="0.25">
      <c r="A1359" t="s">
        <v>1394</v>
      </c>
      <c r="B1359" t="s">
        <v>12</v>
      </c>
      <c r="C1359" s="14" t="s">
        <v>42</v>
      </c>
      <c r="D1359" s="1">
        <v>45649</v>
      </c>
      <c r="E1359" s="13">
        <v>45651</v>
      </c>
      <c r="F1359" s="14" t="s">
        <v>14</v>
      </c>
      <c r="G1359">
        <v>309</v>
      </c>
      <c r="H1359">
        <v>12308.88</v>
      </c>
      <c r="I1359">
        <v>12297.76</v>
      </c>
      <c r="J1359">
        <v>3</v>
      </c>
      <c r="K1359" s="14" t="s">
        <v>15</v>
      </c>
      <c r="L1359" s="14">
        <f>IF(OR(Table1[[#This Row],[Order_Status]]="Delivered",Table1[[#This Row],[Delivery_Date]]&lt;&gt;"Not Yet Delivered"),Table1[[#This Row],[Delivery_Date]]-Table1[[#This Row],[Order_Date]],"Not Applicable")</f>
        <v>2</v>
      </c>
      <c r="M1359" s="14">
        <f>Table1[[#This Row],[Unit_Cost]]-Table1[[#This Row],[Negotiated_Cost]]</f>
        <v>11.119999999998981</v>
      </c>
      <c r="N1359" s="18">
        <f>Table1[[#This Row],[Defective_Units]]/Table1[[#This Row],[Quantity]]</f>
        <v>9.7087378640776691E-3</v>
      </c>
      <c r="O1359" s="26">
        <f>(Table1[[#This Row],[Unit_Cost]]-Table1[[#This Row],[Negotiated_Cost]])/Table1[[#This Row],[Unit_Cost]]</f>
        <v>9.0341282066272335E-4</v>
      </c>
    </row>
    <row r="1360" spans="1:15" x14ac:dyDescent="0.25">
      <c r="A1360" t="s">
        <v>1395</v>
      </c>
      <c r="B1360" t="s">
        <v>35</v>
      </c>
      <c r="C1360" s="14" t="s">
        <v>13</v>
      </c>
      <c r="D1360" s="1">
        <v>45231</v>
      </c>
      <c r="E1360" s="13">
        <v>45253</v>
      </c>
      <c r="F1360" s="14" t="s">
        <v>14</v>
      </c>
      <c r="G1360">
        <v>200</v>
      </c>
      <c r="H1360">
        <v>3966.49</v>
      </c>
      <c r="I1360">
        <v>3830.67</v>
      </c>
      <c r="J1360">
        <v>2</v>
      </c>
      <c r="K1360" s="14" t="s">
        <v>15</v>
      </c>
      <c r="L1360" s="14">
        <f>IF(OR(Table1[[#This Row],[Order_Status]]="Delivered",Table1[[#This Row],[Delivery_Date]]&lt;&gt;"Not Yet Delivered"),Table1[[#This Row],[Delivery_Date]]-Table1[[#This Row],[Order_Date]],"Not Applicable")</f>
        <v>22</v>
      </c>
      <c r="M1360" s="14">
        <f>Table1[[#This Row],[Unit_Cost]]-Table1[[#This Row],[Negotiated_Cost]]</f>
        <v>135.81999999999971</v>
      </c>
      <c r="N1360" s="18">
        <f>Table1[[#This Row],[Defective_Units]]/Table1[[#This Row],[Quantity]]</f>
        <v>0.01</v>
      </c>
      <c r="O1360" s="26">
        <f>(Table1[[#This Row],[Unit_Cost]]-Table1[[#This Row],[Negotiated_Cost]])/Table1[[#This Row],[Unit_Cost]]</f>
        <v>3.4241861192137055E-2</v>
      </c>
    </row>
    <row r="1361" spans="1:15" x14ac:dyDescent="0.25">
      <c r="A1361" t="s">
        <v>1396</v>
      </c>
      <c r="B1361" t="s">
        <v>27</v>
      </c>
      <c r="C1361" s="14" t="s">
        <v>55</v>
      </c>
      <c r="D1361" s="1">
        <v>45319</v>
      </c>
      <c r="E1361" s="14" t="s">
        <v>2057</v>
      </c>
      <c r="F1361" s="14" t="s">
        <v>33</v>
      </c>
      <c r="G1361">
        <v>456</v>
      </c>
      <c r="H1361">
        <v>15134.8</v>
      </c>
      <c r="I1361">
        <v>14328.24</v>
      </c>
      <c r="J1361">
        <v>2</v>
      </c>
      <c r="K1361" s="14" t="s">
        <v>15</v>
      </c>
      <c r="L1361" s="14" t="str">
        <f>IF(OR(Table1[[#This Row],[Order_Status]]="Delivered",Table1[[#This Row],[Delivery_Date]]&lt;&gt;"Not Yet Delivered"),Table1[[#This Row],[Delivery_Date]]-Table1[[#This Row],[Order_Date]],"Not Applicable")</f>
        <v>Not Applicable</v>
      </c>
      <c r="M1361" s="14">
        <f>Table1[[#This Row],[Unit_Cost]]-Table1[[#This Row],[Negotiated_Cost]]</f>
        <v>806.55999999999949</v>
      </c>
      <c r="N1361" s="18">
        <f>Table1[[#This Row],[Defective_Units]]/Table1[[#This Row],[Quantity]]</f>
        <v>4.3859649122807015E-3</v>
      </c>
      <c r="O1361" s="26">
        <f>(Table1[[#This Row],[Unit_Cost]]-Table1[[#This Row],[Negotiated_Cost]])/Table1[[#This Row],[Unit_Cost]]</f>
        <v>5.3291751460210875E-2</v>
      </c>
    </row>
    <row r="1362" spans="1:15" x14ac:dyDescent="0.25">
      <c r="A1362" t="s">
        <v>1397</v>
      </c>
      <c r="B1362" t="s">
        <v>35</v>
      </c>
      <c r="C1362" s="14" t="s">
        <v>48</v>
      </c>
      <c r="D1362" s="1">
        <v>45071</v>
      </c>
      <c r="E1362" s="13">
        <v>45089</v>
      </c>
      <c r="F1362" s="14" t="s">
        <v>14</v>
      </c>
      <c r="G1362">
        <v>278</v>
      </c>
      <c r="H1362">
        <v>6150.7</v>
      </c>
      <c r="I1362">
        <v>5785.43</v>
      </c>
      <c r="J1362">
        <v>9</v>
      </c>
      <c r="K1362" s="14" t="s">
        <v>15</v>
      </c>
      <c r="L1362" s="14">
        <f>IF(OR(Table1[[#This Row],[Order_Status]]="Delivered",Table1[[#This Row],[Delivery_Date]]&lt;&gt;"Not Yet Delivered"),Table1[[#This Row],[Delivery_Date]]-Table1[[#This Row],[Order_Date]],"Not Applicable")</f>
        <v>18</v>
      </c>
      <c r="M1362" s="14">
        <f>Table1[[#This Row],[Unit_Cost]]-Table1[[#This Row],[Negotiated_Cost]]</f>
        <v>365.26999999999953</v>
      </c>
      <c r="N1362" s="18">
        <f>Table1[[#This Row],[Defective_Units]]/Table1[[#This Row],[Quantity]]</f>
        <v>3.237410071942446E-2</v>
      </c>
      <c r="O1362" s="26">
        <f>(Table1[[#This Row],[Unit_Cost]]-Table1[[#This Row],[Negotiated_Cost]])/Table1[[#This Row],[Unit_Cost]]</f>
        <v>5.9386736469019714E-2</v>
      </c>
    </row>
    <row r="1363" spans="1:15" x14ac:dyDescent="0.25">
      <c r="A1363" t="s">
        <v>1398</v>
      </c>
      <c r="B1363" t="s">
        <v>35</v>
      </c>
      <c r="C1363" s="14" t="s">
        <v>24</v>
      </c>
      <c r="D1363" s="1">
        <v>45165</v>
      </c>
      <c r="E1363" s="14" t="s">
        <v>2057</v>
      </c>
      <c r="F1363" s="14" t="s">
        <v>33</v>
      </c>
      <c r="G1363">
        <v>142</v>
      </c>
      <c r="H1363">
        <v>12042.91</v>
      </c>
      <c r="I1363">
        <v>11351.03</v>
      </c>
      <c r="J1363">
        <v>2</v>
      </c>
      <c r="K1363" s="14" t="s">
        <v>15</v>
      </c>
      <c r="L1363" s="14" t="str">
        <f>IF(OR(Table1[[#This Row],[Order_Status]]="Delivered",Table1[[#This Row],[Delivery_Date]]&lt;&gt;"Not Yet Delivered"),Table1[[#This Row],[Delivery_Date]]-Table1[[#This Row],[Order_Date]],"Not Applicable")</f>
        <v>Not Applicable</v>
      </c>
      <c r="M1363" s="14">
        <f>Table1[[#This Row],[Unit_Cost]]-Table1[[#This Row],[Negotiated_Cost]]</f>
        <v>691.8799999999992</v>
      </c>
      <c r="N1363" s="18">
        <f>Table1[[#This Row],[Defective_Units]]/Table1[[#This Row],[Quantity]]</f>
        <v>1.4084507042253521E-2</v>
      </c>
      <c r="O1363" s="26">
        <f>(Table1[[#This Row],[Unit_Cost]]-Table1[[#This Row],[Negotiated_Cost]])/Table1[[#This Row],[Unit_Cost]]</f>
        <v>5.7451230641099138E-2</v>
      </c>
    </row>
    <row r="1364" spans="1:15" x14ac:dyDescent="0.25">
      <c r="A1364" t="s">
        <v>1399</v>
      </c>
      <c r="B1364" t="s">
        <v>20</v>
      </c>
      <c r="C1364" s="14" t="s">
        <v>48</v>
      </c>
      <c r="D1364" s="1">
        <v>45202</v>
      </c>
      <c r="E1364" s="14" t="s">
        <v>2057</v>
      </c>
      <c r="F1364" s="14" t="s">
        <v>33</v>
      </c>
      <c r="G1364">
        <v>96</v>
      </c>
      <c r="H1364">
        <v>6398.89</v>
      </c>
      <c r="I1364">
        <v>6051.31</v>
      </c>
      <c r="J1364">
        <v>2</v>
      </c>
      <c r="K1364" s="14" t="s">
        <v>15</v>
      </c>
      <c r="L1364" s="14" t="str">
        <f>IF(OR(Table1[[#This Row],[Order_Status]]="Delivered",Table1[[#This Row],[Delivery_Date]]&lt;&gt;"Not Yet Delivered"),Table1[[#This Row],[Delivery_Date]]-Table1[[#This Row],[Order_Date]],"Not Applicable")</f>
        <v>Not Applicable</v>
      </c>
      <c r="M1364" s="14">
        <f>Table1[[#This Row],[Unit_Cost]]-Table1[[#This Row],[Negotiated_Cost]]</f>
        <v>347.57999999999993</v>
      </c>
      <c r="N1364" s="18">
        <f>Table1[[#This Row],[Defective_Units]]/Table1[[#This Row],[Quantity]]</f>
        <v>2.0833333333333332E-2</v>
      </c>
      <c r="O1364" s="26">
        <f>(Table1[[#This Row],[Unit_Cost]]-Table1[[#This Row],[Negotiated_Cost]])/Table1[[#This Row],[Unit_Cost]]</f>
        <v>5.4318795916166694E-2</v>
      </c>
    </row>
    <row r="1365" spans="1:15" x14ac:dyDescent="0.25">
      <c r="A1365" t="s">
        <v>1400</v>
      </c>
      <c r="B1365" t="s">
        <v>20</v>
      </c>
      <c r="C1365" s="14" t="s">
        <v>21</v>
      </c>
      <c r="D1365" s="1">
        <v>45583</v>
      </c>
      <c r="E1365" s="13">
        <v>45587</v>
      </c>
      <c r="F1365" s="14" t="s">
        <v>14</v>
      </c>
      <c r="G1365">
        <v>360</v>
      </c>
      <c r="H1365">
        <v>122</v>
      </c>
      <c r="I1365">
        <v>116.02</v>
      </c>
      <c r="J1365">
        <v>2</v>
      </c>
      <c r="K1365" s="14" t="s">
        <v>15</v>
      </c>
      <c r="L1365" s="14">
        <f>IF(OR(Table1[[#This Row],[Order_Status]]="Delivered",Table1[[#This Row],[Delivery_Date]]&lt;&gt;"Not Yet Delivered"),Table1[[#This Row],[Delivery_Date]]-Table1[[#This Row],[Order_Date]],"Not Applicable")</f>
        <v>4</v>
      </c>
      <c r="M1365" s="14">
        <f>Table1[[#This Row],[Unit_Cost]]-Table1[[#This Row],[Negotiated_Cost]]</f>
        <v>5.980000000000004</v>
      </c>
      <c r="N1365" s="18">
        <f>Table1[[#This Row],[Defective_Units]]/Table1[[#This Row],[Quantity]]</f>
        <v>5.5555555555555558E-3</v>
      </c>
      <c r="O1365" s="26">
        <f>(Table1[[#This Row],[Unit_Cost]]-Table1[[#This Row],[Negotiated_Cost]])/Table1[[#This Row],[Unit_Cost]]</f>
        <v>4.9016393442622985E-2</v>
      </c>
    </row>
    <row r="1366" spans="1:15" x14ac:dyDescent="0.25">
      <c r="A1366" t="s">
        <v>1401</v>
      </c>
      <c r="B1366" t="s">
        <v>20</v>
      </c>
      <c r="C1366" s="14" t="s">
        <v>30</v>
      </c>
      <c r="D1366" s="1">
        <v>45276</v>
      </c>
      <c r="E1366" s="13">
        <v>45281</v>
      </c>
      <c r="F1366" s="14" t="s">
        <v>14</v>
      </c>
      <c r="G1366">
        <v>428</v>
      </c>
      <c r="H1366">
        <v>850.88</v>
      </c>
      <c r="I1366">
        <v>850.53</v>
      </c>
      <c r="J1366">
        <v>3</v>
      </c>
      <c r="K1366" s="14" t="s">
        <v>15</v>
      </c>
      <c r="L1366" s="14">
        <f>IF(OR(Table1[[#This Row],[Order_Status]]="Delivered",Table1[[#This Row],[Delivery_Date]]&lt;&gt;"Not Yet Delivered"),Table1[[#This Row],[Delivery_Date]]-Table1[[#This Row],[Order_Date]],"Not Applicable")</f>
        <v>5</v>
      </c>
      <c r="M1366" s="14">
        <f>Table1[[#This Row],[Unit_Cost]]-Table1[[#This Row],[Negotiated_Cost]]</f>
        <v>0.35000000000002274</v>
      </c>
      <c r="N1366" s="18">
        <f>Table1[[#This Row],[Defective_Units]]/Table1[[#This Row],[Quantity]]</f>
        <v>7.0093457943925233E-3</v>
      </c>
      <c r="O1366" s="26">
        <f>(Table1[[#This Row],[Unit_Cost]]-Table1[[#This Row],[Negotiated_Cost]])/Table1[[#This Row],[Unit_Cost]]</f>
        <v>4.113388491914521E-4</v>
      </c>
    </row>
    <row r="1367" spans="1:15" x14ac:dyDescent="0.25">
      <c r="A1367" t="s">
        <v>1402</v>
      </c>
      <c r="B1367" t="s">
        <v>12</v>
      </c>
      <c r="C1367" s="14" t="s">
        <v>24</v>
      </c>
      <c r="D1367" s="1">
        <v>44996</v>
      </c>
      <c r="E1367" s="13">
        <v>45009</v>
      </c>
      <c r="F1367" s="14" t="s">
        <v>14</v>
      </c>
      <c r="G1367">
        <v>383</v>
      </c>
      <c r="H1367">
        <v>12810.3</v>
      </c>
      <c r="I1367">
        <v>12623.1</v>
      </c>
      <c r="J1367">
        <v>2</v>
      </c>
      <c r="K1367" s="14" t="s">
        <v>15</v>
      </c>
      <c r="L1367" s="14">
        <f>IF(OR(Table1[[#This Row],[Order_Status]]="Delivered",Table1[[#This Row],[Delivery_Date]]&lt;&gt;"Not Yet Delivered"),Table1[[#This Row],[Delivery_Date]]-Table1[[#This Row],[Order_Date]],"Not Applicable")</f>
        <v>13</v>
      </c>
      <c r="M1367" s="14">
        <f>Table1[[#This Row],[Unit_Cost]]-Table1[[#This Row],[Negotiated_Cost]]</f>
        <v>187.19999999999891</v>
      </c>
      <c r="N1367" s="18">
        <f>Table1[[#This Row],[Defective_Units]]/Table1[[#This Row],[Quantity]]</f>
        <v>5.2219321148825066E-3</v>
      </c>
      <c r="O1367" s="26">
        <f>(Table1[[#This Row],[Unit_Cost]]-Table1[[#This Row],[Negotiated_Cost]])/Table1[[#This Row],[Unit_Cost]]</f>
        <v>1.4613240907706996E-2</v>
      </c>
    </row>
    <row r="1368" spans="1:15" x14ac:dyDescent="0.25">
      <c r="A1368" t="s">
        <v>1403</v>
      </c>
      <c r="B1368" t="s">
        <v>40</v>
      </c>
      <c r="C1368" s="14" t="s">
        <v>36</v>
      </c>
      <c r="D1368" s="1">
        <v>45026</v>
      </c>
      <c r="E1368" s="14" t="s">
        <v>2057</v>
      </c>
      <c r="F1368" s="14" t="s">
        <v>33</v>
      </c>
      <c r="G1368">
        <v>321</v>
      </c>
      <c r="H1368">
        <v>624.09</v>
      </c>
      <c r="I1368">
        <v>611.24</v>
      </c>
      <c r="J1368">
        <v>2</v>
      </c>
      <c r="K1368" s="14" t="s">
        <v>15</v>
      </c>
      <c r="L1368" s="14" t="str">
        <f>IF(OR(Table1[[#This Row],[Order_Status]]="Delivered",Table1[[#This Row],[Delivery_Date]]&lt;&gt;"Not Yet Delivered"),Table1[[#This Row],[Delivery_Date]]-Table1[[#This Row],[Order_Date]],"Not Applicable")</f>
        <v>Not Applicable</v>
      </c>
      <c r="M1368" s="14">
        <f>Table1[[#This Row],[Unit_Cost]]-Table1[[#This Row],[Negotiated_Cost]]</f>
        <v>12.850000000000023</v>
      </c>
      <c r="N1368" s="18">
        <f>Table1[[#This Row],[Defective_Units]]/Table1[[#This Row],[Quantity]]</f>
        <v>6.2305295950155761E-3</v>
      </c>
      <c r="O1368" s="26">
        <f>(Table1[[#This Row],[Unit_Cost]]-Table1[[#This Row],[Negotiated_Cost]])/Table1[[#This Row],[Unit_Cost]]</f>
        <v>2.0589979009437778E-2</v>
      </c>
    </row>
    <row r="1369" spans="1:15" x14ac:dyDescent="0.25">
      <c r="A1369" t="s">
        <v>1404</v>
      </c>
      <c r="B1369" t="s">
        <v>40</v>
      </c>
      <c r="C1369" s="14" t="s">
        <v>36</v>
      </c>
      <c r="D1369" s="1">
        <v>45016</v>
      </c>
      <c r="E1369" s="13">
        <v>45024</v>
      </c>
      <c r="F1369" s="14" t="s">
        <v>14</v>
      </c>
      <c r="G1369">
        <v>492</v>
      </c>
      <c r="H1369">
        <v>625.07000000000005</v>
      </c>
      <c r="I1369">
        <v>593.74</v>
      </c>
      <c r="J1369">
        <v>7</v>
      </c>
      <c r="K1369" s="14" t="s">
        <v>25</v>
      </c>
      <c r="L1369" s="14">
        <f>IF(OR(Table1[[#This Row],[Order_Status]]="Delivered",Table1[[#This Row],[Delivery_Date]]&lt;&gt;"Not Yet Delivered"),Table1[[#This Row],[Delivery_Date]]-Table1[[#This Row],[Order_Date]],"Not Applicable")</f>
        <v>8</v>
      </c>
      <c r="M1369" s="14">
        <f>Table1[[#This Row],[Unit_Cost]]-Table1[[#This Row],[Negotiated_Cost]]</f>
        <v>31.330000000000041</v>
      </c>
      <c r="N1369" s="18">
        <f>Table1[[#This Row],[Defective_Units]]/Table1[[#This Row],[Quantity]]</f>
        <v>1.4227642276422764E-2</v>
      </c>
      <c r="O1369" s="26">
        <f>(Table1[[#This Row],[Unit_Cost]]-Table1[[#This Row],[Negotiated_Cost]])/Table1[[#This Row],[Unit_Cost]]</f>
        <v>5.0122386292735278E-2</v>
      </c>
    </row>
    <row r="1370" spans="1:15" x14ac:dyDescent="0.25">
      <c r="A1370" t="s">
        <v>1405</v>
      </c>
      <c r="B1370" t="s">
        <v>40</v>
      </c>
      <c r="C1370" s="14" t="s">
        <v>44</v>
      </c>
      <c r="D1370" s="1">
        <v>45592</v>
      </c>
      <c r="E1370" s="13">
        <v>45611</v>
      </c>
      <c r="F1370" s="14" t="s">
        <v>14</v>
      </c>
      <c r="G1370">
        <v>331</v>
      </c>
      <c r="H1370">
        <v>9277.7000000000007</v>
      </c>
      <c r="I1370">
        <v>9154.34</v>
      </c>
      <c r="J1370">
        <v>1</v>
      </c>
      <c r="K1370" s="14" t="s">
        <v>15</v>
      </c>
      <c r="L1370" s="14">
        <f>IF(OR(Table1[[#This Row],[Order_Status]]="Delivered",Table1[[#This Row],[Delivery_Date]]&lt;&gt;"Not Yet Delivered"),Table1[[#This Row],[Delivery_Date]]-Table1[[#This Row],[Order_Date]],"Not Applicable")</f>
        <v>19</v>
      </c>
      <c r="M1370" s="14">
        <f>Table1[[#This Row],[Unit_Cost]]-Table1[[#This Row],[Negotiated_Cost]]</f>
        <v>123.36000000000058</v>
      </c>
      <c r="N1370" s="18">
        <f>Table1[[#This Row],[Defective_Units]]/Table1[[#This Row],[Quantity]]</f>
        <v>3.0211480362537764E-3</v>
      </c>
      <c r="O1370" s="26">
        <f>(Table1[[#This Row],[Unit_Cost]]-Table1[[#This Row],[Negotiated_Cost]])/Table1[[#This Row],[Unit_Cost]]</f>
        <v>1.3296398891966821E-2</v>
      </c>
    </row>
    <row r="1371" spans="1:15" x14ac:dyDescent="0.25">
      <c r="A1371" t="s">
        <v>1406</v>
      </c>
      <c r="B1371" t="s">
        <v>35</v>
      </c>
      <c r="C1371" s="14" t="s">
        <v>48</v>
      </c>
      <c r="D1371" s="1">
        <v>45501</v>
      </c>
      <c r="E1371" s="13">
        <v>45508</v>
      </c>
      <c r="F1371" s="14" t="s">
        <v>14</v>
      </c>
      <c r="G1371">
        <v>300</v>
      </c>
      <c r="H1371">
        <v>6598.33</v>
      </c>
      <c r="I1371">
        <v>6214.53</v>
      </c>
      <c r="J1371">
        <v>4</v>
      </c>
      <c r="K1371" s="14" t="s">
        <v>15</v>
      </c>
      <c r="L1371" s="14">
        <f>IF(OR(Table1[[#This Row],[Order_Status]]="Delivered",Table1[[#This Row],[Delivery_Date]]&lt;&gt;"Not Yet Delivered"),Table1[[#This Row],[Delivery_Date]]-Table1[[#This Row],[Order_Date]],"Not Applicable")</f>
        <v>7</v>
      </c>
      <c r="M1371" s="14">
        <f>Table1[[#This Row],[Unit_Cost]]-Table1[[#This Row],[Negotiated_Cost]]</f>
        <v>383.80000000000018</v>
      </c>
      <c r="N1371" s="18">
        <f>Table1[[#This Row],[Defective_Units]]/Table1[[#This Row],[Quantity]]</f>
        <v>1.3333333333333334E-2</v>
      </c>
      <c r="O1371" s="26">
        <f>(Table1[[#This Row],[Unit_Cost]]-Table1[[#This Row],[Negotiated_Cost]])/Table1[[#This Row],[Unit_Cost]]</f>
        <v>5.816623297106998E-2</v>
      </c>
    </row>
    <row r="1372" spans="1:15" x14ac:dyDescent="0.25">
      <c r="A1372" t="s">
        <v>1407</v>
      </c>
      <c r="B1372" t="s">
        <v>12</v>
      </c>
      <c r="C1372" s="14" t="s">
        <v>44</v>
      </c>
      <c r="D1372" s="1">
        <v>45389</v>
      </c>
      <c r="E1372" s="13">
        <v>45418</v>
      </c>
      <c r="F1372" s="14" t="s">
        <v>37</v>
      </c>
      <c r="G1372">
        <v>86</v>
      </c>
      <c r="H1372">
        <v>8518.02</v>
      </c>
      <c r="I1372">
        <v>8278.82</v>
      </c>
      <c r="J1372">
        <v>1</v>
      </c>
      <c r="K1372" s="14" t="s">
        <v>15</v>
      </c>
      <c r="L1372" s="14">
        <f>IF(OR(Table1[[#This Row],[Order_Status]]="Delivered",Table1[[#This Row],[Delivery_Date]]&lt;&gt;"Not Yet Delivered"),Table1[[#This Row],[Delivery_Date]]-Table1[[#This Row],[Order_Date]],"Not Applicable")</f>
        <v>29</v>
      </c>
      <c r="M1372" s="14">
        <f>Table1[[#This Row],[Unit_Cost]]-Table1[[#This Row],[Negotiated_Cost]]</f>
        <v>239.20000000000073</v>
      </c>
      <c r="N1372" s="18">
        <f>Table1[[#This Row],[Defective_Units]]/Table1[[#This Row],[Quantity]]</f>
        <v>1.1627906976744186E-2</v>
      </c>
      <c r="O1372" s="26">
        <f>(Table1[[#This Row],[Unit_Cost]]-Table1[[#This Row],[Negotiated_Cost]])/Table1[[#This Row],[Unit_Cost]]</f>
        <v>2.808164338660871E-2</v>
      </c>
    </row>
    <row r="1373" spans="1:15" x14ac:dyDescent="0.25">
      <c r="A1373" t="s">
        <v>1408</v>
      </c>
      <c r="B1373" t="s">
        <v>32</v>
      </c>
      <c r="C1373" s="14" t="s">
        <v>28</v>
      </c>
      <c r="D1373" s="1">
        <v>45470</v>
      </c>
      <c r="E1373" s="13">
        <v>45498</v>
      </c>
      <c r="F1373" s="14" t="s">
        <v>14</v>
      </c>
      <c r="G1373">
        <v>145</v>
      </c>
      <c r="H1373">
        <v>44608.36</v>
      </c>
      <c r="I1373">
        <v>44578.05</v>
      </c>
      <c r="J1373">
        <v>0</v>
      </c>
      <c r="K1373" s="14" t="s">
        <v>15</v>
      </c>
      <c r="L1373" s="14">
        <f>IF(OR(Table1[[#This Row],[Order_Status]]="Delivered",Table1[[#This Row],[Delivery_Date]]&lt;&gt;"Not Yet Delivered"),Table1[[#This Row],[Delivery_Date]]-Table1[[#This Row],[Order_Date]],"Not Applicable")</f>
        <v>28</v>
      </c>
      <c r="M1373" s="14">
        <f>Table1[[#This Row],[Unit_Cost]]-Table1[[#This Row],[Negotiated_Cost]]</f>
        <v>30.309999999997672</v>
      </c>
      <c r="N1373" s="18">
        <f>Table1[[#This Row],[Defective_Units]]/Table1[[#This Row],[Quantity]]</f>
        <v>0</v>
      </c>
      <c r="O1373" s="26">
        <f>(Table1[[#This Row],[Unit_Cost]]-Table1[[#This Row],[Negotiated_Cost]])/Table1[[#This Row],[Unit_Cost]]</f>
        <v>6.7946905019592005E-4</v>
      </c>
    </row>
    <row r="1374" spans="1:15" x14ac:dyDescent="0.25">
      <c r="A1374" t="s">
        <v>1409</v>
      </c>
      <c r="B1374" t="s">
        <v>35</v>
      </c>
      <c r="C1374" s="14" t="s">
        <v>30</v>
      </c>
      <c r="D1374" s="1">
        <v>44993</v>
      </c>
      <c r="E1374" s="13">
        <v>45019</v>
      </c>
      <c r="F1374" s="14" t="s">
        <v>14</v>
      </c>
      <c r="G1374">
        <v>437</v>
      </c>
      <c r="H1374">
        <v>881.85</v>
      </c>
      <c r="I1374">
        <v>861.98</v>
      </c>
      <c r="J1374">
        <v>3</v>
      </c>
      <c r="K1374" s="14" t="s">
        <v>15</v>
      </c>
      <c r="L1374" s="14">
        <f>IF(OR(Table1[[#This Row],[Order_Status]]="Delivered",Table1[[#This Row],[Delivery_Date]]&lt;&gt;"Not Yet Delivered"),Table1[[#This Row],[Delivery_Date]]-Table1[[#This Row],[Order_Date]],"Not Applicable")</f>
        <v>26</v>
      </c>
      <c r="M1374" s="14">
        <f>Table1[[#This Row],[Unit_Cost]]-Table1[[#This Row],[Negotiated_Cost]]</f>
        <v>19.870000000000005</v>
      </c>
      <c r="N1374" s="18">
        <f>Table1[[#This Row],[Defective_Units]]/Table1[[#This Row],[Quantity]]</f>
        <v>6.8649885583524023E-3</v>
      </c>
      <c r="O1374" s="26">
        <f>(Table1[[#This Row],[Unit_Cost]]-Table1[[#This Row],[Negotiated_Cost]])/Table1[[#This Row],[Unit_Cost]]</f>
        <v>2.2532176674037539E-2</v>
      </c>
    </row>
    <row r="1375" spans="1:15" x14ac:dyDescent="0.25">
      <c r="A1375" t="s">
        <v>1410</v>
      </c>
      <c r="B1375" t="s">
        <v>20</v>
      </c>
      <c r="C1375" s="14" t="s">
        <v>28</v>
      </c>
      <c r="D1375" s="1">
        <v>45112</v>
      </c>
      <c r="E1375" s="13">
        <v>45120</v>
      </c>
      <c r="F1375" s="14" t="s">
        <v>14</v>
      </c>
      <c r="G1375">
        <v>173</v>
      </c>
      <c r="H1375">
        <v>44513.39</v>
      </c>
      <c r="I1375">
        <v>42295.88</v>
      </c>
      <c r="J1375">
        <v>6</v>
      </c>
      <c r="K1375" s="14" t="s">
        <v>25</v>
      </c>
      <c r="L1375" s="14">
        <f>IF(OR(Table1[[#This Row],[Order_Status]]="Delivered",Table1[[#This Row],[Delivery_Date]]&lt;&gt;"Not Yet Delivered"),Table1[[#This Row],[Delivery_Date]]-Table1[[#This Row],[Order_Date]],"Not Applicable")</f>
        <v>8</v>
      </c>
      <c r="M1375" s="14">
        <f>Table1[[#This Row],[Unit_Cost]]-Table1[[#This Row],[Negotiated_Cost]]</f>
        <v>2217.510000000002</v>
      </c>
      <c r="N1375" s="18">
        <f>Table1[[#This Row],[Defective_Units]]/Table1[[#This Row],[Quantity]]</f>
        <v>3.4682080924855488E-2</v>
      </c>
      <c r="O1375" s="26">
        <f>(Table1[[#This Row],[Unit_Cost]]-Table1[[#This Row],[Negotiated_Cost]])/Table1[[#This Row],[Unit_Cost]]</f>
        <v>4.9816695605524583E-2</v>
      </c>
    </row>
    <row r="1376" spans="1:15" x14ac:dyDescent="0.25">
      <c r="A1376" t="s">
        <v>1411</v>
      </c>
      <c r="B1376" t="s">
        <v>32</v>
      </c>
      <c r="C1376" s="14" t="s">
        <v>50</v>
      </c>
      <c r="D1376" s="1">
        <v>45032</v>
      </c>
      <c r="E1376" s="13">
        <v>45036</v>
      </c>
      <c r="F1376" s="14" t="s">
        <v>14</v>
      </c>
      <c r="G1376">
        <v>294</v>
      </c>
      <c r="H1376">
        <v>48412.38</v>
      </c>
      <c r="I1376">
        <v>46524.41</v>
      </c>
      <c r="J1376">
        <v>2</v>
      </c>
      <c r="K1376" s="14" t="s">
        <v>15</v>
      </c>
      <c r="L1376" s="14">
        <f>IF(OR(Table1[[#This Row],[Order_Status]]="Delivered",Table1[[#This Row],[Delivery_Date]]&lt;&gt;"Not Yet Delivered"),Table1[[#This Row],[Delivery_Date]]-Table1[[#This Row],[Order_Date]],"Not Applicable")</f>
        <v>4</v>
      </c>
      <c r="M1376" s="14">
        <f>Table1[[#This Row],[Unit_Cost]]-Table1[[#This Row],[Negotiated_Cost]]</f>
        <v>1887.9699999999939</v>
      </c>
      <c r="N1376" s="18">
        <f>Table1[[#This Row],[Defective_Units]]/Table1[[#This Row],[Quantity]]</f>
        <v>6.8027210884353739E-3</v>
      </c>
      <c r="O1376" s="26">
        <f>(Table1[[#This Row],[Unit_Cost]]-Table1[[#This Row],[Negotiated_Cost]])/Table1[[#This Row],[Unit_Cost]]</f>
        <v>3.8997669604344878E-2</v>
      </c>
    </row>
    <row r="1377" spans="1:15" x14ac:dyDescent="0.25">
      <c r="A1377" t="s">
        <v>1412</v>
      </c>
      <c r="B1377" t="s">
        <v>12</v>
      </c>
      <c r="C1377" s="14" t="s">
        <v>24</v>
      </c>
      <c r="D1377" s="1">
        <v>45442</v>
      </c>
      <c r="E1377" s="13">
        <v>45467</v>
      </c>
      <c r="F1377" s="14" t="s">
        <v>14</v>
      </c>
      <c r="G1377">
        <v>495</v>
      </c>
      <c r="H1377">
        <v>13427.11</v>
      </c>
      <c r="I1377">
        <v>12719.46</v>
      </c>
      <c r="J1377">
        <v>3</v>
      </c>
      <c r="K1377" s="14" t="s">
        <v>15</v>
      </c>
      <c r="L1377" s="14">
        <f>IF(OR(Table1[[#This Row],[Order_Status]]="Delivered",Table1[[#This Row],[Delivery_Date]]&lt;&gt;"Not Yet Delivered"),Table1[[#This Row],[Delivery_Date]]-Table1[[#This Row],[Order_Date]],"Not Applicable")</f>
        <v>25</v>
      </c>
      <c r="M1377" s="14">
        <f>Table1[[#This Row],[Unit_Cost]]-Table1[[#This Row],[Negotiated_Cost]]</f>
        <v>707.65000000000146</v>
      </c>
      <c r="N1377" s="18">
        <f>Table1[[#This Row],[Defective_Units]]/Table1[[#This Row],[Quantity]]</f>
        <v>6.0606060606060606E-3</v>
      </c>
      <c r="O1377" s="26">
        <f>(Table1[[#This Row],[Unit_Cost]]-Table1[[#This Row],[Negotiated_Cost]])/Table1[[#This Row],[Unit_Cost]]</f>
        <v>5.2703076090089486E-2</v>
      </c>
    </row>
    <row r="1378" spans="1:15" x14ac:dyDescent="0.25">
      <c r="A1378" t="s">
        <v>1413</v>
      </c>
      <c r="B1378" t="s">
        <v>17</v>
      </c>
      <c r="C1378" s="14" t="s">
        <v>24</v>
      </c>
      <c r="D1378" s="1">
        <v>45201</v>
      </c>
      <c r="E1378" s="13">
        <v>45226</v>
      </c>
      <c r="F1378" s="14" t="s">
        <v>14</v>
      </c>
      <c r="G1378">
        <v>80</v>
      </c>
      <c r="H1378">
        <v>12075</v>
      </c>
      <c r="I1378">
        <v>11515.33</v>
      </c>
      <c r="J1378">
        <v>2</v>
      </c>
      <c r="K1378" s="14" t="s">
        <v>15</v>
      </c>
      <c r="L1378" s="14">
        <f>IF(OR(Table1[[#This Row],[Order_Status]]="Delivered",Table1[[#This Row],[Delivery_Date]]&lt;&gt;"Not Yet Delivered"),Table1[[#This Row],[Delivery_Date]]-Table1[[#This Row],[Order_Date]],"Not Applicable")</f>
        <v>25</v>
      </c>
      <c r="M1378" s="14">
        <f>Table1[[#This Row],[Unit_Cost]]-Table1[[#This Row],[Negotiated_Cost]]</f>
        <v>559.67000000000007</v>
      </c>
      <c r="N1378" s="18">
        <f>Table1[[#This Row],[Defective_Units]]/Table1[[#This Row],[Quantity]]</f>
        <v>2.5000000000000001E-2</v>
      </c>
      <c r="O1378" s="26">
        <f>(Table1[[#This Row],[Unit_Cost]]-Table1[[#This Row],[Negotiated_Cost]])/Table1[[#This Row],[Unit_Cost]]</f>
        <v>4.6349482401656324E-2</v>
      </c>
    </row>
    <row r="1379" spans="1:15" x14ac:dyDescent="0.25">
      <c r="A1379" t="s">
        <v>1414</v>
      </c>
      <c r="B1379" t="s">
        <v>27</v>
      </c>
      <c r="C1379" s="14" t="s">
        <v>44</v>
      </c>
      <c r="D1379" s="1">
        <v>45034</v>
      </c>
      <c r="E1379" s="13">
        <v>45047</v>
      </c>
      <c r="F1379" s="14" t="s">
        <v>14</v>
      </c>
      <c r="G1379">
        <v>191</v>
      </c>
      <c r="H1379">
        <v>9059.17</v>
      </c>
      <c r="I1379">
        <v>9057.9699999999993</v>
      </c>
      <c r="J1379">
        <v>4</v>
      </c>
      <c r="K1379" s="14" t="s">
        <v>15</v>
      </c>
      <c r="L1379" s="14">
        <f>IF(OR(Table1[[#This Row],[Order_Status]]="Delivered",Table1[[#This Row],[Delivery_Date]]&lt;&gt;"Not Yet Delivered"),Table1[[#This Row],[Delivery_Date]]-Table1[[#This Row],[Order_Date]],"Not Applicable")</f>
        <v>13</v>
      </c>
      <c r="M1379" s="14">
        <f>Table1[[#This Row],[Unit_Cost]]-Table1[[#This Row],[Negotiated_Cost]]</f>
        <v>1.2000000000007276</v>
      </c>
      <c r="N1379" s="18">
        <f>Table1[[#This Row],[Defective_Units]]/Table1[[#This Row],[Quantity]]</f>
        <v>2.0942408376963352E-2</v>
      </c>
      <c r="O1379" s="26">
        <f>(Table1[[#This Row],[Unit_Cost]]-Table1[[#This Row],[Negotiated_Cost]])/Table1[[#This Row],[Unit_Cost]]</f>
        <v>1.3246246620835325E-4</v>
      </c>
    </row>
    <row r="1380" spans="1:15" x14ac:dyDescent="0.25">
      <c r="A1380" t="s">
        <v>1415</v>
      </c>
      <c r="B1380" t="s">
        <v>32</v>
      </c>
      <c r="C1380" s="14" t="s">
        <v>30</v>
      </c>
      <c r="D1380" s="1">
        <v>45323</v>
      </c>
      <c r="E1380" s="13">
        <v>45339</v>
      </c>
      <c r="F1380" s="14" t="s">
        <v>14</v>
      </c>
      <c r="G1380">
        <v>430</v>
      </c>
      <c r="H1380">
        <v>823.08</v>
      </c>
      <c r="I1380">
        <v>789.67</v>
      </c>
      <c r="J1380">
        <v>3</v>
      </c>
      <c r="K1380" s="14" t="s">
        <v>15</v>
      </c>
      <c r="L1380" s="14">
        <f>IF(OR(Table1[[#This Row],[Order_Status]]="Delivered",Table1[[#This Row],[Delivery_Date]]&lt;&gt;"Not Yet Delivered"),Table1[[#This Row],[Delivery_Date]]-Table1[[#This Row],[Order_Date]],"Not Applicable")</f>
        <v>16</v>
      </c>
      <c r="M1380" s="14">
        <f>Table1[[#This Row],[Unit_Cost]]-Table1[[#This Row],[Negotiated_Cost]]</f>
        <v>33.410000000000082</v>
      </c>
      <c r="N1380" s="18">
        <f>Table1[[#This Row],[Defective_Units]]/Table1[[#This Row],[Quantity]]</f>
        <v>6.9767441860465115E-3</v>
      </c>
      <c r="O1380" s="26">
        <f>(Table1[[#This Row],[Unit_Cost]]-Table1[[#This Row],[Negotiated_Cost]])/Table1[[#This Row],[Unit_Cost]]</f>
        <v>4.0591437041356954E-2</v>
      </c>
    </row>
    <row r="1381" spans="1:15" x14ac:dyDescent="0.25">
      <c r="A1381" t="s">
        <v>1416</v>
      </c>
      <c r="B1381" t="s">
        <v>35</v>
      </c>
      <c r="C1381" s="14" t="s">
        <v>18</v>
      </c>
      <c r="D1381" s="1">
        <v>45445</v>
      </c>
      <c r="E1381" s="13">
        <v>45450</v>
      </c>
      <c r="F1381" s="14" t="s">
        <v>14</v>
      </c>
      <c r="G1381">
        <v>273</v>
      </c>
      <c r="H1381">
        <v>5130.1400000000003</v>
      </c>
      <c r="I1381">
        <v>4879.46</v>
      </c>
      <c r="J1381">
        <v>6</v>
      </c>
      <c r="K1381" s="14" t="s">
        <v>15</v>
      </c>
      <c r="L1381" s="14">
        <f>IF(OR(Table1[[#This Row],[Order_Status]]="Delivered",Table1[[#This Row],[Delivery_Date]]&lt;&gt;"Not Yet Delivered"),Table1[[#This Row],[Delivery_Date]]-Table1[[#This Row],[Order_Date]],"Not Applicable")</f>
        <v>5</v>
      </c>
      <c r="M1381" s="14">
        <f>Table1[[#This Row],[Unit_Cost]]-Table1[[#This Row],[Negotiated_Cost]]</f>
        <v>250.68000000000029</v>
      </c>
      <c r="N1381" s="18">
        <f>Table1[[#This Row],[Defective_Units]]/Table1[[#This Row],[Quantity]]</f>
        <v>2.197802197802198E-2</v>
      </c>
      <c r="O1381" s="26">
        <f>(Table1[[#This Row],[Unit_Cost]]-Table1[[#This Row],[Negotiated_Cost]])/Table1[[#This Row],[Unit_Cost]]</f>
        <v>4.886416355109223E-2</v>
      </c>
    </row>
    <row r="1382" spans="1:15" x14ac:dyDescent="0.25">
      <c r="A1382" t="s">
        <v>1417</v>
      </c>
      <c r="B1382" t="s">
        <v>35</v>
      </c>
      <c r="C1382" s="14" t="s">
        <v>21</v>
      </c>
      <c r="D1382" s="1">
        <v>45529</v>
      </c>
      <c r="E1382" s="13">
        <v>45550</v>
      </c>
      <c r="F1382" s="14" t="s">
        <v>37</v>
      </c>
      <c r="G1382">
        <v>485</v>
      </c>
      <c r="H1382">
        <v>116.56</v>
      </c>
      <c r="I1382">
        <v>114.82</v>
      </c>
      <c r="J1382">
        <v>2</v>
      </c>
      <c r="K1382" s="14" t="s">
        <v>15</v>
      </c>
      <c r="L1382" s="14">
        <f>IF(OR(Table1[[#This Row],[Order_Status]]="Delivered",Table1[[#This Row],[Delivery_Date]]&lt;&gt;"Not Yet Delivered"),Table1[[#This Row],[Delivery_Date]]-Table1[[#This Row],[Order_Date]],"Not Applicable")</f>
        <v>21</v>
      </c>
      <c r="M1382" s="14">
        <f>Table1[[#This Row],[Unit_Cost]]-Table1[[#This Row],[Negotiated_Cost]]</f>
        <v>1.7400000000000091</v>
      </c>
      <c r="N1382" s="18">
        <f>Table1[[#This Row],[Defective_Units]]/Table1[[#This Row],[Quantity]]</f>
        <v>4.1237113402061857E-3</v>
      </c>
      <c r="O1382" s="26">
        <f>(Table1[[#This Row],[Unit_Cost]]-Table1[[#This Row],[Negotiated_Cost]])/Table1[[#This Row],[Unit_Cost]]</f>
        <v>1.4927934111187448E-2</v>
      </c>
    </row>
    <row r="1383" spans="1:15" x14ac:dyDescent="0.25">
      <c r="A1383" t="s">
        <v>1418</v>
      </c>
      <c r="B1383" t="s">
        <v>32</v>
      </c>
      <c r="C1383" s="14" t="s">
        <v>36</v>
      </c>
      <c r="D1383" s="1">
        <v>45392</v>
      </c>
      <c r="E1383" s="14" t="s">
        <v>2057</v>
      </c>
      <c r="F1383" s="14" t="s">
        <v>33</v>
      </c>
      <c r="G1383">
        <v>308</v>
      </c>
      <c r="H1383">
        <v>483.63</v>
      </c>
      <c r="I1383">
        <v>456.04</v>
      </c>
      <c r="J1383">
        <v>2</v>
      </c>
      <c r="K1383" s="14" t="s">
        <v>15</v>
      </c>
      <c r="L1383" s="14" t="str">
        <f>IF(OR(Table1[[#This Row],[Order_Status]]="Delivered",Table1[[#This Row],[Delivery_Date]]&lt;&gt;"Not Yet Delivered"),Table1[[#This Row],[Delivery_Date]]-Table1[[#This Row],[Order_Date]],"Not Applicable")</f>
        <v>Not Applicable</v>
      </c>
      <c r="M1383" s="14">
        <f>Table1[[#This Row],[Unit_Cost]]-Table1[[#This Row],[Negotiated_Cost]]</f>
        <v>27.589999999999975</v>
      </c>
      <c r="N1383" s="18">
        <f>Table1[[#This Row],[Defective_Units]]/Table1[[#This Row],[Quantity]]</f>
        <v>6.4935064935064939E-3</v>
      </c>
      <c r="O1383" s="26">
        <f>(Table1[[#This Row],[Unit_Cost]]-Table1[[#This Row],[Negotiated_Cost]])/Table1[[#This Row],[Unit_Cost]]</f>
        <v>5.7047743109401763E-2</v>
      </c>
    </row>
    <row r="1384" spans="1:15" x14ac:dyDescent="0.25">
      <c r="A1384" t="s">
        <v>1419</v>
      </c>
      <c r="B1384" t="s">
        <v>46</v>
      </c>
      <c r="C1384" s="14" t="s">
        <v>55</v>
      </c>
      <c r="D1384" s="1">
        <v>45576</v>
      </c>
      <c r="E1384" s="14" t="s">
        <v>2057</v>
      </c>
      <c r="F1384" s="14" t="s">
        <v>22</v>
      </c>
      <c r="G1384">
        <v>312</v>
      </c>
      <c r="H1384">
        <v>14708.08</v>
      </c>
      <c r="I1384">
        <v>14143.41</v>
      </c>
      <c r="J1384">
        <v>2</v>
      </c>
      <c r="K1384" s="14" t="s">
        <v>15</v>
      </c>
      <c r="L1384" s="14" t="str">
        <f>IF(OR(Table1[[#This Row],[Order_Status]]="Delivered",Table1[[#This Row],[Delivery_Date]]&lt;&gt;"Not Yet Delivered"),Table1[[#This Row],[Delivery_Date]]-Table1[[#This Row],[Order_Date]],"Not Applicable")</f>
        <v>Not Applicable</v>
      </c>
      <c r="M1384" s="14">
        <f>Table1[[#This Row],[Unit_Cost]]-Table1[[#This Row],[Negotiated_Cost]]</f>
        <v>564.67000000000007</v>
      </c>
      <c r="N1384" s="18">
        <f>Table1[[#This Row],[Defective_Units]]/Table1[[#This Row],[Quantity]]</f>
        <v>6.41025641025641E-3</v>
      </c>
      <c r="O1384" s="26">
        <f>(Table1[[#This Row],[Unit_Cost]]-Table1[[#This Row],[Negotiated_Cost]])/Table1[[#This Row],[Unit_Cost]]</f>
        <v>3.8391822726011833E-2</v>
      </c>
    </row>
    <row r="1385" spans="1:15" x14ac:dyDescent="0.25">
      <c r="A1385" t="s">
        <v>1420</v>
      </c>
      <c r="B1385" t="s">
        <v>20</v>
      </c>
      <c r="C1385" s="14" t="s">
        <v>13</v>
      </c>
      <c r="D1385" s="1">
        <v>44994</v>
      </c>
      <c r="E1385" s="13">
        <v>45007</v>
      </c>
      <c r="F1385" s="14" t="s">
        <v>14</v>
      </c>
      <c r="G1385">
        <v>191</v>
      </c>
      <c r="H1385">
        <v>4055.28</v>
      </c>
      <c r="I1385">
        <v>3922.19</v>
      </c>
      <c r="J1385">
        <v>2</v>
      </c>
      <c r="K1385" s="14" t="s">
        <v>15</v>
      </c>
      <c r="L1385" s="14">
        <f>IF(OR(Table1[[#This Row],[Order_Status]]="Delivered",Table1[[#This Row],[Delivery_Date]]&lt;&gt;"Not Yet Delivered"),Table1[[#This Row],[Delivery_Date]]-Table1[[#This Row],[Order_Date]],"Not Applicable")</f>
        <v>13</v>
      </c>
      <c r="M1385" s="14">
        <f>Table1[[#This Row],[Unit_Cost]]-Table1[[#This Row],[Negotiated_Cost]]</f>
        <v>133.09000000000015</v>
      </c>
      <c r="N1385" s="18">
        <f>Table1[[#This Row],[Defective_Units]]/Table1[[#This Row],[Quantity]]</f>
        <v>1.0471204188481676E-2</v>
      </c>
      <c r="O1385" s="26">
        <f>(Table1[[#This Row],[Unit_Cost]]-Table1[[#This Row],[Negotiated_Cost]])/Table1[[#This Row],[Unit_Cost]]</f>
        <v>3.2818942218539815E-2</v>
      </c>
    </row>
    <row r="1386" spans="1:15" x14ac:dyDescent="0.25">
      <c r="A1386" t="s">
        <v>1421</v>
      </c>
      <c r="B1386" t="s">
        <v>40</v>
      </c>
      <c r="C1386" s="14" t="s">
        <v>28</v>
      </c>
      <c r="D1386" s="1">
        <v>45373</v>
      </c>
      <c r="E1386" s="13">
        <v>45386</v>
      </c>
      <c r="F1386" s="14" t="s">
        <v>14</v>
      </c>
      <c r="G1386">
        <v>29</v>
      </c>
      <c r="H1386">
        <v>52602.63</v>
      </c>
      <c r="I1386">
        <v>49945.56</v>
      </c>
      <c r="J1386">
        <v>0</v>
      </c>
      <c r="K1386" s="14" t="s">
        <v>15</v>
      </c>
      <c r="L1386" s="14">
        <f>IF(OR(Table1[[#This Row],[Order_Status]]="Delivered",Table1[[#This Row],[Delivery_Date]]&lt;&gt;"Not Yet Delivered"),Table1[[#This Row],[Delivery_Date]]-Table1[[#This Row],[Order_Date]],"Not Applicable")</f>
        <v>13</v>
      </c>
      <c r="M1386" s="14">
        <f>Table1[[#This Row],[Unit_Cost]]-Table1[[#This Row],[Negotiated_Cost]]</f>
        <v>2657.0699999999997</v>
      </c>
      <c r="N1386" s="18">
        <f>Table1[[#This Row],[Defective_Units]]/Table1[[#This Row],[Quantity]]</f>
        <v>0</v>
      </c>
      <c r="O1386" s="26">
        <f>(Table1[[#This Row],[Unit_Cost]]-Table1[[#This Row],[Negotiated_Cost]])/Table1[[#This Row],[Unit_Cost]]</f>
        <v>5.0512113177611076E-2</v>
      </c>
    </row>
    <row r="1387" spans="1:15" x14ac:dyDescent="0.25">
      <c r="A1387" t="s">
        <v>1422</v>
      </c>
      <c r="B1387" t="s">
        <v>46</v>
      </c>
      <c r="C1387" s="14" t="s">
        <v>21</v>
      </c>
      <c r="D1387" s="1">
        <v>44998</v>
      </c>
      <c r="E1387" s="13">
        <v>45020</v>
      </c>
      <c r="F1387" s="14" t="s">
        <v>14</v>
      </c>
      <c r="G1387">
        <v>227</v>
      </c>
      <c r="H1387">
        <v>119.26</v>
      </c>
      <c r="I1387">
        <v>112.87</v>
      </c>
      <c r="J1387">
        <v>6</v>
      </c>
      <c r="K1387" s="14" t="s">
        <v>15</v>
      </c>
      <c r="L1387" s="14">
        <f>IF(OR(Table1[[#This Row],[Order_Status]]="Delivered",Table1[[#This Row],[Delivery_Date]]&lt;&gt;"Not Yet Delivered"),Table1[[#This Row],[Delivery_Date]]-Table1[[#This Row],[Order_Date]],"Not Applicable")</f>
        <v>22</v>
      </c>
      <c r="M1387" s="14">
        <f>Table1[[#This Row],[Unit_Cost]]-Table1[[#This Row],[Negotiated_Cost]]</f>
        <v>6.3900000000000006</v>
      </c>
      <c r="N1387" s="18">
        <f>Table1[[#This Row],[Defective_Units]]/Table1[[#This Row],[Quantity]]</f>
        <v>2.643171806167401E-2</v>
      </c>
      <c r="O1387" s="26">
        <f>(Table1[[#This Row],[Unit_Cost]]-Table1[[#This Row],[Negotiated_Cost]])/Table1[[#This Row],[Unit_Cost]]</f>
        <v>5.3580412544021468E-2</v>
      </c>
    </row>
    <row r="1388" spans="1:15" x14ac:dyDescent="0.25">
      <c r="A1388" t="s">
        <v>1423</v>
      </c>
      <c r="B1388" t="s">
        <v>12</v>
      </c>
      <c r="C1388" s="14" t="s">
        <v>21</v>
      </c>
      <c r="D1388" s="1">
        <v>45571</v>
      </c>
      <c r="E1388" s="13">
        <v>45585</v>
      </c>
      <c r="F1388" s="14" t="s">
        <v>14</v>
      </c>
      <c r="G1388">
        <v>399</v>
      </c>
      <c r="H1388">
        <v>120.79</v>
      </c>
      <c r="I1388">
        <v>120.5</v>
      </c>
      <c r="J1388">
        <v>2</v>
      </c>
      <c r="K1388" s="14" t="s">
        <v>25</v>
      </c>
      <c r="L1388" s="14">
        <f>IF(OR(Table1[[#This Row],[Order_Status]]="Delivered",Table1[[#This Row],[Delivery_Date]]&lt;&gt;"Not Yet Delivered"),Table1[[#This Row],[Delivery_Date]]-Table1[[#This Row],[Order_Date]],"Not Applicable")</f>
        <v>14</v>
      </c>
      <c r="M1388" s="14">
        <f>Table1[[#This Row],[Unit_Cost]]-Table1[[#This Row],[Negotiated_Cost]]</f>
        <v>0.29000000000000625</v>
      </c>
      <c r="N1388" s="18">
        <f>Table1[[#This Row],[Defective_Units]]/Table1[[#This Row],[Quantity]]</f>
        <v>5.0125313283208017E-3</v>
      </c>
      <c r="O1388" s="26">
        <f>(Table1[[#This Row],[Unit_Cost]]-Table1[[#This Row],[Negotiated_Cost]])/Table1[[#This Row],[Unit_Cost]]</f>
        <v>2.4008609984270735E-3</v>
      </c>
    </row>
    <row r="1389" spans="1:15" x14ac:dyDescent="0.25">
      <c r="A1389" t="s">
        <v>1424</v>
      </c>
      <c r="B1389" t="s">
        <v>32</v>
      </c>
      <c r="C1389" s="14" t="s">
        <v>28</v>
      </c>
      <c r="D1389" s="1">
        <v>45460</v>
      </c>
      <c r="E1389" s="13">
        <v>45464</v>
      </c>
      <c r="F1389" s="14" t="s">
        <v>14</v>
      </c>
      <c r="G1389">
        <v>413</v>
      </c>
      <c r="H1389">
        <v>44377.120000000003</v>
      </c>
      <c r="I1389">
        <v>44090.46</v>
      </c>
      <c r="J1389">
        <v>7</v>
      </c>
      <c r="K1389" s="14" t="s">
        <v>15</v>
      </c>
      <c r="L1389" s="14">
        <f>IF(OR(Table1[[#This Row],[Order_Status]]="Delivered",Table1[[#This Row],[Delivery_Date]]&lt;&gt;"Not Yet Delivered"),Table1[[#This Row],[Delivery_Date]]-Table1[[#This Row],[Order_Date]],"Not Applicable")</f>
        <v>4</v>
      </c>
      <c r="M1389" s="14">
        <f>Table1[[#This Row],[Unit_Cost]]-Table1[[#This Row],[Negotiated_Cost]]</f>
        <v>286.66000000000349</v>
      </c>
      <c r="N1389" s="18">
        <f>Table1[[#This Row],[Defective_Units]]/Table1[[#This Row],[Quantity]]</f>
        <v>1.6949152542372881E-2</v>
      </c>
      <c r="O1389" s="26">
        <f>(Table1[[#This Row],[Unit_Cost]]-Table1[[#This Row],[Negotiated_Cost]])/Table1[[#This Row],[Unit_Cost]]</f>
        <v>6.4596350551816674E-3</v>
      </c>
    </row>
    <row r="1390" spans="1:15" x14ac:dyDescent="0.25">
      <c r="A1390" t="s">
        <v>1425</v>
      </c>
      <c r="B1390" t="s">
        <v>27</v>
      </c>
      <c r="C1390" s="14" t="s">
        <v>44</v>
      </c>
      <c r="D1390" s="1">
        <v>45170</v>
      </c>
      <c r="E1390" s="13">
        <v>45172</v>
      </c>
      <c r="F1390" s="14" t="s">
        <v>14</v>
      </c>
      <c r="G1390">
        <v>73</v>
      </c>
      <c r="H1390">
        <v>8973.35</v>
      </c>
      <c r="I1390">
        <v>8497.02</v>
      </c>
      <c r="J1390">
        <v>2</v>
      </c>
      <c r="K1390" s="14" t="s">
        <v>15</v>
      </c>
      <c r="L1390" s="14">
        <f>IF(OR(Table1[[#This Row],[Order_Status]]="Delivered",Table1[[#This Row],[Delivery_Date]]&lt;&gt;"Not Yet Delivered"),Table1[[#This Row],[Delivery_Date]]-Table1[[#This Row],[Order_Date]],"Not Applicable")</f>
        <v>2</v>
      </c>
      <c r="M1390" s="14">
        <f>Table1[[#This Row],[Unit_Cost]]-Table1[[#This Row],[Negotiated_Cost]]</f>
        <v>476.32999999999993</v>
      </c>
      <c r="N1390" s="18">
        <f>Table1[[#This Row],[Defective_Units]]/Table1[[#This Row],[Quantity]]</f>
        <v>2.7397260273972601E-2</v>
      </c>
      <c r="O1390" s="26">
        <f>(Table1[[#This Row],[Unit_Cost]]-Table1[[#This Row],[Negotiated_Cost]])/Table1[[#This Row],[Unit_Cost]]</f>
        <v>5.3082739445134752E-2</v>
      </c>
    </row>
    <row r="1391" spans="1:15" x14ac:dyDescent="0.25">
      <c r="A1391" t="s">
        <v>1426</v>
      </c>
      <c r="B1391" t="s">
        <v>20</v>
      </c>
      <c r="C1391" s="14" t="s">
        <v>42</v>
      </c>
      <c r="D1391" s="1">
        <v>45333</v>
      </c>
      <c r="E1391" s="13">
        <v>45340</v>
      </c>
      <c r="F1391" s="14" t="s">
        <v>14</v>
      </c>
      <c r="G1391">
        <v>111</v>
      </c>
      <c r="H1391">
        <v>12086.72</v>
      </c>
      <c r="I1391">
        <v>12025.51</v>
      </c>
      <c r="J1391">
        <v>3</v>
      </c>
      <c r="K1391" s="14" t="s">
        <v>25</v>
      </c>
      <c r="L1391" s="14">
        <f>IF(OR(Table1[[#This Row],[Order_Status]]="Delivered",Table1[[#This Row],[Delivery_Date]]&lt;&gt;"Not Yet Delivered"),Table1[[#This Row],[Delivery_Date]]-Table1[[#This Row],[Order_Date]],"Not Applicable")</f>
        <v>7</v>
      </c>
      <c r="M1391" s="14">
        <f>Table1[[#This Row],[Unit_Cost]]-Table1[[#This Row],[Negotiated_Cost]]</f>
        <v>61.209999999999127</v>
      </c>
      <c r="N1391" s="18">
        <f>Table1[[#This Row],[Defective_Units]]/Table1[[#This Row],[Quantity]]</f>
        <v>2.7027027027027029E-2</v>
      </c>
      <c r="O1391" s="26">
        <f>(Table1[[#This Row],[Unit_Cost]]-Table1[[#This Row],[Negotiated_Cost]])/Table1[[#This Row],[Unit_Cost]]</f>
        <v>5.0642357893621376E-3</v>
      </c>
    </row>
    <row r="1392" spans="1:15" x14ac:dyDescent="0.25">
      <c r="A1392" t="s">
        <v>1427</v>
      </c>
      <c r="B1392" t="s">
        <v>32</v>
      </c>
      <c r="C1392" s="14" t="s">
        <v>42</v>
      </c>
      <c r="D1392" s="1">
        <v>45452</v>
      </c>
      <c r="E1392" s="13">
        <v>45456</v>
      </c>
      <c r="F1392" s="14" t="s">
        <v>14</v>
      </c>
      <c r="G1392">
        <v>70</v>
      </c>
      <c r="H1392">
        <v>11126.34</v>
      </c>
      <c r="I1392">
        <v>10757.76</v>
      </c>
      <c r="J1392">
        <v>0</v>
      </c>
      <c r="K1392" s="14" t="s">
        <v>25</v>
      </c>
      <c r="L1392" s="14">
        <f>IF(OR(Table1[[#This Row],[Order_Status]]="Delivered",Table1[[#This Row],[Delivery_Date]]&lt;&gt;"Not Yet Delivered"),Table1[[#This Row],[Delivery_Date]]-Table1[[#This Row],[Order_Date]],"Not Applicable")</f>
        <v>4</v>
      </c>
      <c r="M1392" s="14">
        <f>Table1[[#This Row],[Unit_Cost]]-Table1[[#This Row],[Negotiated_Cost]]</f>
        <v>368.57999999999993</v>
      </c>
      <c r="N1392" s="18">
        <f>Table1[[#This Row],[Defective_Units]]/Table1[[#This Row],[Quantity]]</f>
        <v>0</v>
      </c>
      <c r="O1392" s="26">
        <f>(Table1[[#This Row],[Unit_Cost]]-Table1[[#This Row],[Negotiated_Cost]])/Table1[[#This Row],[Unit_Cost]]</f>
        <v>3.3126796412836557E-2</v>
      </c>
    </row>
    <row r="1393" spans="1:15" x14ac:dyDescent="0.25">
      <c r="A1393" t="s">
        <v>1428</v>
      </c>
      <c r="B1393" t="s">
        <v>17</v>
      </c>
      <c r="C1393" s="14" t="s">
        <v>36</v>
      </c>
      <c r="D1393" s="1">
        <v>45412</v>
      </c>
      <c r="E1393" s="13">
        <v>45436</v>
      </c>
      <c r="F1393" s="14" t="s">
        <v>14</v>
      </c>
      <c r="G1393">
        <v>436</v>
      </c>
      <c r="H1393">
        <v>504.13</v>
      </c>
      <c r="I1393">
        <v>497.67</v>
      </c>
      <c r="J1393">
        <v>5</v>
      </c>
      <c r="K1393" s="14" t="s">
        <v>15</v>
      </c>
      <c r="L1393" s="14">
        <f>IF(OR(Table1[[#This Row],[Order_Status]]="Delivered",Table1[[#This Row],[Delivery_Date]]&lt;&gt;"Not Yet Delivered"),Table1[[#This Row],[Delivery_Date]]-Table1[[#This Row],[Order_Date]],"Not Applicable")</f>
        <v>24</v>
      </c>
      <c r="M1393" s="14">
        <f>Table1[[#This Row],[Unit_Cost]]-Table1[[#This Row],[Negotiated_Cost]]</f>
        <v>6.4599999999999795</v>
      </c>
      <c r="N1393" s="18">
        <f>Table1[[#This Row],[Defective_Units]]/Table1[[#This Row],[Quantity]]</f>
        <v>1.1467889908256881E-2</v>
      </c>
      <c r="O1393" s="26">
        <f>(Table1[[#This Row],[Unit_Cost]]-Table1[[#This Row],[Negotiated_Cost]])/Table1[[#This Row],[Unit_Cost]]</f>
        <v>1.281415507904703E-2</v>
      </c>
    </row>
    <row r="1394" spans="1:15" x14ac:dyDescent="0.25">
      <c r="A1394" t="s">
        <v>1429</v>
      </c>
      <c r="B1394" t="s">
        <v>32</v>
      </c>
      <c r="C1394" s="14" t="s">
        <v>42</v>
      </c>
      <c r="D1394" s="1">
        <v>45481</v>
      </c>
      <c r="E1394" s="13">
        <v>45492</v>
      </c>
      <c r="F1394" s="14" t="s">
        <v>14</v>
      </c>
      <c r="G1394">
        <v>488</v>
      </c>
      <c r="H1394">
        <v>11693.64</v>
      </c>
      <c r="I1394">
        <v>11468.27</v>
      </c>
      <c r="J1394">
        <v>2</v>
      </c>
      <c r="K1394" s="14" t="s">
        <v>15</v>
      </c>
      <c r="L1394" s="14">
        <f>IF(OR(Table1[[#This Row],[Order_Status]]="Delivered",Table1[[#This Row],[Delivery_Date]]&lt;&gt;"Not Yet Delivered"),Table1[[#This Row],[Delivery_Date]]-Table1[[#This Row],[Order_Date]],"Not Applicable")</f>
        <v>11</v>
      </c>
      <c r="M1394" s="14">
        <f>Table1[[#This Row],[Unit_Cost]]-Table1[[#This Row],[Negotiated_Cost]]</f>
        <v>225.36999999999898</v>
      </c>
      <c r="N1394" s="18">
        <f>Table1[[#This Row],[Defective_Units]]/Table1[[#This Row],[Quantity]]</f>
        <v>4.0983606557377051E-3</v>
      </c>
      <c r="O1394" s="26">
        <f>(Table1[[#This Row],[Unit_Cost]]-Table1[[#This Row],[Negotiated_Cost]])/Table1[[#This Row],[Unit_Cost]]</f>
        <v>1.9272869696689739E-2</v>
      </c>
    </row>
    <row r="1395" spans="1:15" x14ac:dyDescent="0.25">
      <c r="A1395" t="s">
        <v>1430</v>
      </c>
      <c r="B1395" t="s">
        <v>12</v>
      </c>
      <c r="C1395" s="14" t="s">
        <v>44</v>
      </c>
      <c r="D1395" s="1">
        <v>45383</v>
      </c>
      <c r="E1395" s="13">
        <v>45385</v>
      </c>
      <c r="F1395" s="14" t="s">
        <v>14</v>
      </c>
      <c r="G1395">
        <v>306</v>
      </c>
      <c r="H1395">
        <v>8935.58</v>
      </c>
      <c r="I1395">
        <v>8834.15</v>
      </c>
      <c r="J1395">
        <v>0</v>
      </c>
      <c r="K1395" s="14" t="s">
        <v>15</v>
      </c>
      <c r="L1395" s="14">
        <f>IF(OR(Table1[[#This Row],[Order_Status]]="Delivered",Table1[[#This Row],[Delivery_Date]]&lt;&gt;"Not Yet Delivered"),Table1[[#This Row],[Delivery_Date]]-Table1[[#This Row],[Order_Date]],"Not Applicable")</f>
        <v>2</v>
      </c>
      <c r="M1395" s="14">
        <f>Table1[[#This Row],[Unit_Cost]]-Table1[[#This Row],[Negotiated_Cost]]</f>
        <v>101.43000000000029</v>
      </c>
      <c r="N1395" s="18">
        <f>Table1[[#This Row],[Defective_Units]]/Table1[[#This Row],[Quantity]]</f>
        <v>0</v>
      </c>
      <c r="O1395" s="26">
        <f>(Table1[[#This Row],[Unit_Cost]]-Table1[[#This Row],[Negotiated_Cost]])/Table1[[#This Row],[Unit_Cost]]</f>
        <v>1.1351249723017452E-2</v>
      </c>
    </row>
    <row r="1396" spans="1:15" x14ac:dyDescent="0.25">
      <c r="A1396" t="s">
        <v>1431</v>
      </c>
      <c r="B1396" t="s">
        <v>27</v>
      </c>
      <c r="C1396" s="14" t="s">
        <v>24</v>
      </c>
      <c r="D1396" s="1">
        <v>45511</v>
      </c>
      <c r="E1396" s="13">
        <v>45524</v>
      </c>
      <c r="F1396" s="14" t="s">
        <v>14</v>
      </c>
      <c r="G1396">
        <v>119</v>
      </c>
      <c r="H1396">
        <v>13408.76</v>
      </c>
      <c r="I1396">
        <v>12948.85</v>
      </c>
      <c r="J1396">
        <v>2</v>
      </c>
      <c r="K1396" s="14" t="s">
        <v>25</v>
      </c>
      <c r="L1396" s="14">
        <f>IF(OR(Table1[[#This Row],[Order_Status]]="Delivered",Table1[[#This Row],[Delivery_Date]]&lt;&gt;"Not Yet Delivered"),Table1[[#This Row],[Delivery_Date]]-Table1[[#This Row],[Order_Date]],"Not Applicable")</f>
        <v>13</v>
      </c>
      <c r="M1396" s="14">
        <f>Table1[[#This Row],[Unit_Cost]]-Table1[[#This Row],[Negotiated_Cost]]</f>
        <v>459.90999999999985</v>
      </c>
      <c r="N1396" s="18">
        <f>Table1[[#This Row],[Defective_Units]]/Table1[[#This Row],[Quantity]]</f>
        <v>1.680672268907563E-2</v>
      </c>
      <c r="O1396" s="26">
        <f>(Table1[[#This Row],[Unit_Cost]]-Table1[[#This Row],[Negotiated_Cost]])/Table1[[#This Row],[Unit_Cost]]</f>
        <v>3.4299219316327526E-2</v>
      </c>
    </row>
    <row r="1397" spans="1:15" x14ac:dyDescent="0.25">
      <c r="A1397" t="s">
        <v>1432</v>
      </c>
      <c r="B1397" t="s">
        <v>17</v>
      </c>
      <c r="C1397" s="14" t="s">
        <v>55</v>
      </c>
      <c r="D1397" s="1">
        <v>45605</v>
      </c>
      <c r="E1397" s="13">
        <v>45626</v>
      </c>
      <c r="F1397" s="14" t="s">
        <v>14</v>
      </c>
      <c r="G1397">
        <v>439</v>
      </c>
      <c r="H1397">
        <v>13591.91</v>
      </c>
      <c r="I1397">
        <v>13527.05</v>
      </c>
      <c r="J1397">
        <v>1</v>
      </c>
      <c r="K1397" s="14" t="s">
        <v>15</v>
      </c>
      <c r="L1397" s="14">
        <f>IF(OR(Table1[[#This Row],[Order_Status]]="Delivered",Table1[[#This Row],[Delivery_Date]]&lt;&gt;"Not Yet Delivered"),Table1[[#This Row],[Delivery_Date]]-Table1[[#This Row],[Order_Date]],"Not Applicable")</f>
        <v>21</v>
      </c>
      <c r="M1397" s="14">
        <f>Table1[[#This Row],[Unit_Cost]]-Table1[[#This Row],[Negotiated_Cost]]</f>
        <v>64.860000000000582</v>
      </c>
      <c r="N1397" s="18">
        <f>Table1[[#This Row],[Defective_Units]]/Table1[[#This Row],[Quantity]]</f>
        <v>2.2779043280182231E-3</v>
      </c>
      <c r="O1397" s="26">
        <f>(Table1[[#This Row],[Unit_Cost]]-Table1[[#This Row],[Negotiated_Cost]])/Table1[[#This Row],[Unit_Cost]]</f>
        <v>4.7719562592748611E-3</v>
      </c>
    </row>
    <row r="1398" spans="1:15" x14ac:dyDescent="0.25">
      <c r="A1398" t="s">
        <v>1433</v>
      </c>
      <c r="B1398" t="s">
        <v>20</v>
      </c>
      <c r="C1398" s="14" t="s">
        <v>44</v>
      </c>
      <c r="D1398" s="1">
        <v>45199</v>
      </c>
      <c r="E1398" s="13">
        <v>45203</v>
      </c>
      <c r="F1398" s="14" t="s">
        <v>14</v>
      </c>
      <c r="G1398">
        <v>123</v>
      </c>
      <c r="H1398">
        <v>8009.83</v>
      </c>
      <c r="I1398">
        <v>7626.09</v>
      </c>
      <c r="J1398">
        <v>2</v>
      </c>
      <c r="K1398" s="14" t="s">
        <v>15</v>
      </c>
      <c r="L1398" s="14">
        <f>IF(OR(Table1[[#This Row],[Order_Status]]="Delivered",Table1[[#This Row],[Delivery_Date]]&lt;&gt;"Not Yet Delivered"),Table1[[#This Row],[Delivery_Date]]-Table1[[#This Row],[Order_Date]],"Not Applicable")</f>
        <v>4</v>
      </c>
      <c r="M1398" s="14">
        <f>Table1[[#This Row],[Unit_Cost]]-Table1[[#This Row],[Negotiated_Cost]]</f>
        <v>383.73999999999978</v>
      </c>
      <c r="N1398" s="18">
        <f>Table1[[#This Row],[Defective_Units]]/Table1[[#This Row],[Quantity]]</f>
        <v>1.6260162601626018E-2</v>
      </c>
      <c r="O1398" s="26">
        <f>(Table1[[#This Row],[Unit_Cost]]-Table1[[#This Row],[Negotiated_Cost]])/Table1[[#This Row],[Unit_Cost]]</f>
        <v>4.7908632268100541E-2</v>
      </c>
    </row>
    <row r="1399" spans="1:15" x14ac:dyDescent="0.25">
      <c r="A1399" t="s">
        <v>1434</v>
      </c>
      <c r="B1399" t="s">
        <v>32</v>
      </c>
      <c r="C1399" s="14" t="s">
        <v>48</v>
      </c>
      <c r="D1399" s="1">
        <v>45160</v>
      </c>
      <c r="E1399" s="13">
        <v>45166</v>
      </c>
      <c r="F1399" s="14" t="s">
        <v>14</v>
      </c>
      <c r="G1399">
        <v>379</v>
      </c>
      <c r="H1399">
        <v>6152.6</v>
      </c>
      <c r="I1399">
        <v>6101.77</v>
      </c>
      <c r="J1399">
        <v>8</v>
      </c>
      <c r="K1399" s="14" t="s">
        <v>15</v>
      </c>
      <c r="L1399" s="14">
        <f>IF(OR(Table1[[#This Row],[Order_Status]]="Delivered",Table1[[#This Row],[Delivery_Date]]&lt;&gt;"Not Yet Delivered"),Table1[[#This Row],[Delivery_Date]]-Table1[[#This Row],[Order_Date]],"Not Applicable")</f>
        <v>6</v>
      </c>
      <c r="M1399" s="14">
        <f>Table1[[#This Row],[Unit_Cost]]-Table1[[#This Row],[Negotiated_Cost]]</f>
        <v>50.829999999999927</v>
      </c>
      <c r="N1399" s="18">
        <f>Table1[[#This Row],[Defective_Units]]/Table1[[#This Row],[Quantity]]</f>
        <v>2.1108179419525065E-2</v>
      </c>
      <c r="O1399" s="26">
        <f>(Table1[[#This Row],[Unit_Cost]]-Table1[[#This Row],[Negotiated_Cost]])/Table1[[#This Row],[Unit_Cost]]</f>
        <v>8.2615479634625885E-3</v>
      </c>
    </row>
    <row r="1400" spans="1:15" x14ac:dyDescent="0.25">
      <c r="A1400" t="s">
        <v>1435</v>
      </c>
      <c r="B1400" t="s">
        <v>27</v>
      </c>
      <c r="C1400" s="14" t="s">
        <v>36</v>
      </c>
      <c r="D1400" s="1">
        <v>45114</v>
      </c>
      <c r="E1400" s="13">
        <v>45134</v>
      </c>
      <c r="F1400" s="14" t="s">
        <v>14</v>
      </c>
      <c r="G1400">
        <v>406</v>
      </c>
      <c r="H1400">
        <v>593.28</v>
      </c>
      <c r="I1400">
        <v>586.05999999999995</v>
      </c>
      <c r="J1400">
        <v>4</v>
      </c>
      <c r="K1400" s="14" t="s">
        <v>15</v>
      </c>
      <c r="L1400" s="14">
        <f>IF(OR(Table1[[#This Row],[Order_Status]]="Delivered",Table1[[#This Row],[Delivery_Date]]&lt;&gt;"Not Yet Delivered"),Table1[[#This Row],[Delivery_Date]]-Table1[[#This Row],[Order_Date]],"Not Applicable")</f>
        <v>20</v>
      </c>
      <c r="M1400" s="14">
        <f>Table1[[#This Row],[Unit_Cost]]-Table1[[#This Row],[Negotiated_Cost]]</f>
        <v>7.2200000000000273</v>
      </c>
      <c r="N1400" s="18">
        <f>Table1[[#This Row],[Defective_Units]]/Table1[[#This Row],[Quantity]]</f>
        <v>9.852216748768473E-3</v>
      </c>
      <c r="O1400" s="26">
        <f>(Table1[[#This Row],[Unit_Cost]]-Table1[[#This Row],[Negotiated_Cost]])/Table1[[#This Row],[Unit_Cost]]</f>
        <v>1.2169633225458516E-2</v>
      </c>
    </row>
    <row r="1401" spans="1:15" x14ac:dyDescent="0.25">
      <c r="A1401" t="s">
        <v>1436</v>
      </c>
      <c r="B1401" t="s">
        <v>20</v>
      </c>
      <c r="C1401" s="14" t="s">
        <v>44</v>
      </c>
      <c r="D1401" s="1">
        <v>45650</v>
      </c>
      <c r="E1401" s="14" t="s">
        <v>2057</v>
      </c>
      <c r="F1401" s="14" t="s">
        <v>33</v>
      </c>
      <c r="G1401">
        <v>58</v>
      </c>
      <c r="H1401">
        <v>8378.1299999999992</v>
      </c>
      <c r="I1401">
        <v>8009.92</v>
      </c>
      <c r="J1401">
        <v>2</v>
      </c>
      <c r="K1401" s="14" t="s">
        <v>15</v>
      </c>
      <c r="L1401" s="14" t="str">
        <f>IF(OR(Table1[[#This Row],[Order_Status]]="Delivered",Table1[[#This Row],[Delivery_Date]]&lt;&gt;"Not Yet Delivered"),Table1[[#This Row],[Delivery_Date]]-Table1[[#This Row],[Order_Date]],"Not Applicable")</f>
        <v>Not Applicable</v>
      </c>
      <c r="M1401" s="14">
        <f>Table1[[#This Row],[Unit_Cost]]-Table1[[#This Row],[Negotiated_Cost]]</f>
        <v>368.20999999999913</v>
      </c>
      <c r="N1401" s="18">
        <f>Table1[[#This Row],[Defective_Units]]/Table1[[#This Row],[Quantity]]</f>
        <v>3.4482758620689655E-2</v>
      </c>
      <c r="O1401" s="26">
        <f>(Table1[[#This Row],[Unit_Cost]]-Table1[[#This Row],[Negotiated_Cost]])/Table1[[#This Row],[Unit_Cost]]</f>
        <v>4.3948948034943258E-2</v>
      </c>
    </row>
    <row r="1402" spans="1:15" x14ac:dyDescent="0.25">
      <c r="A1402" t="s">
        <v>1437</v>
      </c>
      <c r="B1402" t="s">
        <v>35</v>
      </c>
      <c r="C1402" s="14" t="s">
        <v>44</v>
      </c>
      <c r="D1402" s="1">
        <v>45510</v>
      </c>
      <c r="E1402" s="13">
        <v>45531</v>
      </c>
      <c r="F1402" s="14" t="s">
        <v>14</v>
      </c>
      <c r="G1402">
        <v>223</v>
      </c>
      <c r="H1402">
        <v>8423.0499999999993</v>
      </c>
      <c r="I1402">
        <v>8340.84</v>
      </c>
      <c r="J1402">
        <v>2</v>
      </c>
      <c r="K1402" s="14" t="s">
        <v>25</v>
      </c>
      <c r="L1402" s="14">
        <f>IF(OR(Table1[[#This Row],[Order_Status]]="Delivered",Table1[[#This Row],[Delivery_Date]]&lt;&gt;"Not Yet Delivered"),Table1[[#This Row],[Delivery_Date]]-Table1[[#This Row],[Order_Date]],"Not Applicable")</f>
        <v>21</v>
      </c>
      <c r="M1402" s="14">
        <f>Table1[[#This Row],[Unit_Cost]]-Table1[[#This Row],[Negotiated_Cost]]</f>
        <v>82.209999999999127</v>
      </c>
      <c r="N1402" s="18">
        <f>Table1[[#This Row],[Defective_Units]]/Table1[[#This Row],[Quantity]]</f>
        <v>8.9686098654708519E-3</v>
      </c>
      <c r="O1402" s="26">
        <f>(Table1[[#This Row],[Unit_Cost]]-Table1[[#This Row],[Negotiated_Cost]])/Table1[[#This Row],[Unit_Cost]]</f>
        <v>9.7601225209394613E-3</v>
      </c>
    </row>
    <row r="1403" spans="1:15" x14ac:dyDescent="0.25">
      <c r="A1403" t="s">
        <v>1438</v>
      </c>
      <c r="B1403" t="s">
        <v>27</v>
      </c>
      <c r="C1403" s="14" t="s">
        <v>18</v>
      </c>
      <c r="D1403" s="1">
        <v>45025</v>
      </c>
      <c r="E1403" s="13">
        <v>45050</v>
      </c>
      <c r="F1403" s="14" t="s">
        <v>14</v>
      </c>
      <c r="G1403">
        <v>322</v>
      </c>
      <c r="H1403">
        <v>5354.45</v>
      </c>
      <c r="I1403">
        <v>5219.1000000000004</v>
      </c>
      <c r="J1403">
        <v>3</v>
      </c>
      <c r="K1403" s="14" t="s">
        <v>15</v>
      </c>
      <c r="L1403" s="14">
        <f>IF(OR(Table1[[#This Row],[Order_Status]]="Delivered",Table1[[#This Row],[Delivery_Date]]&lt;&gt;"Not Yet Delivered"),Table1[[#This Row],[Delivery_Date]]-Table1[[#This Row],[Order_Date]],"Not Applicable")</f>
        <v>25</v>
      </c>
      <c r="M1403" s="14">
        <f>Table1[[#This Row],[Unit_Cost]]-Table1[[#This Row],[Negotiated_Cost]]</f>
        <v>135.34999999999945</v>
      </c>
      <c r="N1403" s="18">
        <f>Table1[[#This Row],[Defective_Units]]/Table1[[#This Row],[Quantity]]</f>
        <v>9.316770186335404E-3</v>
      </c>
      <c r="O1403" s="26">
        <f>(Table1[[#This Row],[Unit_Cost]]-Table1[[#This Row],[Negotiated_Cost]])/Table1[[#This Row],[Unit_Cost]]</f>
        <v>2.5278039761319922E-2</v>
      </c>
    </row>
    <row r="1404" spans="1:15" x14ac:dyDescent="0.25">
      <c r="A1404" t="s">
        <v>1439</v>
      </c>
      <c r="B1404" t="s">
        <v>20</v>
      </c>
      <c r="C1404" s="14" t="s">
        <v>18</v>
      </c>
      <c r="D1404" s="1">
        <v>45561</v>
      </c>
      <c r="E1404" s="13">
        <v>45572</v>
      </c>
      <c r="F1404" s="14" t="s">
        <v>37</v>
      </c>
      <c r="G1404">
        <v>42</v>
      </c>
      <c r="H1404">
        <v>4900.75</v>
      </c>
      <c r="I1404">
        <v>4831.0200000000004</v>
      </c>
      <c r="J1404">
        <v>0</v>
      </c>
      <c r="K1404" s="14" t="s">
        <v>15</v>
      </c>
      <c r="L1404" s="14">
        <f>IF(OR(Table1[[#This Row],[Order_Status]]="Delivered",Table1[[#This Row],[Delivery_Date]]&lt;&gt;"Not Yet Delivered"),Table1[[#This Row],[Delivery_Date]]-Table1[[#This Row],[Order_Date]],"Not Applicable")</f>
        <v>11</v>
      </c>
      <c r="M1404" s="14">
        <f>Table1[[#This Row],[Unit_Cost]]-Table1[[#This Row],[Negotiated_Cost]]</f>
        <v>69.729999999999563</v>
      </c>
      <c r="N1404" s="18">
        <f>Table1[[#This Row],[Defective_Units]]/Table1[[#This Row],[Quantity]]</f>
        <v>0</v>
      </c>
      <c r="O1404" s="26">
        <f>(Table1[[#This Row],[Unit_Cost]]-Table1[[#This Row],[Negotiated_Cost]])/Table1[[#This Row],[Unit_Cost]]</f>
        <v>1.4228434423302466E-2</v>
      </c>
    </row>
    <row r="1405" spans="1:15" x14ac:dyDescent="0.25">
      <c r="A1405" t="s">
        <v>1440</v>
      </c>
      <c r="B1405" t="s">
        <v>27</v>
      </c>
      <c r="C1405" s="14" t="s">
        <v>21</v>
      </c>
      <c r="D1405" s="1">
        <v>45496</v>
      </c>
      <c r="E1405" s="13">
        <v>45522</v>
      </c>
      <c r="F1405" s="14" t="s">
        <v>14</v>
      </c>
      <c r="G1405">
        <v>153</v>
      </c>
      <c r="H1405">
        <v>118.13</v>
      </c>
      <c r="I1405">
        <v>114.25</v>
      </c>
      <c r="J1405">
        <v>0</v>
      </c>
      <c r="K1405" s="14" t="s">
        <v>15</v>
      </c>
      <c r="L1405" s="14">
        <f>IF(OR(Table1[[#This Row],[Order_Status]]="Delivered",Table1[[#This Row],[Delivery_Date]]&lt;&gt;"Not Yet Delivered"),Table1[[#This Row],[Delivery_Date]]-Table1[[#This Row],[Order_Date]],"Not Applicable")</f>
        <v>26</v>
      </c>
      <c r="M1405" s="14">
        <f>Table1[[#This Row],[Unit_Cost]]-Table1[[#This Row],[Negotiated_Cost]]</f>
        <v>3.8799999999999955</v>
      </c>
      <c r="N1405" s="18">
        <f>Table1[[#This Row],[Defective_Units]]/Table1[[#This Row],[Quantity]]</f>
        <v>0</v>
      </c>
      <c r="O1405" s="26">
        <f>(Table1[[#This Row],[Unit_Cost]]-Table1[[#This Row],[Negotiated_Cost]])/Table1[[#This Row],[Unit_Cost]]</f>
        <v>3.2845170574790451E-2</v>
      </c>
    </row>
    <row r="1406" spans="1:15" x14ac:dyDescent="0.25">
      <c r="A1406" t="s">
        <v>1441</v>
      </c>
      <c r="B1406" t="s">
        <v>35</v>
      </c>
      <c r="C1406" s="14" t="s">
        <v>50</v>
      </c>
      <c r="D1406" s="1">
        <v>45459</v>
      </c>
      <c r="E1406" s="13">
        <v>45487</v>
      </c>
      <c r="F1406" s="14" t="s">
        <v>14</v>
      </c>
      <c r="G1406">
        <v>139</v>
      </c>
      <c r="H1406">
        <v>49741.29</v>
      </c>
      <c r="I1406">
        <v>48766.53</v>
      </c>
      <c r="J1406">
        <v>1</v>
      </c>
      <c r="K1406" s="14" t="s">
        <v>15</v>
      </c>
      <c r="L1406" s="14">
        <f>IF(OR(Table1[[#This Row],[Order_Status]]="Delivered",Table1[[#This Row],[Delivery_Date]]&lt;&gt;"Not Yet Delivered"),Table1[[#This Row],[Delivery_Date]]-Table1[[#This Row],[Order_Date]],"Not Applicable")</f>
        <v>28</v>
      </c>
      <c r="M1406" s="14">
        <f>Table1[[#This Row],[Unit_Cost]]-Table1[[#This Row],[Negotiated_Cost]]</f>
        <v>974.76000000000204</v>
      </c>
      <c r="N1406" s="18">
        <f>Table1[[#This Row],[Defective_Units]]/Table1[[#This Row],[Quantity]]</f>
        <v>7.1942446043165471E-3</v>
      </c>
      <c r="O1406" s="26">
        <f>(Table1[[#This Row],[Unit_Cost]]-Table1[[#This Row],[Negotiated_Cost]])/Table1[[#This Row],[Unit_Cost]]</f>
        <v>1.9596596710700548E-2</v>
      </c>
    </row>
    <row r="1407" spans="1:15" x14ac:dyDescent="0.25">
      <c r="A1407" t="s">
        <v>1442</v>
      </c>
      <c r="B1407" t="s">
        <v>27</v>
      </c>
      <c r="C1407" s="14" t="s">
        <v>55</v>
      </c>
      <c r="D1407" s="1">
        <v>45448</v>
      </c>
      <c r="E1407" s="13">
        <v>45461</v>
      </c>
      <c r="F1407" s="14" t="s">
        <v>37</v>
      </c>
      <c r="G1407">
        <v>374</v>
      </c>
      <c r="H1407">
        <v>15017.5</v>
      </c>
      <c r="I1407">
        <v>14609.54</v>
      </c>
      <c r="J1407">
        <v>4</v>
      </c>
      <c r="K1407" s="14" t="s">
        <v>15</v>
      </c>
      <c r="L1407" s="14">
        <f>IF(OR(Table1[[#This Row],[Order_Status]]="Delivered",Table1[[#This Row],[Delivery_Date]]&lt;&gt;"Not Yet Delivered"),Table1[[#This Row],[Delivery_Date]]-Table1[[#This Row],[Order_Date]],"Not Applicable")</f>
        <v>13</v>
      </c>
      <c r="M1407" s="14">
        <f>Table1[[#This Row],[Unit_Cost]]-Table1[[#This Row],[Negotiated_Cost]]</f>
        <v>407.95999999999913</v>
      </c>
      <c r="N1407" s="18">
        <f>Table1[[#This Row],[Defective_Units]]/Table1[[#This Row],[Quantity]]</f>
        <v>1.06951871657754E-2</v>
      </c>
      <c r="O1407" s="26">
        <f>(Table1[[#This Row],[Unit_Cost]]-Table1[[#This Row],[Negotiated_Cost]])/Table1[[#This Row],[Unit_Cost]]</f>
        <v>2.7165640086565614E-2</v>
      </c>
    </row>
    <row r="1408" spans="1:15" x14ac:dyDescent="0.25">
      <c r="A1408" t="s">
        <v>1443</v>
      </c>
      <c r="B1408" t="s">
        <v>20</v>
      </c>
      <c r="C1408" s="14" t="s">
        <v>30</v>
      </c>
      <c r="D1408" s="1">
        <v>45360</v>
      </c>
      <c r="E1408" s="14" t="s">
        <v>2057</v>
      </c>
      <c r="F1408" s="14" t="s">
        <v>22</v>
      </c>
      <c r="G1408">
        <v>42</v>
      </c>
      <c r="H1408">
        <v>819.95</v>
      </c>
      <c r="J1408">
        <v>2</v>
      </c>
      <c r="K1408" s="14" t="s">
        <v>15</v>
      </c>
      <c r="L1408" s="14" t="str">
        <f>IF(OR(Table1[[#This Row],[Order_Status]]="Delivered",Table1[[#This Row],[Delivery_Date]]&lt;&gt;"Not Yet Delivered"),Table1[[#This Row],[Delivery_Date]]-Table1[[#This Row],[Order_Date]],"Not Applicable")</f>
        <v>Not Applicable</v>
      </c>
      <c r="M1408" s="14">
        <f>Table1[[#This Row],[Unit_Cost]]-Table1[[#This Row],[Negotiated_Cost]]</f>
        <v>819.95</v>
      </c>
      <c r="N1408" s="18">
        <f>Table1[[#This Row],[Defective_Units]]/Table1[[#This Row],[Quantity]]</f>
        <v>4.7619047619047616E-2</v>
      </c>
      <c r="O1408" s="26">
        <f>(Table1[[#This Row],[Unit_Cost]]-Table1[[#This Row],[Negotiated_Cost]])/Table1[[#This Row],[Unit_Cost]]</f>
        <v>1</v>
      </c>
    </row>
    <row r="1409" spans="1:15" x14ac:dyDescent="0.25">
      <c r="A1409" t="s">
        <v>1444</v>
      </c>
      <c r="B1409" t="s">
        <v>17</v>
      </c>
      <c r="C1409" s="14" t="s">
        <v>21</v>
      </c>
      <c r="D1409" s="1">
        <v>45144</v>
      </c>
      <c r="E1409" s="14" t="s">
        <v>2057</v>
      </c>
      <c r="F1409" s="14" t="s">
        <v>33</v>
      </c>
      <c r="G1409">
        <v>387</v>
      </c>
      <c r="H1409">
        <v>112.98</v>
      </c>
      <c r="I1409">
        <v>111.69</v>
      </c>
      <c r="J1409">
        <v>2</v>
      </c>
      <c r="K1409" s="14" t="s">
        <v>15</v>
      </c>
      <c r="L1409" s="14" t="str">
        <f>IF(OR(Table1[[#This Row],[Order_Status]]="Delivered",Table1[[#This Row],[Delivery_Date]]&lt;&gt;"Not Yet Delivered"),Table1[[#This Row],[Delivery_Date]]-Table1[[#This Row],[Order_Date]],"Not Applicable")</f>
        <v>Not Applicable</v>
      </c>
      <c r="M1409" s="14">
        <f>Table1[[#This Row],[Unit_Cost]]-Table1[[#This Row],[Negotiated_Cost]]</f>
        <v>1.2900000000000063</v>
      </c>
      <c r="N1409" s="18">
        <f>Table1[[#This Row],[Defective_Units]]/Table1[[#This Row],[Quantity]]</f>
        <v>5.1679586563307496E-3</v>
      </c>
      <c r="O1409" s="26">
        <f>(Table1[[#This Row],[Unit_Cost]]-Table1[[#This Row],[Negotiated_Cost]])/Table1[[#This Row],[Unit_Cost]]</f>
        <v>1.1417950079660172E-2</v>
      </c>
    </row>
    <row r="1410" spans="1:15" x14ac:dyDescent="0.25">
      <c r="A1410" t="s">
        <v>1445</v>
      </c>
      <c r="B1410" t="s">
        <v>27</v>
      </c>
      <c r="C1410" s="14" t="s">
        <v>36</v>
      </c>
      <c r="D1410" s="1">
        <v>45219</v>
      </c>
      <c r="E1410" s="13">
        <v>45243</v>
      </c>
      <c r="F1410" s="14" t="s">
        <v>14</v>
      </c>
      <c r="G1410">
        <v>53</v>
      </c>
      <c r="H1410">
        <v>582.75</v>
      </c>
      <c r="I1410">
        <v>580.09</v>
      </c>
      <c r="J1410">
        <v>0</v>
      </c>
      <c r="K1410" s="14" t="s">
        <v>15</v>
      </c>
      <c r="L1410" s="14">
        <f>IF(OR(Table1[[#This Row],[Order_Status]]="Delivered",Table1[[#This Row],[Delivery_Date]]&lt;&gt;"Not Yet Delivered"),Table1[[#This Row],[Delivery_Date]]-Table1[[#This Row],[Order_Date]],"Not Applicable")</f>
        <v>24</v>
      </c>
      <c r="M1410" s="14">
        <f>Table1[[#This Row],[Unit_Cost]]-Table1[[#This Row],[Negotiated_Cost]]</f>
        <v>2.6599999999999682</v>
      </c>
      <c r="N1410" s="18">
        <f>Table1[[#This Row],[Defective_Units]]/Table1[[#This Row],[Quantity]]</f>
        <v>0</v>
      </c>
      <c r="O1410" s="26">
        <f>(Table1[[#This Row],[Unit_Cost]]-Table1[[#This Row],[Negotiated_Cost]])/Table1[[#This Row],[Unit_Cost]]</f>
        <v>4.5645645645645098E-3</v>
      </c>
    </row>
    <row r="1411" spans="1:15" x14ac:dyDescent="0.25">
      <c r="A1411" t="s">
        <v>1446</v>
      </c>
      <c r="B1411" t="s">
        <v>32</v>
      </c>
      <c r="C1411" s="14" t="s">
        <v>44</v>
      </c>
      <c r="D1411" s="1">
        <v>45615</v>
      </c>
      <c r="E1411" s="13">
        <v>45624</v>
      </c>
      <c r="F1411" s="14" t="s">
        <v>37</v>
      </c>
      <c r="G1411">
        <v>26</v>
      </c>
      <c r="H1411">
        <v>7903.32</v>
      </c>
      <c r="I1411">
        <v>7576.69</v>
      </c>
      <c r="J1411">
        <v>0</v>
      </c>
      <c r="K1411" s="14" t="s">
        <v>15</v>
      </c>
      <c r="L1411" s="14">
        <f>IF(OR(Table1[[#This Row],[Order_Status]]="Delivered",Table1[[#This Row],[Delivery_Date]]&lt;&gt;"Not Yet Delivered"),Table1[[#This Row],[Delivery_Date]]-Table1[[#This Row],[Order_Date]],"Not Applicable")</f>
        <v>9</v>
      </c>
      <c r="M1411" s="14">
        <f>Table1[[#This Row],[Unit_Cost]]-Table1[[#This Row],[Negotiated_Cost]]</f>
        <v>326.63000000000011</v>
      </c>
      <c r="N1411" s="18">
        <f>Table1[[#This Row],[Defective_Units]]/Table1[[#This Row],[Quantity]]</f>
        <v>0</v>
      </c>
      <c r="O1411" s="26">
        <f>(Table1[[#This Row],[Unit_Cost]]-Table1[[#This Row],[Negotiated_Cost]])/Table1[[#This Row],[Unit_Cost]]</f>
        <v>4.1328201312865999E-2</v>
      </c>
    </row>
    <row r="1412" spans="1:15" x14ac:dyDescent="0.25">
      <c r="A1412" t="s">
        <v>1447</v>
      </c>
      <c r="B1412" t="s">
        <v>35</v>
      </c>
      <c r="C1412" s="14" t="s">
        <v>18</v>
      </c>
      <c r="D1412" s="1">
        <v>45531</v>
      </c>
      <c r="E1412" s="14" t="s">
        <v>2057</v>
      </c>
      <c r="F1412" s="14" t="s">
        <v>33</v>
      </c>
      <c r="G1412">
        <v>9</v>
      </c>
      <c r="H1412">
        <v>5363.92</v>
      </c>
      <c r="I1412">
        <v>5064.08</v>
      </c>
      <c r="J1412">
        <v>2</v>
      </c>
      <c r="K1412" s="14" t="s">
        <v>25</v>
      </c>
      <c r="L1412" s="14" t="str">
        <f>IF(OR(Table1[[#This Row],[Order_Status]]="Delivered",Table1[[#This Row],[Delivery_Date]]&lt;&gt;"Not Yet Delivered"),Table1[[#This Row],[Delivery_Date]]-Table1[[#This Row],[Order_Date]],"Not Applicable")</f>
        <v>Not Applicable</v>
      </c>
      <c r="M1412" s="14">
        <f>Table1[[#This Row],[Unit_Cost]]-Table1[[#This Row],[Negotiated_Cost]]</f>
        <v>299.84000000000015</v>
      </c>
      <c r="N1412" s="18">
        <f>Table1[[#This Row],[Defective_Units]]/Table1[[#This Row],[Quantity]]</f>
        <v>0.22222222222222221</v>
      </c>
      <c r="O1412" s="26">
        <f>(Table1[[#This Row],[Unit_Cost]]-Table1[[#This Row],[Negotiated_Cost]])/Table1[[#This Row],[Unit_Cost]]</f>
        <v>5.5899416844397407E-2</v>
      </c>
    </row>
    <row r="1413" spans="1:15" x14ac:dyDescent="0.25">
      <c r="A1413" t="s">
        <v>1448</v>
      </c>
      <c r="B1413" t="s">
        <v>12</v>
      </c>
      <c r="C1413" s="14" t="s">
        <v>24</v>
      </c>
      <c r="D1413" s="1">
        <v>45551</v>
      </c>
      <c r="E1413" s="14" t="s">
        <v>2057</v>
      </c>
      <c r="F1413" s="14" t="s">
        <v>22</v>
      </c>
      <c r="G1413">
        <v>35</v>
      </c>
      <c r="H1413">
        <v>12754.51</v>
      </c>
      <c r="I1413">
        <v>12464.73</v>
      </c>
      <c r="J1413">
        <v>2</v>
      </c>
      <c r="K1413" s="14" t="s">
        <v>15</v>
      </c>
      <c r="L1413" s="14" t="str">
        <f>IF(OR(Table1[[#This Row],[Order_Status]]="Delivered",Table1[[#This Row],[Delivery_Date]]&lt;&gt;"Not Yet Delivered"),Table1[[#This Row],[Delivery_Date]]-Table1[[#This Row],[Order_Date]],"Not Applicable")</f>
        <v>Not Applicable</v>
      </c>
      <c r="M1413" s="14">
        <f>Table1[[#This Row],[Unit_Cost]]-Table1[[#This Row],[Negotiated_Cost]]</f>
        <v>289.78000000000065</v>
      </c>
      <c r="N1413" s="18">
        <f>Table1[[#This Row],[Defective_Units]]/Table1[[#This Row],[Quantity]]</f>
        <v>5.7142857142857141E-2</v>
      </c>
      <c r="O1413" s="26">
        <f>(Table1[[#This Row],[Unit_Cost]]-Table1[[#This Row],[Negotiated_Cost]])/Table1[[#This Row],[Unit_Cost]]</f>
        <v>2.2719806562541457E-2</v>
      </c>
    </row>
    <row r="1414" spans="1:15" x14ac:dyDescent="0.25">
      <c r="A1414" t="s">
        <v>1449</v>
      </c>
      <c r="B1414" t="s">
        <v>27</v>
      </c>
      <c r="C1414" s="14" t="s">
        <v>28</v>
      </c>
      <c r="D1414" s="1">
        <v>45613</v>
      </c>
      <c r="E1414" s="13">
        <v>45629</v>
      </c>
      <c r="F1414" s="14" t="s">
        <v>14</v>
      </c>
      <c r="G1414">
        <v>478</v>
      </c>
      <c r="H1414">
        <v>46619.17</v>
      </c>
      <c r="I1414">
        <v>44740.47</v>
      </c>
      <c r="J1414">
        <v>2</v>
      </c>
      <c r="K1414" s="14" t="s">
        <v>15</v>
      </c>
      <c r="L1414" s="14">
        <f>IF(OR(Table1[[#This Row],[Order_Status]]="Delivered",Table1[[#This Row],[Delivery_Date]]&lt;&gt;"Not Yet Delivered"),Table1[[#This Row],[Delivery_Date]]-Table1[[#This Row],[Order_Date]],"Not Applicable")</f>
        <v>16</v>
      </c>
      <c r="M1414" s="14">
        <f>Table1[[#This Row],[Unit_Cost]]-Table1[[#This Row],[Negotiated_Cost]]</f>
        <v>1878.6999999999971</v>
      </c>
      <c r="N1414" s="18">
        <f>Table1[[#This Row],[Defective_Units]]/Table1[[#This Row],[Quantity]]</f>
        <v>4.1841004184100415E-3</v>
      </c>
      <c r="O1414" s="26">
        <f>(Table1[[#This Row],[Unit_Cost]]-Table1[[#This Row],[Negotiated_Cost]])/Table1[[#This Row],[Unit_Cost]]</f>
        <v>4.0298872759853881E-2</v>
      </c>
    </row>
    <row r="1415" spans="1:15" x14ac:dyDescent="0.25">
      <c r="A1415" t="s">
        <v>1450</v>
      </c>
      <c r="B1415" t="s">
        <v>12</v>
      </c>
      <c r="C1415" s="14" t="s">
        <v>18</v>
      </c>
      <c r="D1415" s="1">
        <v>45423</v>
      </c>
      <c r="E1415" s="13">
        <v>45436</v>
      </c>
      <c r="F1415" s="14" t="s">
        <v>14</v>
      </c>
      <c r="G1415">
        <v>300</v>
      </c>
      <c r="H1415">
        <v>5492.95</v>
      </c>
      <c r="I1415">
        <v>5252.78</v>
      </c>
      <c r="J1415">
        <v>1</v>
      </c>
      <c r="K1415" s="14" t="s">
        <v>15</v>
      </c>
      <c r="L1415" s="14">
        <f>IF(OR(Table1[[#This Row],[Order_Status]]="Delivered",Table1[[#This Row],[Delivery_Date]]&lt;&gt;"Not Yet Delivered"),Table1[[#This Row],[Delivery_Date]]-Table1[[#This Row],[Order_Date]],"Not Applicable")</f>
        <v>13</v>
      </c>
      <c r="M1415" s="14">
        <f>Table1[[#This Row],[Unit_Cost]]-Table1[[#This Row],[Negotiated_Cost]]</f>
        <v>240.17000000000007</v>
      </c>
      <c r="N1415" s="18">
        <f>Table1[[#This Row],[Defective_Units]]/Table1[[#This Row],[Quantity]]</f>
        <v>3.3333333333333335E-3</v>
      </c>
      <c r="O1415" s="26">
        <f>(Table1[[#This Row],[Unit_Cost]]-Table1[[#This Row],[Negotiated_Cost]])/Table1[[#This Row],[Unit_Cost]]</f>
        <v>4.372331807134601E-2</v>
      </c>
    </row>
    <row r="1416" spans="1:15" x14ac:dyDescent="0.25">
      <c r="A1416" t="s">
        <v>1451</v>
      </c>
      <c r="B1416" t="s">
        <v>12</v>
      </c>
      <c r="C1416" s="14" t="s">
        <v>42</v>
      </c>
      <c r="D1416" s="1">
        <v>45250</v>
      </c>
      <c r="E1416" s="14" t="s">
        <v>2057</v>
      </c>
      <c r="F1416" s="14" t="s">
        <v>22</v>
      </c>
      <c r="G1416">
        <v>338</v>
      </c>
      <c r="H1416">
        <v>12780.15</v>
      </c>
      <c r="I1416">
        <v>12419.43</v>
      </c>
      <c r="J1416">
        <v>2</v>
      </c>
      <c r="K1416" s="14" t="s">
        <v>15</v>
      </c>
      <c r="L1416" s="14" t="str">
        <f>IF(OR(Table1[[#This Row],[Order_Status]]="Delivered",Table1[[#This Row],[Delivery_Date]]&lt;&gt;"Not Yet Delivered"),Table1[[#This Row],[Delivery_Date]]-Table1[[#This Row],[Order_Date]],"Not Applicable")</f>
        <v>Not Applicable</v>
      </c>
      <c r="M1416" s="14">
        <f>Table1[[#This Row],[Unit_Cost]]-Table1[[#This Row],[Negotiated_Cost]]</f>
        <v>360.71999999999935</v>
      </c>
      <c r="N1416" s="18">
        <f>Table1[[#This Row],[Defective_Units]]/Table1[[#This Row],[Quantity]]</f>
        <v>5.9171597633136093E-3</v>
      </c>
      <c r="O1416" s="26">
        <f>(Table1[[#This Row],[Unit_Cost]]-Table1[[#This Row],[Negotiated_Cost]])/Table1[[#This Row],[Unit_Cost]]</f>
        <v>2.8225020833088765E-2</v>
      </c>
    </row>
    <row r="1417" spans="1:15" x14ac:dyDescent="0.25">
      <c r="A1417" t="s">
        <v>1452</v>
      </c>
      <c r="B1417" t="s">
        <v>35</v>
      </c>
      <c r="C1417" s="14" t="s">
        <v>30</v>
      </c>
      <c r="D1417" s="1">
        <v>45452</v>
      </c>
      <c r="E1417" s="13">
        <v>45477</v>
      </c>
      <c r="F1417" s="14" t="s">
        <v>14</v>
      </c>
      <c r="G1417">
        <v>340</v>
      </c>
      <c r="H1417">
        <v>946.14</v>
      </c>
      <c r="I1417">
        <v>894.51</v>
      </c>
      <c r="J1417">
        <v>0</v>
      </c>
      <c r="K1417" s="14" t="s">
        <v>25</v>
      </c>
      <c r="L1417" s="14">
        <f>IF(OR(Table1[[#This Row],[Order_Status]]="Delivered",Table1[[#This Row],[Delivery_Date]]&lt;&gt;"Not Yet Delivered"),Table1[[#This Row],[Delivery_Date]]-Table1[[#This Row],[Order_Date]],"Not Applicable")</f>
        <v>25</v>
      </c>
      <c r="M1417" s="14">
        <f>Table1[[#This Row],[Unit_Cost]]-Table1[[#This Row],[Negotiated_Cost]]</f>
        <v>51.629999999999995</v>
      </c>
      <c r="N1417" s="18">
        <f>Table1[[#This Row],[Defective_Units]]/Table1[[#This Row],[Quantity]]</f>
        <v>0</v>
      </c>
      <c r="O1417" s="26">
        <f>(Table1[[#This Row],[Unit_Cost]]-Table1[[#This Row],[Negotiated_Cost]])/Table1[[#This Row],[Unit_Cost]]</f>
        <v>5.4569091254993971E-2</v>
      </c>
    </row>
    <row r="1418" spans="1:15" x14ac:dyDescent="0.25">
      <c r="A1418" t="s">
        <v>1453</v>
      </c>
      <c r="B1418" t="s">
        <v>17</v>
      </c>
      <c r="C1418" s="14" t="s">
        <v>48</v>
      </c>
      <c r="D1418" s="1">
        <v>44991</v>
      </c>
      <c r="E1418" s="13">
        <v>44993</v>
      </c>
      <c r="F1418" s="14" t="s">
        <v>14</v>
      </c>
      <c r="G1418">
        <v>325</v>
      </c>
      <c r="H1418">
        <v>6312.47</v>
      </c>
      <c r="I1418">
        <v>6136.38</v>
      </c>
      <c r="J1418">
        <v>2</v>
      </c>
      <c r="K1418" s="14" t="s">
        <v>15</v>
      </c>
      <c r="L1418" s="14">
        <f>IF(OR(Table1[[#This Row],[Order_Status]]="Delivered",Table1[[#This Row],[Delivery_Date]]&lt;&gt;"Not Yet Delivered"),Table1[[#This Row],[Delivery_Date]]-Table1[[#This Row],[Order_Date]],"Not Applicable")</f>
        <v>2</v>
      </c>
      <c r="M1418" s="14">
        <f>Table1[[#This Row],[Unit_Cost]]-Table1[[#This Row],[Negotiated_Cost]]</f>
        <v>176.09000000000015</v>
      </c>
      <c r="N1418" s="18">
        <f>Table1[[#This Row],[Defective_Units]]/Table1[[#This Row],[Quantity]]</f>
        <v>6.1538461538461538E-3</v>
      </c>
      <c r="O1418" s="26">
        <f>(Table1[[#This Row],[Unit_Cost]]-Table1[[#This Row],[Negotiated_Cost]])/Table1[[#This Row],[Unit_Cost]]</f>
        <v>2.7895578117598997E-2</v>
      </c>
    </row>
    <row r="1419" spans="1:15" x14ac:dyDescent="0.25">
      <c r="A1419" t="s">
        <v>1454</v>
      </c>
      <c r="B1419" t="s">
        <v>20</v>
      </c>
      <c r="C1419" s="14" t="s">
        <v>21</v>
      </c>
      <c r="D1419" s="1">
        <v>45322</v>
      </c>
      <c r="E1419" s="13">
        <v>45346</v>
      </c>
      <c r="F1419" s="14" t="s">
        <v>37</v>
      </c>
      <c r="G1419">
        <v>213</v>
      </c>
      <c r="H1419">
        <v>113.97</v>
      </c>
      <c r="I1419">
        <v>112.35</v>
      </c>
      <c r="J1419">
        <v>0</v>
      </c>
      <c r="K1419" s="14" t="s">
        <v>15</v>
      </c>
      <c r="L1419" s="14">
        <f>IF(OR(Table1[[#This Row],[Order_Status]]="Delivered",Table1[[#This Row],[Delivery_Date]]&lt;&gt;"Not Yet Delivered"),Table1[[#This Row],[Delivery_Date]]-Table1[[#This Row],[Order_Date]],"Not Applicable")</f>
        <v>24</v>
      </c>
      <c r="M1419" s="14">
        <f>Table1[[#This Row],[Unit_Cost]]-Table1[[#This Row],[Negotiated_Cost]]</f>
        <v>1.6200000000000045</v>
      </c>
      <c r="N1419" s="18">
        <f>Table1[[#This Row],[Defective_Units]]/Table1[[#This Row],[Quantity]]</f>
        <v>0</v>
      </c>
      <c r="O1419" s="26">
        <f>(Table1[[#This Row],[Unit_Cost]]-Table1[[#This Row],[Negotiated_Cost]])/Table1[[#This Row],[Unit_Cost]]</f>
        <v>1.4214266912345393E-2</v>
      </c>
    </row>
    <row r="1420" spans="1:15" x14ac:dyDescent="0.25">
      <c r="A1420" t="s">
        <v>1455</v>
      </c>
      <c r="B1420" t="s">
        <v>20</v>
      </c>
      <c r="C1420" s="14" t="s">
        <v>28</v>
      </c>
      <c r="D1420" s="1">
        <v>45382</v>
      </c>
      <c r="E1420" s="14" t="s">
        <v>2057</v>
      </c>
      <c r="F1420" s="14" t="s">
        <v>22</v>
      </c>
      <c r="G1420">
        <v>282</v>
      </c>
      <c r="H1420">
        <v>48424.74</v>
      </c>
      <c r="I1420">
        <v>45744.93</v>
      </c>
      <c r="J1420">
        <v>2</v>
      </c>
      <c r="K1420" s="14" t="s">
        <v>15</v>
      </c>
      <c r="L1420" s="14" t="str">
        <f>IF(OR(Table1[[#This Row],[Order_Status]]="Delivered",Table1[[#This Row],[Delivery_Date]]&lt;&gt;"Not Yet Delivered"),Table1[[#This Row],[Delivery_Date]]-Table1[[#This Row],[Order_Date]],"Not Applicable")</f>
        <v>Not Applicable</v>
      </c>
      <c r="M1420" s="14">
        <f>Table1[[#This Row],[Unit_Cost]]-Table1[[#This Row],[Negotiated_Cost]]</f>
        <v>2679.8099999999977</v>
      </c>
      <c r="N1420" s="18">
        <f>Table1[[#This Row],[Defective_Units]]/Table1[[#This Row],[Quantity]]</f>
        <v>7.0921985815602835E-3</v>
      </c>
      <c r="O1420" s="26">
        <f>(Table1[[#This Row],[Unit_Cost]]-Table1[[#This Row],[Negotiated_Cost]])/Table1[[#This Row],[Unit_Cost]]</f>
        <v>5.5339687936372971E-2</v>
      </c>
    </row>
    <row r="1421" spans="1:15" x14ac:dyDescent="0.25">
      <c r="A1421" t="s">
        <v>1456</v>
      </c>
      <c r="B1421" t="s">
        <v>35</v>
      </c>
      <c r="C1421" s="14" t="s">
        <v>55</v>
      </c>
      <c r="D1421" s="1">
        <v>45452</v>
      </c>
      <c r="E1421" s="13">
        <v>45477</v>
      </c>
      <c r="F1421" s="14" t="s">
        <v>14</v>
      </c>
      <c r="G1421">
        <v>165</v>
      </c>
      <c r="H1421">
        <v>15049.06</v>
      </c>
      <c r="I1421">
        <v>14704.08</v>
      </c>
      <c r="J1421">
        <v>5</v>
      </c>
      <c r="K1421" s="14" t="s">
        <v>15</v>
      </c>
      <c r="L1421" s="14">
        <f>IF(OR(Table1[[#This Row],[Order_Status]]="Delivered",Table1[[#This Row],[Delivery_Date]]&lt;&gt;"Not Yet Delivered"),Table1[[#This Row],[Delivery_Date]]-Table1[[#This Row],[Order_Date]],"Not Applicable")</f>
        <v>25</v>
      </c>
      <c r="M1421" s="14">
        <f>Table1[[#This Row],[Unit_Cost]]-Table1[[#This Row],[Negotiated_Cost]]</f>
        <v>344.97999999999956</v>
      </c>
      <c r="N1421" s="18">
        <f>Table1[[#This Row],[Defective_Units]]/Table1[[#This Row],[Quantity]]</f>
        <v>3.0303030303030304E-2</v>
      </c>
      <c r="O1421" s="26">
        <f>(Table1[[#This Row],[Unit_Cost]]-Table1[[#This Row],[Negotiated_Cost]])/Table1[[#This Row],[Unit_Cost]]</f>
        <v>2.2923690914914259E-2</v>
      </c>
    </row>
    <row r="1422" spans="1:15" x14ac:dyDescent="0.25">
      <c r="A1422" t="s">
        <v>1457</v>
      </c>
      <c r="B1422" t="s">
        <v>12</v>
      </c>
      <c r="C1422" s="14" t="s">
        <v>55</v>
      </c>
      <c r="D1422" s="1">
        <v>45093</v>
      </c>
      <c r="E1422" s="13">
        <v>45119</v>
      </c>
      <c r="F1422" s="14" t="s">
        <v>14</v>
      </c>
      <c r="G1422">
        <v>240</v>
      </c>
      <c r="H1422">
        <v>15709.36</v>
      </c>
      <c r="I1422">
        <v>15486.93</v>
      </c>
      <c r="J1422">
        <v>4</v>
      </c>
      <c r="K1422" s="14" t="s">
        <v>15</v>
      </c>
      <c r="L1422" s="14">
        <f>IF(OR(Table1[[#This Row],[Order_Status]]="Delivered",Table1[[#This Row],[Delivery_Date]]&lt;&gt;"Not Yet Delivered"),Table1[[#This Row],[Delivery_Date]]-Table1[[#This Row],[Order_Date]],"Not Applicable")</f>
        <v>26</v>
      </c>
      <c r="M1422" s="14">
        <f>Table1[[#This Row],[Unit_Cost]]-Table1[[#This Row],[Negotiated_Cost]]</f>
        <v>222.43000000000029</v>
      </c>
      <c r="N1422" s="18">
        <f>Table1[[#This Row],[Defective_Units]]/Table1[[#This Row],[Quantity]]</f>
        <v>1.6666666666666666E-2</v>
      </c>
      <c r="O1422" s="26">
        <f>(Table1[[#This Row],[Unit_Cost]]-Table1[[#This Row],[Negotiated_Cost]])/Table1[[#This Row],[Unit_Cost]]</f>
        <v>1.4159074589926024E-2</v>
      </c>
    </row>
    <row r="1423" spans="1:15" x14ac:dyDescent="0.25">
      <c r="A1423" t="s">
        <v>1458</v>
      </c>
      <c r="B1423" t="s">
        <v>35</v>
      </c>
      <c r="C1423" s="14" t="s">
        <v>36</v>
      </c>
      <c r="D1423" s="1">
        <v>45416</v>
      </c>
      <c r="E1423" s="13">
        <v>45444</v>
      </c>
      <c r="F1423" s="14" t="s">
        <v>14</v>
      </c>
      <c r="G1423">
        <v>71</v>
      </c>
      <c r="H1423">
        <v>581.79999999999995</v>
      </c>
      <c r="I1423">
        <v>571.4</v>
      </c>
      <c r="J1423">
        <v>0</v>
      </c>
      <c r="K1423" s="14" t="s">
        <v>25</v>
      </c>
      <c r="L1423" s="14">
        <f>IF(OR(Table1[[#This Row],[Order_Status]]="Delivered",Table1[[#This Row],[Delivery_Date]]&lt;&gt;"Not Yet Delivered"),Table1[[#This Row],[Delivery_Date]]-Table1[[#This Row],[Order_Date]],"Not Applicable")</f>
        <v>28</v>
      </c>
      <c r="M1423" s="14">
        <f>Table1[[#This Row],[Unit_Cost]]-Table1[[#This Row],[Negotiated_Cost]]</f>
        <v>10.399999999999977</v>
      </c>
      <c r="N1423" s="18">
        <f>Table1[[#This Row],[Defective_Units]]/Table1[[#This Row],[Quantity]]</f>
        <v>0</v>
      </c>
      <c r="O1423" s="26">
        <f>(Table1[[#This Row],[Unit_Cost]]-Table1[[#This Row],[Negotiated_Cost]])/Table1[[#This Row],[Unit_Cost]]</f>
        <v>1.7875558611206564E-2</v>
      </c>
    </row>
    <row r="1424" spans="1:15" x14ac:dyDescent="0.25">
      <c r="A1424" t="s">
        <v>1459</v>
      </c>
      <c r="B1424" t="s">
        <v>32</v>
      </c>
      <c r="C1424" s="14" t="s">
        <v>42</v>
      </c>
      <c r="D1424" s="1">
        <v>45354</v>
      </c>
      <c r="E1424" s="13">
        <v>45359</v>
      </c>
      <c r="F1424" s="14" t="s">
        <v>14</v>
      </c>
      <c r="G1424">
        <v>358</v>
      </c>
      <c r="H1424">
        <v>11555.06</v>
      </c>
      <c r="I1424">
        <v>11089.13</v>
      </c>
      <c r="J1424">
        <v>1</v>
      </c>
      <c r="K1424" s="14" t="s">
        <v>15</v>
      </c>
      <c r="L1424" s="14">
        <f>IF(OR(Table1[[#This Row],[Order_Status]]="Delivered",Table1[[#This Row],[Delivery_Date]]&lt;&gt;"Not Yet Delivered"),Table1[[#This Row],[Delivery_Date]]-Table1[[#This Row],[Order_Date]],"Not Applicable")</f>
        <v>5</v>
      </c>
      <c r="M1424" s="14">
        <f>Table1[[#This Row],[Unit_Cost]]-Table1[[#This Row],[Negotiated_Cost]]</f>
        <v>465.93000000000029</v>
      </c>
      <c r="N1424" s="18">
        <f>Table1[[#This Row],[Defective_Units]]/Table1[[#This Row],[Quantity]]</f>
        <v>2.7932960893854749E-3</v>
      </c>
      <c r="O1424" s="26">
        <f>(Table1[[#This Row],[Unit_Cost]]-Table1[[#This Row],[Negotiated_Cost]])/Table1[[#This Row],[Unit_Cost]]</f>
        <v>4.0322594603576296E-2</v>
      </c>
    </row>
    <row r="1425" spans="1:15" x14ac:dyDescent="0.25">
      <c r="A1425" t="s">
        <v>1460</v>
      </c>
      <c r="B1425" t="s">
        <v>35</v>
      </c>
      <c r="C1425" s="14" t="s">
        <v>36</v>
      </c>
      <c r="D1425" s="1">
        <v>45005</v>
      </c>
      <c r="E1425" s="14" t="s">
        <v>2057</v>
      </c>
      <c r="F1425" s="14" t="s">
        <v>33</v>
      </c>
      <c r="G1425">
        <v>393</v>
      </c>
      <c r="H1425">
        <v>544.70000000000005</v>
      </c>
      <c r="I1425">
        <v>518.16999999999996</v>
      </c>
      <c r="J1425">
        <v>2</v>
      </c>
      <c r="K1425" s="14" t="s">
        <v>15</v>
      </c>
      <c r="L1425" s="14" t="str">
        <f>IF(OR(Table1[[#This Row],[Order_Status]]="Delivered",Table1[[#This Row],[Delivery_Date]]&lt;&gt;"Not Yet Delivered"),Table1[[#This Row],[Delivery_Date]]-Table1[[#This Row],[Order_Date]],"Not Applicable")</f>
        <v>Not Applicable</v>
      </c>
      <c r="M1425" s="14">
        <f>Table1[[#This Row],[Unit_Cost]]-Table1[[#This Row],[Negotiated_Cost]]</f>
        <v>26.530000000000086</v>
      </c>
      <c r="N1425" s="18">
        <f>Table1[[#This Row],[Defective_Units]]/Table1[[#This Row],[Quantity]]</f>
        <v>5.0890585241730284E-3</v>
      </c>
      <c r="O1425" s="26">
        <f>(Table1[[#This Row],[Unit_Cost]]-Table1[[#This Row],[Negotiated_Cost]])/Table1[[#This Row],[Unit_Cost]]</f>
        <v>4.8705709564898267E-2</v>
      </c>
    </row>
    <row r="1426" spans="1:15" x14ac:dyDescent="0.25">
      <c r="A1426" t="s">
        <v>1461</v>
      </c>
      <c r="B1426" t="s">
        <v>40</v>
      </c>
      <c r="C1426" s="14" t="s">
        <v>18</v>
      </c>
      <c r="D1426" s="1">
        <v>45331</v>
      </c>
      <c r="E1426" s="13">
        <v>45340</v>
      </c>
      <c r="F1426" s="14" t="s">
        <v>37</v>
      </c>
      <c r="G1426">
        <v>6</v>
      </c>
      <c r="H1426">
        <v>5284.57</v>
      </c>
      <c r="I1426">
        <v>5170.8900000000003</v>
      </c>
      <c r="J1426">
        <v>0</v>
      </c>
      <c r="K1426" s="14" t="s">
        <v>15</v>
      </c>
      <c r="L1426" s="14">
        <f>IF(OR(Table1[[#This Row],[Order_Status]]="Delivered",Table1[[#This Row],[Delivery_Date]]&lt;&gt;"Not Yet Delivered"),Table1[[#This Row],[Delivery_Date]]-Table1[[#This Row],[Order_Date]],"Not Applicable")</f>
        <v>9</v>
      </c>
      <c r="M1426" s="14">
        <f>Table1[[#This Row],[Unit_Cost]]-Table1[[#This Row],[Negotiated_Cost]]</f>
        <v>113.67999999999938</v>
      </c>
      <c r="N1426" s="18">
        <f>Table1[[#This Row],[Defective_Units]]/Table1[[#This Row],[Quantity]]</f>
        <v>0</v>
      </c>
      <c r="O1426" s="26">
        <f>(Table1[[#This Row],[Unit_Cost]]-Table1[[#This Row],[Negotiated_Cost]])/Table1[[#This Row],[Unit_Cost]]</f>
        <v>2.1511684015917926E-2</v>
      </c>
    </row>
    <row r="1427" spans="1:15" x14ac:dyDescent="0.25">
      <c r="A1427" t="s">
        <v>1462</v>
      </c>
      <c r="B1427" t="s">
        <v>46</v>
      </c>
      <c r="C1427" s="14" t="s">
        <v>36</v>
      </c>
      <c r="D1427" s="1">
        <v>45269</v>
      </c>
      <c r="E1427" s="13">
        <v>45282</v>
      </c>
      <c r="F1427" s="14" t="s">
        <v>14</v>
      </c>
      <c r="G1427">
        <v>101</v>
      </c>
      <c r="H1427">
        <v>576.23</v>
      </c>
      <c r="I1427">
        <v>572.16</v>
      </c>
      <c r="J1427">
        <v>3</v>
      </c>
      <c r="K1427" s="14" t="s">
        <v>15</v>
      </c>
      <c r="L1427" s="14">
        <f>IF(OR(Table1[[#This Row],[Order_Status]]="Delivered",Table1[[#This Row],[Delivery_Date]]&lt;&gt;"Not Yet Delivered"),Table1[[#This Row],[Delivery_Date]]-Table1[[#This Row],[Order_Date]],"Not Applicable")</f>
        <v>13</v>
      </c>
      <c r="M1427" s="14">
        <f>Table1[[#This Row],[Unit_Cost]]-Table1[[#This Row],[Negotiated_Cost]]</f>
        <v>4.07000000000005</v>
      </c>
      <c r="N1427" s="18">
        <f>Table1[[#This Row],[Defective_Units]]/Table1[[#This Row],[Quantity]]</f>
        <v>2.9702970297029702E-2</v>
      </c>
      <c r="O1427" s="26">
        <f>(Table1[[#This Row],[Unit_Cost]]-Table1[[#This Row],[Negotiated_Cost]])/Table1[[#This Row],[Unit_Cost]]</f>
        <v>7.0631518664423061E-3</v>
      </c>
    </row>
    <row r="1428" spans="1:15" x14ac:dyDescent="0.25">
      <c r="A1428" t="s">
        <v>1463</v>
      </c>
      <c r="B1428" t="s">
        <v>40</v>
      </c>
      <c r="C1428" s="14" t="s">
        <v>28</v>
      </c>
      <c r="D1428" s="1">
        <v>44945</v>
      </c>
      <c r="E1428" s="13">
        <v>44969</v>
      </c>
      <c r="F1428" s="14" t="s">
        <v>14</v>
      </c>
      <c r="G1428">
        <v>35</v>
      </c>
      <c r="H1428">
        <v>54784.18</v>
      </c>
      <c r="I1428">
        <v>52647.59</v>
      </c>
      <c r="J1428">
        <v>0</v>
      </c>
      <c r="K1428" s="14" t="s">
        <v>15</v>
      </c>
      <c r="L1428" s="14">
        <f>IF(OR(Table1[[#This Row],[Order_Status]]="Delivered",Table1[[#This Row],[Delivery_Date]]&lt;&gt;"Not Yet Delivered"),Table1[[#This Row],[Delivery_Date]]-Table1[[#This Row],[Order_Date]],"Not Applicable")</f>
        <v>24</v>
      </c>
      <c r="M1428" s="14">
        <f>Table1[[#This Row],[Unit_Cost]]-Table1[[#This Row],[Negotiated_Cost]]</f>
        <v>2136.5900000000038</v>
      </c>
      <c r="N1428" s="18">
        <f>Table1[[#This Row],[Defective_Units]]/Table1[[#This Row],[Quantity]]</f>
        <v>0</v>
      </c>
      <c r="O1428" s="26">
        <f>(Table1[[#This Row],[Unit_Cost]]-Table1[[#This Row],[Negotiated_Cost]])/Table1[[#This Row],[Unit_Cost]]</f>
        <v>3.9000127409044065E-2</v>
      </c>
    </row>
    <row r="1429" spans="1:15" x14ac:dyDescent="0.25">
      <c r="A1429" t="s">
        <v>1464</v>
      </c>
      <c r="B1429" t="s">
        <v>12</v>
      </c>
      <c r="C1429" s="14" t="s">
        <v>42</v>
      </c>
      <c r="D1429" s="1">
        <v>45283</v>
      </c>
      <c r="E1429" s="14" t="s">
        <v>2057</v>
      </c>
      <c r="F1429" s="14" t="s">
        <v>33</v>
      </c>
      <c r="G1429">
        <v>173</v>
      </c>
      <c r="H1429">
        <v>11922.3</v>
      </c>
      <c r="I1429">
        <v>11862.32</v>
      </c>
      <c r="J1429">
        <v>2</v>
      </c>
      <c r="K1429" s="14" t="s">
        <v>15</v>
      </c>
      <c r="L1429" s="14" t="str">
        <f>IF(OR(Table1[[#This Row],[Order_Status]]="Delivered",Table1[[#This Row],[Delivery_Date]]&lt;&gt;"Not Yet Delivered"),Table1[[#This Row],[Delivery_Date]]-Table1[[#This Row],[Order_Date]],"Not Applicable")</f>
        <v>Not Applicable</v>
      </c>
      <c r="M1429" s="14">
        <f>Table1[[#This Row],[Unit_Cost]]-Table1[[#This Row],[Negotiated_Cost]]</f>
        <v>59.979999999999563</v>
      </c>
      <c r="N1429" s="18">
        <f>Table1[[#This Row],[Defective_Units]]/Table1[[#This Row],[Quantity]]</f>
        <v>1.1560693641618497E-2</v>
      </c>
      <c r="O1429" s="26">
        <f>(Table1[[#This Row],[Unit_Cost]]-Table1[[#This Row],[Negotiated_Cost]])/Table1[[#This Row],[Unit_Cost]]</f>
        <v>5.0309084656483703E-3</v>
      </c>
    </row>
    <row r="1430" spans="1:15" x14ac:dyDescent="0.25">
      <c r="A1430" t="s">
        <v>1465</v>
      </c>
      <c r="B1430" t="s">
        <v>27</v>
      </c>
      <c r="C1430" s="14" t="s">
        <v>44</v>
      </c>
      <c r="D1430" s="1">
        <v>45637</v>
      </c>
      <c r="E1430" s="13">
        <v>45648</v>
      </c>
      <c r="F1430" s="14" t="s">
        <v>14</v>
      </c>
      <c r="G1430">
        <v>35</v>
      </c>
      <c r="H1430">
        <v>8369.92</v>
      </c>
      <c r="I1430">
        <v>8275.08</v>
      </c>
      <c r="J1430">
        <v>1</v>
      </c>
      <c r="K1430" s="14" t="s">
        <v>15</v>
      </c>
      <c r="L1430" s="14">
        <f>IF(OR(Table1[[#This Row],[Order_Status]]="Delivered",Table1[[#This Row],[Delivery_Date]]&lt;&gt;"Not Yet Delivered"),Table1[[#This Row],[Delivery_Date]]-Table1[[#This Row],[Order_Date]],"Not Applicable")</f>
        <v>11</v>
      </c>
      <c r="M1430" s="14">
        <f>Table1[[#This Row],[Unit_Cost]]-Table1[[#This Row],[Negotiated_Cost]]</f>
        <v>94.840000000000146</v>
      </c>
      <c r="N1430" s="18">
        <f>Table1[[#This Row],[Defective_Units]]/Table1[[#This Row],[Quantity]]</f>
        <v>2.8571428571428571E-2</v>
      </c>
      <c r="O1430" s="26">
        <f>(Table1[[#This Row],[Unit_Cost]]-Table1[[#This Row],[Negotiated_Cost]])/Table1[[#This Row],[Unit_Cost]]</f>
        <v>1.13310521486466E-2</v>
      </c>
    </row>
    <row r="1431" spans="1:15" x14ac:dyDescent="0.25">
      <c r="A1431" t="s">
        <v>1466</v>
      </c>
      <c r="B1431" t="s">
        <v>12</v>
      </c>
      <c r="C1431" s="14" t="s">
        <v>21</v>
      </c>
      <c r="D1431" s="1">
        <v>45053</v>
      </c>
      <c r="E1431" s="13">
        <v>45078</v>
      </c>
      <c r="F1431" s="14" t="s">
        <v>37</v>
      </c>
      <c r="G1431">
        <v>269</v>
      </c>
      <c r="H1431">
        <v>127.64</v>
      </c>
      <c r="I1431">
        <v>121.15</v>
      </c>
      <c r="J1431">
        <v>3</v>
      </c>
      <c r="K1431" s="14" t="s">
        <v>25</v>
      </c>
      <c r="L1431" s="14">
        <f>IF(OR(Table1[[#This Row],[Order_Status]]="Delivered",Table1[[#This Row],[Delivery_Date]]&lt;&gt;"Not Yet Delivered"),Table1[[#This Row],[Delivery_Date]]-Table1[[#This Row],[Order_Date]],"Not Applicable")</f>
        <v>25</v>
      </c>
      <c r="M1431" s="14">
        <f>Table1[[#This Row],[Unit_Cost]]-Table1[[#This Row],[Negotiated_Cost]]</f>
        <v>6.4899999999999949</v>
      </c>
      <c r="N1431" s="18">
        <f>Table1[[#This Row],[Defective_Units]]/Table1[[#This Row],[Quantity]]</f>
        <v>1.1152416356877323E-2</v>
      </c>
      <c r="O1431" s="26">
        <f>(Table1[[#This Row],[Unit_Cost]]-Table1[[#This Row],[Negotiated_Cost]])/Table1[[#This Row],[Unit_Cost]]</f>
        <v>5.0846129739893407E-2</v>
      </c>
    </row>
    <row r="1432" spans="1:15" x14ac:dyDescent="0.25">
      <c r="A1432" t="s">
        <v>1467</v>
      </c>
      <c r="B1432" t="s">
        <v>46</v>
      </c>
      <c r="C1432" s="14" t="s">
        <v>36</v>
      </c>
      <c r="D1432" s="1">
        <v>45267</v>
      </c>
      <c r="E1432" s="13">
        <v>45294</v>
      </c>
      <c r="F1432" s="14" t="s">
        <v>14</v>
      </c>
      <c r="G1432">
        <v>456</v>
      </c>
      <c r="H1432">
        <v>530.44000000000005</v>
      </c>
      <c r="I1432">
        <v>527.63</v>
      </c>
      <c r="J1432">
        <v>7</v>
      </c>
      <c r="K1432" s="14" t="s">
        <v>15</v>
      </c>
      <c r="L1432" s="14">
        <f>IF(OR(Table1[[#This Row],[Order_Status]]="Delivered",Table1[[#This Row],[Delivery_Date]]&lt;&gt;"Not Yet Delivered"),Table1[[#This Row],[Delivery_Date]]-Table1[[#This Row],[Order_Date]],"Not Applicable")</f>
        <v>27</v>
      </c>
      <c r="M1432" s="14">
        <f>Table1[[#This Row],[Unit_Cost]]-Table1[[#This Row],[Negotiated_Cost]]</f>
        <v>2.8100000000000591</v>
      </c>
      <c r="N1432" s="18">
        <f>Table1[[#This Row],[Defective_Units]]/Table1[[#This Row],[Quantity]]</f>
        <v>1.5350877192982455E-2</v>
      </c>
      <c r="O1432" s="26">
        <f>(Table1[[#This Row],[Unit_Cost]]-Table1[[#This Row],[Negotiated_Cost]])/Table1[[#This Row],[Unit_Cost]]</f>
        <v>5.2974888771586959E-3</v>
      </c>
    </row>
    <row r="1433" spans="1:15" x14ac:dyDescent="0.25">
      <c r="A1433" t="s">
        <v>1468</v>
      </c>
      <c r="B1433" t="s">
        <v>27</v>
      </c>
      <c r="C1433" s="14" t="s">
        <v>13</v>
      </c>
      <c r="D1433" s="1">
        <v>45047</v>
      </c>
      <c r="E1433" s="13">
        <v>45072</v>
      </c>
      <c r="F1433" s="14" t="s">
        <v>14</v>
      </c>
      <c r="G1433">
        <v>384</v>
      </c>
      <c r="H1433">
        <v>4160.49</v>
      </c>
      <c r="I1433">
        <v>4048.53</v>
      </c>
      <c r="J1433">
        <v>5</v>
      </c>
      <c r="K1433" s="14" t="s">
        <v>25</v>
      </c>
      <c r="L1433" s="14">
        <f>IF(OR(Table1[[#This Row],[Order_Status]]="Delivered",Table1[[#This Row],[Delivery_Date]]&lt;&gt;"Not Yet Delivered"),Table1[[#This Row],[Delivery_Date]]-Table1[[#This Row],[Order_Date]],"Not Applicable")</f>
        <v>25</v>
      </c>
      <c r="M1433" s="14">
        <f>Table1[[#This Row],[Unit_Cost]]-Table1[[#This Row],[Negotiated_Cost]]</f>
        <v>111.95999999999958</v>
      </c>
      <c r="N1433" s="18">
        <f>Table1[[#This Row],[Defective_Units]]/Table1[[#This Row],[Quantity]]</f>
        <v>1.3020833333333334E-2</v>
      </c>
      <c r="O1433" s="26">
        <f>(Table1[[#This Row],[Unit_Cost]]-Table1[[#This Row],[Negotiated_Cost]])/Table1[[#This Row],[Unit_Cost]]</f>
        <v>2.6910291816588813E-2</v>
      </c>
    </row>
    <row r="1434" spans="1:15" x14ac:dyDescent="0.25">
      <c r="A1434" t="s">
        <v>1469</v>
      </c>
      <c r="B1434" t="s">
        <v>20</v>
      </c>
      <c r="C1434" s="14" t="s">
        <v>18</v>
      </c>
      <c r="D1434" s="1">
        <v>45144</v>
      </c>
      <c r="E1434" s="13">
        <v>45157</v>
      </c>
      <c r="F1434" s="14" t="s">
        <v>14</v>
      </c>
      <c r="G1434">
        <v>55</v>
      </c>
      <c r="H1434">
        <v>5256.01</v>
      </c>
      <c r="I1434">
        <v>5149.88</v>
      </c>
      <c r="J1434">
        <v>0</v>
      </c>
      <c r="K1434" s="14" t="s">
        <v>15</v>
      </c>
      <c r="L1434" s="14">
        <f>IF(OR(Table1[[#This Row],[Order_Status]]="Delivered",Table1[[#This Row],[Delivery_Date]]&lt;&gt;"Not Yet Delivered"),Table1[[#This Row],[Delivery_Date]]-Table1[[#This Row],[Order_Date]],"Not Applicable")</f>
        <v>13</v>
      </c>
      <c r="M1434" s="14">
        <f>Table1[[#This Row],[Unit_Cost]]-Table1[[#This Row],[Negotiated_Cost]]</f>
        <v>106.13000000000011</v>
      </c>
      <c r="N1434" s="18">
        <f>Table1[[#This Row],[Defective_Units]]/Table1[[#This Row],[Quantity]]</f>
        <v>0</v>
      </c>
      <c r="O1434" s="26">
        <f>(Table1[[#This Row],[Unit_Cost]]-Table1[[#This Row],[Negotiated_Cost]])/Table1[[#This Row],[Unit_Cost]]</f>
        <v>2.0192122922140579E-2</v>
      </c>
    </row>
    <row r="1435" spans="1:15" x14ac:dyDescent="0.25">
      <c r="A1435" t="s">
        <v>1470</v>
      </c>
      <c r="B1435" t="s">
        <v>40</v>
      </c>
      <c r="C1435" s="14" t="s">
        <v>36</v>
      </c>
      <c r="D1435" s="1">
        <v>44974</v>
      </c>
      <c r="E1435" s="13">
        <v>45002</v>
      </c>
      <c r="F1435" s="14" t="s">
        <v>14</v>
      </c>
      <c r="G1435">
        <v>321</v>
      </c>
      <c r="H1435">
        <v>596.34</v>
      </c>
      <c r="I1435">
        <v>583.37</v>
      </c>
      <c r="J1435">
        <v>3</v>
      </c>
      <c r="K1435" s="14" t="s">
        <v>15</v>
      </c>
      <c r="L1435" s="14">
        <f>IF(OR(Table1[[#This Row],[Order_Status]]="Delivered",Table1[[#This Row],[Delivery_Date]]&lt;&gt;"Not Yet Delivered"),Table1[[#This Row],[Delivery_Date]]-Table1[[#This Row],[Order_Date]],"Not Applicable")</f>
        <v>28</v>
      </c>
      <c r="M1435" s="14">
        <f>Table1[[#This Row],[Unit_Cost]]-Table1[[#This Row],[Negotiated_Cost]]</f>
        <v>12.970000000000027</v>
      </c>
      <c r="N1435" s="18">
        <f>Table1[[#This Row],[Defective_Units]]/Table1[[#This Row],[Quantity]]</f>
        <v>9.3457943925233638E-3</v>
      </c>
      <c r="O1435" s="26">
        <f>(Table1[[#This Row],[Unit_Cost]]-Table1[[#This Row],[Negotiated_Cost]])/Table1[[#This Row],[Unit_Cost]]</f>
        <v>2.1749337626186447E-2</v>
      </c>
    </row>
    <row r="1436" spans="1:15" x14ac:dyDescent="0.25">
      <c r="A1436" t="s">
        <v>1471</v>
      </c>
      <c r="B1436" t="s">
        <v>17</v>
      </c>
      <c r="C1436" s="14" t="s">
        <v>36</v>
      </c>
      <c r="D1436" s="1">
        <v>45033</v>
      </c>
      <c r="E1436" s="13">
        <v>45049</v>
      </c>
      <c r="F1436" s="14" t="s">
        <v>14</v>
      </c>
      <c r="G1436">
        <v>43</v>
      </c>
      <c r="H1436">
        <v>546.73</v>
      </c>
      <c r="I1436">
        <v>535.41</v>
      </c>
      <c r="J1436">
        <v>0</v>
      </c>
      <c r="K1436" s="14" t="s">
        <v>15</v>
      </c>
      <c r="L1436" s="14">
        <f>IF(OR(Table1[[#This Row],[Order_Status]]="Delivered",Table1[[#This Row],[Delivery_Date]]&lt;&gt;"Not Yet Delivered"),Table1[[#This Row],[Delivery_Date]]-Table1[[#This Row],[Order_Date]],"Not Applicable")</f>
        <v>16</v>
      </c>
      <c r="M1436" s="14">
        <f>Table1[[#This Row],[Unit_Cost]]-Table1[[#This Row],[Negotiated_Cost]]</f>
        <v>11.32000000000005</v>
      </c>
      <c r="N1436" s="18">
        <f>Table1[[#This Row],[Defective_Units]]/Table1[[#This Row],[Quantity]]</f>
        <v>0</v>
      </c>
      <c r="O1436" s="26">
        <f>(Table1[[#This Row],[Unit_Cost]]-Table1[[#This Row],[Negotiated_Cost]])/Table1[[#This Row],[Unit_Cost]]</f>
        <v>2.0704918332632286E-2</v>
      </c>
    </row>
    <row r="1437" spans="1:15" x14ac:dyDescent="0.25">
      <c r="A1437" t="s">
        <v>1472</v>
      </c>
      <c r="B1437" t="s">
        <v>27</v>
      </c>
      <c r="C1437" s="14" t="s">
        <v>42</v>
      </c>
      <c r="D1437" s="1">
        <v>45535</v>
      </c>
      <c r="E1437" s="13">
        <v>45565</v>
      </c>
      <c r="F1437" s="14" t="s">
        <v>14</v>
      </c>
      <c r="G1437">
        <v>53</v>
      </c>
      <c r="H1437">
        <v>12519.86</v>
      </c>
      <c r="I1437">
        <v>12179.2</v>
      </c>
      <c r="J1437">
        <v>0</v>
      </c>
      <c r="K1437" s="14" t="s">
        <v>15</v>
      </c>
      <c r="L1437" s="14">
        <f>IF(OR(Table1[[#This Row],[Order_Status]]="Delivered",Table1[[#This Row],[Delivery_Date]]&lt;&gt;"Not Yet Delivered"),Table1[[#This Row],[Delivery_Date]]-Table1[[#This Row],[Order_Date]],"Not Applicable")</f>
        <v>30</v>
      </c>
      <c r="M1437" s="14">
        <f>Table1[[#This Row],[Unit_Cost]]-Table1[[#This Row],[Negotiated_Cost]]</f>
        <v>340.65999999999985</v>
      </c>
      <c r="N1437" s="18">
        <f>Table1[[#This Row],[Defective_Units]]/Table1[[#This Row],[Quantity]]</f>
        <v>0</v>
      </c>
      <c r="O1437" s="26">
        <f>(Table1[[#This Row],[Unit_Cost]]-Table1[[#This Row],[Negotiated_Cost]])/Table1[[#This Row],[Unit_Cost]]</f>
        <v>2.7209569436079942E-2</v>
      </c>
    </row>
    <row r="1438" spans="1:15" x14ac:dyDescent="0.25">
      <c r="A1438" t="s">
        <v>1473</v>
      </c>
      <c r="B1438" t="s">
        <v>27</v>
      </c>
      <c r="C1438" s="14" t="s">
        <v>50</v>
      </c>
      <c r="D1438" s="1">
        <v>45603</v>
      </c>
      <c r="E1438" s="14" t="s">
        <v>2057</v>
      </c>
      <c r="F1438" s="14" t="s">
        <v>22</v>
      </c>
      <c r="G1438">
        <v>485</v>
      </c>
      <c r="H1438">
        <v>53152.09</v>
      </c>
      <c r="I1438">
        <v>52701.71</v>
      </c>
      <c r="J1438">
        <v>2</v>
      </c>
      <c r="K1438" s="14" t="s">
        <v>15</v>
      </c>
      <c r="L1438" s="14" t="str">
        <f>IF(OR(Table1[[#This Row],[Order_Status]]="Delivered",Table1[[#This Row],[Delivery_Date]]&lt;&gt;"Not Yet Delivered"),Table1[[#This Row],[Delivery_Date]]-Table1[[#This Row],[Order_Date]],"Not Applicable")</f>
        <v>Not Applicable</v>
      </c>
      <c r="M1438" s="14">
        <f>Table1[[#This Row],[Unit_Cost]]-Table1[[#This Row],[Negotiated_Cost]]</f>
        <v>450.37999999999738</v>
      </c>
      <c r="N1438" s="18">
        <f>Table1[[#This Row],[Defective_Units]]/Table1[[#This Row],[Quantity]]</f>
        <v>4.1237113402061857E-3</v>
      </c>
      <c r="O1438" s="26">
        <f>(Table1[[#This Row],[Unit_Cost]]-Table1[[#This Row],[Negotiated_Cost]])/Table1[[#This Row],[Unit_Cost]]</f>
        <v>8.4734203302259115E-3</v>
      </c>
    </row>
    <row r="1439" spans="1:15" x14ac:dyDescent="0.25">
      <c r="A1439" t="s">
        <v>1474</v>
      </c>
      <c r="B1439" t="s">
        <v>46</v>
      </c>
      <c r="C1439" s="14" t="s">
        <v>30</v>
      </c>
      <c r="D1439" s="1">
        <v>45655</v>
      </c>
      <c r="E1439" s="13">
        <v>45668</v>
      </c>
      <c r="F1439" s="14" t="s">
        <v>14</v>
      </c>
      <c r="G1439">
        <v>435</v>
      </c>
      <c r="H1439">
        <v>871.57</v>
      </c>
      <c r="I1439">
        <v>838.52</v>
      </c>
      <c r="J1439">
        <v>1</v>
      </c>
      <c r="K1439" s="14" t="s">
        <v>15</v>
      </c>
      <c r="L1439" s="14">
        <f>IF(OR(Table1[[#This Row],[Order_Status]]="Delivered",Table1[[#This Row],[Delivery_Date]]&lt;&gt;"Not Yet Delivered"),Table1[[#This Row],[Delivery_Date]]-Table1[[#This Row],[Order_Date]],"Not Applicable")</f>
        <v>13</v>
      </c>
      <c r="M1439" s="14">
        <f>Table1[[#This Row],[Unit_Cost]]-Table1[[#This Row],[Negotiated_Cost]]</f>
        <v>33.050000000000068</v>
      </c>
      <c r="N1439" s="18">
        <f>Table1[[#This Row],[Defective_Units]]/Table1[[#This Row],[Quantity]]</f>
        <v>2.2988505747126436E-3</v>
      </c>
      <c r="O1439" s="26">
        <f>(Table1[[#This Row],[Unit_Cost]]-Table1[[#This Row],[Negotiated_Cost]])/Table1[[#This Row],[Unit_Cost]]</f>
        <v>3.7920075266473223E-2</v>
      </c>
    </row>
    <row r="1440" spans="1:15" x14ac:dyDescent="0.25">
      <c r="A1440" t="s">
        <v>1475</v>
      </c>
      <c r="B1440" t="s">
        <v>12</v>
      </c>
      <c r="C1440" s="14" t="s">
        <v>44</v>
      </c>
      <c r="D1440" s="1">
        <v>45135</v>
      </c>
      <c r="E1440" s="13">
        <v>45137</v>
      </c>
      <c r="F1440" s="14" t="s">
        <v>37</v>
      </c>
      <c r="G1440">
        <v>419</v>
      </c>
      <c r="H1440">
        <v>8519.24</v>
      </c>
      <c r="I1440">
        <v>8011.2</v>
      </c>
      <c r="J1440">
        <v>0</v>
      </c>
      <c r="K1440" s="14" t="s">
        <v>15</v>
      </c>
      <c r="L1440" s="14">
        <f>IF(OR(Table1[[#This Row],[Order_Status]]="Delivered",Table1[[#This Row],[Delivery_Date]]&lt;&gt;"Not Yet Delivered"),Table1[[#This Row],[Delivery_Date]]-Table1[[#This Row],[Order_Date]],"Not Applicable")</f>
        <v>2</v>
      </c>
      <c r="M1440" s="14">
        <f>Table1[[#This Row],[Unit_Cost]]-Table1[[#This Row],[Negotiated_Cost]]</f>
        <v>508.03999999999996</v>
      </c>
      <c r="N1440" s="18">
        <f>Table1[[#This Row],[Defective_Units]]/Table1[[#This Row],[Quantity]]</f>
        <v>0</v>
      </c>
      <c r="O1440" s="26">
        <f>(Table1[[#This Row],[Unit_Cost]]-Table1[[#This Row],[Negotiated_Cost]])/Table1[[#This Row],[Unit_Cost]]</f>
        <v>5.9634427484141772E-2</v>
      </c>
    </row>
    <row r="1441" spans="1:15" x14ac:dyDescent="0.25">
      <c r="A1441" t="s">
        <v>1476</v>
      </c>
      <c r="B1441" t="s">
        <v>40</v>
      </c>
      <c r="C1441" s="14" t="s">
        <v>30</v>
      </c>
      <c r="D1441" s="1">
        <v>45348</v>
      </c>
      <c r="E1441" s="13">
        <v>45376</v>
      </c>
      <c r="F1441" s="14" t="s">
        <v>14</v>
      </c>
      <c r="G1441">
        <v>410</v>
      </c>
      <c r="H1441">
        <v>979.88</v>
      </c>
      <c r="I1441">
        <v>967.6</v>
      </c>
      <c r="J1441">
        <v>2</v>
      </c>
      <c r="K1441" s="14" t="s">
        <v>15</v>
      </c>
      <c r="L1441" s="14">
        <f>IF(OR(Table1[[#This Row],[Order_Status]]="Delivered",Table1[[#This Row],[Delivery_Date]]&lt;&gt;"Not Yet Delivered"),Table1[[#This Row],[Delivery_Date]]-Table1[[#This Row],[Order_Date]],"Not Applicable")</f>
        <v>28</v>
      </c>
      <c r="M1441" s="14">
        <f>Table1[[#This Row],[Unit_Cost]]-Table1[[#This Row],[Negotiated_Cost]]</f>
        <v>12.279999999999973</v>
      </c>
      <c r="N1441" s="18">
        <f>Table1[[#This Row],[Defective_Units]]/Table1[[#This Row],[Quantity]]</f>
        <v>4.8780487804878049E-3</v>
      </c>
      <c r="O1441" s="26">
        <f>(Table1[[#This Row],[Unit_Cost]]-Table1[[#This Row],[Negotiated_Cost]])/Table1[[#This Row],[Unit_Cost]]</f>
        <v>1.2532146793484888E-2</v>
      </c>
    </row>
    <row r="1442" spans="1:15" x14ac:dyDescent="0.25">
      <c r="A1442" t="s">
        <v>1477</v>
      </c>
      <c r="B1442" t="s">
        <v>46</v>
      </c>
      <c r="C1442" s="14" t="s">
        <v>24</v>
      </c>
      <c r="D1442" s="1">
        <v>45529</v>
      </c>
      <c r="E1442" s="13">
        <v>45533</v>
      </c>
      <c r="F1442" s="14" t="s">
        <v>14</v>
      </c>
      <c r="G1442">
        <v>137</v>
      </c>
      <c r="H1442">
        <v>12816.67</v>
      </c>
      <c r="I1442">
        <v>12542.5</v>
      </c>
      <c r="J1442">
        <v>0</v>
      </c>
      <c r="K1442" s="14" t="s">
        <v>15</v>
      </c>
      <c r="L1442" s="14">
        <f>IF(OR(Table1[[#This Row],[Order_Status]]="Delivered",Table1[[#This Row],[Delivery_Date]]&lt;&gt;"Not Yet Delivered"),Table1[[#This Row],[Delivery_Date]]-Table1[[#This Row],[Order_Date]],"Not Applicable")</f>
        <v>4</v>
      </c>
      <c r="M1442" s="14">
        <f>Table1[[#This Row],[Unit_Cost]]-Table1[[#This Row],[Negotiated_Cost]]</f>
        <v>274.17000000000007</v>
      </c>
      <c r="N1442" s="18">
        <f>Table1[[#This Row],[Defective_Units]]/Table1[[#This Row],[Quantity]]</f>
        <v>0</v>
      </c>
      <c r="O1442" s="26">
        <f>(Table1[[#This Row],[Unit_Cost]]-Table1[[#This Row],[Negotiated_Cost]])/Table1[[#This Row],[Unit_Cost]]</f>
        <v>2.1391671939747225E-2</v>
      </c>
    </row>
    <row r="1443" spans="1:15" x14ac:dyDescent="0.25">
      <c r="A1443" t="s">
        <v>1478</v>
      </c>
      <c r="B1443" t="s">
        <v>12</v>
      </c>
      <c r="C1443" s="14" t="s">
        <v>30</v>
      </c>
      <c r="D1443" s="1">
        <v>45138</v>
      </c>
      <c r="E1443" s="14" t="s">
        <v>2057</v>
      </c>
      <c r="F1443" s="14" t="s">
        <v>33</v>
      </c>
      <c r="G1443">
        <v>91</v>
      </c>
      <c r="H1443">
        <v>968.3</v>
      </c>
      <c r="I1443">
        <v>949.72</v>
      </c>
      <c r="J1443">
        <v>2</v>
      </c>
      <c r="K1443" s="14" t="s">
        <v>15</v>
      </c>
      <c r="L1443" s="14" t="str">
        <f>IF(OR(Table1[[#This Row],[Order_Status]]="Delivered",Table1[[#This Row],[Delivery_Date]]&lt;&gt;"Not Yet Delivered"),Table1[[#This Row],[Delivery_Date]]-Table1[[#This Row],[Order_Date]],"Not Applicable")</f>
        <v>Not Applicable</v>
      </c>
      <c r="M1443" s="14">
        <f>Table1[[#This Row],[Unit_Cost]]-Table1[[#This Row],[Negotiated_Cost]]</f>
        <v>18.579999999999927</v>
      </c>
      <c r="N1443" s="18">
        <f>Table1[[#This Row],[Defective_Units]]/Table1[[#This Row],[Quantity]]</f>
        <v>2.197802197802198E-2</v>
      </c>
      <c r="O1443" s="26">
        <f>(Table1[[#This Row],[Unit_Cost]]-Table1[[#This Row],[Negotiated_Cost]])/Table1[[#This Row],[Unit_Cost]]</f>
        <v>1.9188268098729658E-2</v>
      </c>
    </row>
    <row r="1444" spans="1:15" x14ac:dyDescent="0.25">
      <c r="A1444" t="s">
        <v>1479</v>
      </c>
      <c r="B1444" t="s">
        <v>12</v>
      </c>
      <c r="C1444" s="14" t="s">
        <v>55</v>
      </c>
      <c r="D1444" s="1">
        <v>45223</v>
      </c>
      <c r="E1444" s="13">
        <v>45239</v>
      </c>
      <c r="F1444" s="14" t="s">
        <v>37</v>
      </c>
      <c r="G1444">
        <v>127</v>
      </c>
      <c r="H1444">
        <v>14995.41</v>
      </c>
      <c r="I1444">
        <v>14340.49</v>
      </c>
      <c r="J1444">
        <v>1</v>
      </c>
      <c r="K1444" s="14" t="s">
        <v>15</v>
      </c>
      <c r="L1444" s="14">
        <f>IF(OR(Table1[[#This Row],[Order_Status]]="Delivered",Table1[[#This Row],[Delivery_Date]]&lt;&gt;"Not Yet Delivered"),Table1[[#This Row],[Delivery_Date]]-Table1[[#This Row],[Order_Date]],"Not Applicable")</f>
        <v>16</v>
      </c>
      <c r="M1444" s="14">
        <f>Table1[[#This Row],[Unit_Cost]]-Table1[[#This Row],[Negotiated_Cost]]</f>
        <v>654.92000000000007</v>
      </c>
      <c r="N1444" s="18">
        <f>Table1[[#This Row],[Defective_Units]]/Table1[[#This Row],[Quantity]]</f>
        <v>7.874015748031496E-3</v>
      </c>
      <c r="O1444" s="26">
        <f>(Table1[[#This Row],[Unit_Cost]]-Table1[[#This Row],[Negotiated_Cost]])/Table1[[#This Row],[Unit_Cost]]</f>
        <v>4.3674697790857343E-2</v>
      </c>
    </row>
    <row r="1445" spans="1:15" x14ac:dyDescent="0.25">
      <c r="A1445" t="s">
        <v>1480</v>
      </c>
      <c r="B1445" t="s">
        <v>35</v>
      </c>
      <c r="C1445" s="14" t="s">
        <v>30</v>
      </c>
      <c r="D1445" s="1">
        <v>45302</v>
      </c>
      <c r="E1445" s="13">
        <v>45328</v>
      </c>
      <c r="F1445" s="14" t="s">
        <v>14</v>
      </c>
      <c r="G1445">
        <v>418</v>
      </c>
      <c r="H1445">
        <v>888.49</v>
      </c>
      <c r="I1445">
        <v>838.6</v>
      </c>
      <c r="J1445">
        <v>3</v>
      </c>
      <c r="K1445" s="14" t="s">
        <v>15</v>
      </c>
      <c r="L1445" s="14">
        <f>IF(OR(Table1[[#This Row],[Order_Status]]="Delivered",Table1[[#This Row],[Delivery_Date]]&lt;&gt;"Not Yet Delivered"),Table1[[#This Row],[Delivery_Date]]-Table1[[#This Row],[Order_Date]],"Not Applicable")</f>
        <v>26</v>
      </c>
      <c r="M1445" s="14">
        <f>Table1[[#This Row],[Unit_Cost]]-Table1[[#This Row],[Negotiated_Cost]]</f>
        <v>49.889999999999986</v>
      </c>
      <c r="N1445" s="18">
        <f>Table1[[#This Row],[Defective_Units]]/Table1[[#This Row],[Quantity]]</f>
        <v>7.1770334928229667E-3</v>
      </c>
      <c r="O1445" s="26">
        <f>(Table1[[#This Row],[Unit_Cost]]-Table1[[#This Row],[Negotiated_Cost]])/Table1[[#This Row],[Unit_Cost]]</f>
        <v>5.6151447962273053E-2</v>
      </c>
    </row>
    <row r="1446" spans="1:15" x14ac:dyDescent="0.25">
      <c r="A1446" t="s">
        <v>1481</v>
      </c>
      <c r="B1446" t="s">
        <v>32</v>
      </c>
      <c r="C1446" s="14" t="s">
        <v>28</v>
      </c>
      <c r="D1446" s="1">
        <v>45494</v>
      </c>
      <c r="E1446" s="13">
        <v>45520</v>
      </c>
      <c r="F1446" s="14" t="s">
        <v>14</v>
      </c>
      <c r="G1446">
        <v>59</v>
      </c>
      <c r="H1446">
        <v>46367.79</v>
      </c>
      <c r="I1446">
        <v>44417.919999999998</v>
      </c>
      <c r="J1446">
        <v>2</v>
      </c>
      <c r="K1446" s="14" t="s">
        <v>15</v>
      </c>
      <c r="L1446" s="14">
        <f>IF(OR(Table1[[#This Row],[Order_Status]]="Delivered",Table1[[#This Row],[Delivery_Date]]&lt;&gt;"Not Yet Delivered"),Table1[[#This Row],[Delivery_Date]]-Table1[[#This Row],[Order_Date]],"Not Applicable")</f>
        <v>26</v>
      </c>
      <c r="M1446" s="14">
        <f>Table1[[#This Row],[Unit_Cost]]-Table1[[#This Row],[Negotiated_Cost]]</f>
        <v>1949.8700000000026</v>
      </c>
      <c r="N1446" s="18">
        <f>Table1[[#This Row],[Defective_Units]]/Table1[[#This Row],[Quantity]]</f>
        <v>3.3898305084745763E-2</v>
      </c>
      <c r="O1446" s="26">
        <f>(Table1[[#This Row],[Unit_Cost]]-Table1[[#This Row],[Negotiated_Cost]])/Table1[[#This Row],[Unit_Cost]]</f>
        <v>4.205225222077659E-2</v>
      </c>
    </row>
    <row r="1447" spans="1:15" x14ac:dyDescent="0.25">
      <c r="A1447" t="s">
        <v>1482</v>
      </c>
      <c r="B1447" t="s">
        <v>12</v>
      </c>
      <c r="C1447" s="14" t="s">
        <v>13</v>
      </c>
      <c r="D1447" s="1">
        <v>45038</v>
      </c>
      <c r="E1447" s="13">
        <v>45062</v>
      </c>
      <c r="F1447" s="14" t="s">
        <v>14</v>
      </c>
      <c r="G1447">
        <v>329</v>
      </c>
      <c r="H1447">
        <v>4491.9799999999996</v>
      </c>
      <c r="I1447">
        <v>4323.74</v>
      </c>
      <c r="J1447">
        <v>2</v>
      </c>
      <c r="K1447" s="14" t="s">
        <v>15</v>
      </c>
      <c r="L1447" s="14">
        <f>IF(OR(Table1[[#This Row],[Order_Status]]="Delivered",Table1[[#This Row],[Delivery_Date]]&lt;&gt;"Not Yet Delivered"),Table1[[#This Row],[Delivery_Date]]-Table1[[#This Row],[Order_Date]],"Not Applicable")</f>
        <v>24</v>
      </c>
      <c r="M1447" s="14">
        <f>Table1[[#This Row],[Unit_Cost]]-Table1[[#This Row],[Negotiated_Cost]]</f>
        <v>168.23999999999978</v>
      </c>
      <c r="N1447" s="18">
        <f>Table1[[#This Row],[Defective_Units]]/Table1[[#This Row],[Quantity]]</f>
        <v>6.0790273556231003E-3</v>
      </c>
      <c r="O1447" s="26">
        <f>(Table1[[#This Row],[Unit_Cost]]-Table1[[#This Row],[Negotiated_Cost]])/Table1[[#This Row],[Unit_Cost]]</f>
        <v>3.7453416978704225E-2</v>
      </c>
    </row>
    <row r="1448" spans="1:15" x14ac:dyDescent="0.25">
      <c r="A1448" t="s">
        <v>1483</v>
      </c>
      <c r="B1448" t="s">
        <v>35</v>
      </c>
      <c r="C1448" s="14" t="s">
        <v>44</v>
      </c>
      <c r="D1448" s="1">
        <v>45297</v>
      </c>
      <c r="E1448" s="14" t="s">
        <v>2057</v>
      </c>
      <c r="F1448" s="14" t="s">
        <v>22</v>
      </c>
      <c r="G1448">
        <v>162</v>
      </c>
      <c r="H1448">
        <v>8265.84</v>
      </c>
      <c r="I1448">
        <v>7917.18</v>
      </c>
      <c r="J1448">
        <v>2</v>
      </c>
      <c r="K1448" s="14" t="s">
        <v>15</v>
      </c>
      <c r="L1448" s="14" t="str">
        <f>IF(OR(Table1[[#This Row],[Order_Status]]="Delivered",Table1[[#This Row],[Delivery_Date]]&lt;&gt;"Not Yet Delivered"),Table1[[#This Row],[Delivery_Date]]-Table1[[#This Row],[Order_Date]],"Not Applicable")</f>
        <v>Not Applicable</v>
      </c>
      <c r="M1448" s="14">
        <f>Table1[[#This Row],[Unit_Cost]]-Table1[[#This Row],[Negotiated_Cost]]</f>
        <v>348.65999999999985</v>
      </c>
      <c r="N1448" s="18">
        <f>Table1[[#This Row],[Defective_Units]]/Table1[[#This Row],[Quantity]]</f>
        <v>1.2345679012345678E-2</v>
      </c>
      <c r="O1448" s="26">
        <f>(Table1[[#This Row],[Unit_Cost]]-Table1[[#This Row],[Negotiated_Cost]])/Table1[[#This Row],[Unit_Cost]]</f>
        <v>4.218083098632442E-2</v>
      </c>
    </row>
    <row r="1449" spans="1:15" x14ac:dyDescent="0.25">
      <c r="A1449" t="s">
        <v>1484</v>
      </c>
      <c r="B1449" t="s">
        <v>46</v>
      </c>
      <c r="C1449" s="14" t="s">
        <v>28</v>
      </c>
      <c r="D1449" s="1">
        <v>45621</v>
      </c>
      <c r="E1449" s="13">
        <v>45637</v>
      </c>
      <c r="F1449" s="14" t="s">
        <v>14</v>
      </c>
      <c r="G1449">
        <v>187</v>
      </c>
      <c r="H1449">
        <v>48113.46</v>
      </c>
      <c r="I1449">
        <v>45384.1</v>
      </c>
      <c r="J1449">
        <v>2</v>
      </c>
      <c r="K1449" s="14" t="s">
        <v>15</v>
      </c>
      <c r="L1449" s="14">
        <f>IF(OR(Table1[[#This Row],[Order_Status]]="Delivered",Table1[[#This Row],[Delivery_Date]]&lt;&gt;"Not Yet Delivered"),Table1[[#This Row],[Delivery_Date]]-Table1[[#This Row],[Order_Date]],"Not Applicable")</f>
        <v>16</v>
      </c>
      <c r="M1449" s="14">
        <f>Table1[[#This Row],[Unit_Cost]]-Table1[[#This Row],[Negotiated_Cost]]</f>
        <v>2729.3600000000006</v>
      </c>
      <c r="N1449" s="18">
        <f>Table1[[#This Row],[Defective_Units]]/Table1[[#This Row],[Quantity]]</f>
        <v>1.06951871657754E-2</v>
      </c>
      <c r="O1449" s="26">
        <f>(Table1[[#This Row],[Unit_Cost]]-Table1[[#This Row],[Negotiated_Cost]])/Table1[[#This Row],[Unit_Cost]]</f>
        <v>5.6727576856871249E-2</v>
      </c>
    </row>
    <row r="1450" spans="1:15" x14ac:dyDescent="0.25">
      <c r="A1450" t="s">
        <v>1485</v>
      </c>
      <c r="B1450" t="s">
        <v>40</v>
      </c>
      <c r="C1450" s="14" t="s">
        <v>21</v>
      </c>
      <c r="D1450" s="1">
        <v>45045</v>
      </c>
      <c r="E1450" s="13">
        <v>45055</v>
      </c>
      <c r="F1450" s="14" t="s">
        <v>14</v>
      </c>
      <c r="G1450">
        <v>354</v>
      </c>
      <c r="H1450">
        <v>126.87</v>
      </c>
      <c r="I1450">
        <v>121.05</v>
      </c>
      <c r="J1450">
        <v>2</v>
      </c>
      <c r="K1450" s="14" t="s">
        <v>15</v>
      </c>
      <c r="L1450" s="14">
        <f>IF(OR(Table1[[#This Row],[Order_Status]]="Delivered",Table1[[#This Row],[Delivery_Date]]&lt;&gt;"Not Yet Delivered"),Table1[[#This Row],[Delivery_Date]]-Table1[[#This Row],[Order_Date]],"Not Applicable")</f>
        <v>10</v>
      </c>
      <c r="M1450" s="14">
        <f>Table1[[#This Row],[Unit_Cost]]-Table1[[#This Row],[Negotiated_Cost]]</f>
        <v>5.8200000000000074</v>
      </c>
      <c r="N1450" s="18">
        <f>Table1[[#This Row],[Defective_Units]]/Table1[[#This Row],[Quantity]]</f>
        <v>5.6497175141242938E-3</v>
      </c>
      <c r="O1450" s="26">
        <f>(Table1[[#This Row],[Unit_Cost]]-Table1[[#This Row],[Negotiated_Cost]])/Table1[[#This Row],[Unit_Cost]]</f>
        <v>4.5873729013951342E-2</v>
      </c>
    </row>
    <row r="1451" spans="1:15" x14ac:dyDescent="0.25">
      <c r="A1451" t="s">
        <v>1486</v>
      </c>
      <c r="B1451" t="s">
        <v>46</v>
      </c>
      <c r="C1451" s="14" t="s">
        <v>30</v>
      </c>
      <c r="D1451" s="1">
        <v>45611</v>
      </c>
      <c r="E1451" s="13">
        <v>45632</v>
      </c>
      <c r="F1451" s="14" t="s">
        <v>14</v>
      </c>
      <c r="G1451">
        <v>249</v>
      </c>
      <c r="H1451">
        <v>894.96</v>
      </c>
      <c r="I1451">
        <v>886.87</v>
      </c>
      <c r="J1451">
        <v>0</v>
      </c>
      <c r="K1451" s="14" t="s">
        <v>25</v>
      </c>
      <c r="L1451" s="14">
        <f>IF(OR(Table1[[#This Row],[Order_Status]]="Delivered",Table1[[#This Row],[Delivery_Date]]&lt;&gt;"Not Yet Delivered"),Table1[[#This Row],[Delivery_Date]]-Table1[[#This Row],[Order_Date]],"Not Applicable")</f>
        <v>21</v>
      </c>
      <c r="M1451" s="14">
        <f>Table1[[#This Row],[Unit_Cost]]-Table1[[#This Row],[Negotiated_Cost]]</f>
        <v>8.0900000000000318</v>
      </c>
      <c r="N1451" s="18">
        <f>Table1[[#This Row],[Defective_Units]]/Table1[[#This Row],[Quantity]]</f>
        <v>0</v>
      </c>
      <c r="O1451" s="26">
        <f>(Table1[[#This Row],[Unit_Cost]]-Table1[[#This Row],[Negotiated_Cost]])/Table1[[#This Row],[Unit_Cost]]</f>
        <v>9.0395101457048706E-3</v>
      </c>
    </row>
    <row r="1452" spans="1:15" x14ac:dyDescent="0.25">
      <c r="A1452" t="s">
        <v>1487</v>
      </c>
      <c r="B1452" t="s">
        <v>32</v>
      </c>
      <c r="C1452" s="14" t="s">
        <v>55</v>
      </c>
      <c r="D1452" s="1">
        <v>45208</v>
      </c>
      <c r="E1452" s="13">
        <v>45222</v>
      </c>
      <c r="F1452" s="14" t="s">
        <v>14</v>
      </c>
      <c r="G1452">
        <v>297</v>
      </c>
      <c r="H1452">
        <v>13819.1</v>
      </c>
      <c r="I1452">
        <v>13243.99</v>
      </c>
      <c r="J1452">
        <v>5</v>
      </c>
      <c r="K1452" s="14" t="s">
        <v>15</v>
      </c>
      <c r="L1452" s="14">
        <f>IF(OR(Table1[[#This Row],[Order_Status]]="Delivered",Table1[[#This Row],[Delivery_Date]]&lt;&gt;"Not Yet Delivered"),Table1[[#This Row],[Delivery_Date]]-Table1[[#This Row],[Order_Date]],"Not Applicable")</f>
        <v>14</v>
      </c>
      <c r="M1452" s="14">
        <f>Table1[[#This Row],[Unit_Cost]]-Table1[[#This Row],[Negotiated_Cost]]</f>
        <v>575.11000000000058</v>
      </c>
      <c r="N1452" s="18">
        <f>Table1[[#This Row],[Defective_Units]]/Table1[[#This Row],[Quantity]]</f>
        <v>1.6835016835016835E-2</v>
      </c>
      <c r="O1452" s="26">
        <f>(Table1[[#This Row],[Unit_Cost]]-Table1[[#This Row],[Negotiated_Cost]])/Table1[[#This Row],[Unit_Cost]]</f>
        <v>4.1617037288969656E-2</v>
      </c>
    </row>
    <row r="1453" spans="1:15" x14ac:dyDescent="0.25">
      <c r="A1453" t="s">
        <v>1488</v>
      </c>
      <c r="B1453" t="s">
        <v>40</v>
      </c>
      <c r="C1453" s="14" t="s">
        <v>24</v>
      </c>
      <c r="D1453" s="1">
        <v>45627</v>
      </c>
      <c r="E1453" s="13">
        <v>45639</v>
      </c>
      <c r="F1453" s="14" t="s">
        <v>14</v>
      </c>
      <c r="G1453">
        <v>472</v>
      </c>
      <c r="H1453">
        <v>13683.26</v>
      </c>
      <c r="I1453">
        <v>13298.22</v>
      </c>
      <c r="J1453">
        <v>6</v>
      </c>
      <c r="K1453" s="14" t="s">
        <v>15</v>
      </c>
      <c r="L1453" s="14">
        <f>IF(OR(Table1[[#This Row],[Order_Status]]="Delivered",Table1[[#This Row],[Delivery_Date]]&lt;&gt;"Not Yet Delivered"),Table1[[#This Row],[Delivery_Date]]-Table1[[#This Row],[Order_Date]],"Not Applicable")</f>
        <v>12</v>
      </c>
      <c r="M1453" s="14">
        <f>Table1[[#This Row],[Unit_Cost]]-Table1[[#This Row],[Negotiated_Cost]]</f>
        <v>385.04000000000087</v>
      </c>
      <c r="N1453" s="18">
        <f>Table1[[#This Row],[Defective_Units]]/Table1[[#This Row],[Quantity]]</f>
        <v>1.2711864406779662E-2</v>
      </c>
      <c r="O1453" s="26">
        <f>(Table1[[#This Row],[Unit_Cost]]-Table1[[#This Row],[Negotiated_Cost]])/Table1[[#This Row],[Unit_Cost]]</f>
        <v>2.8139493074018973E-2</v>
      </c>
    </row>
    <row r="1454" spans="1:15" x14ac:dyDescent="0.25">
      <c r="A1454" t="s">
        <v>1489</v>
      </c>
      <c r="B1454" t="s">
        <v>46</v>
      </c>
      <c r="C1454" s="14" t="s">
        <v>55</v>
      </c>
      <c r="D1454" s="1">
        <v>45013</v>
      </c>
      <c r="E1454" s="13">
        <v>45028</v>
      </c>
      <c r="F1454" s="14" t="s">
        <v>37</v>
      </c>
      <c r="G1454">
        <v>441</v>
      </c>
      <c r="H1454">
        <v>14652.51</v>
      </c>
      <c r="I1454">
        <v>14462.86</v>
      </c>
      <c r="J1454">
        <v>3</v>
      </c>
      <c r="K1454" s="14" t="s">
        <v>15</v>
      </c>
      <c r="L1454" s="14">
        <f>IF(OR(Table1[[#This Row],[Order_Status]]="Delivered",Table1[[#This Row],[Delivery_Date]]&lt;&gt;"Not Yet Delivered"),Table1[[#This Row],[Delivery_Date]]-Table1[[#This Row],[Order_Date]],"Not Applicable")</f>
        <v>15</v>
      </c>
      <c r="M1454" s="14">
        <f>Table1[[#This Row],[Unit_Cost]]-Table1[[#This Row],[Negotiated_Cost]]</f>
        <v>189.64999999999964</v>
      </c>
      <c r="N1454" s="18">
        <f>Table1[[#This Row],[Defective_Units]]/Table1[[#This Row],[Quantity]]</f>
        <v>6.8027210884353739E-3</v>
      </c>
      <c r="O1454" s="26">
        <f>(Table1[[#This Row],[Unit_Cost]]-Table1[[#This Row],[Negotiated_Cost]])/Table1[[#This Row],[Unit_Cost]]</f>
        <v>1.2943174923613745E-2</v>
      </c>
    </row>
    <row r="1455" spans="1:15" x14ac:dyDescent="0.25">
      <c r="A1455" t="s">
        <v>1490</v>
      </c>
      <c r="B1455" t="s">
        <v>17</v>
      </c>
      <c r="C1455" s="14" t="s">
        <v>48</v>
      </c>
      <c r="D1455" s="1">
        <v>45446</v>
      </c>
      <c r="E1455" s="13">
        <v>45456</v>
      </c>
      <c r="F1455" s="14" t="s">
        <v>14</v>
      </c>
      <c r="G1455">
        <v>76</v>
      </c>
      <c r="H1455">
        <v>5832.67</v>
      </c>
      <c r="I1455">
        <v>5690.75</v>
      </c>
      <c r="J1455">
        <v>0</v>
      </c>
      <c r="K1455" s="14" t="s">
        <v>15</v>
      </c>
      <c r="L1455" s="14">
        <f>IF(OR(Table1[[#This Row],[Order_Status]]="Delivered",Table1[[#This Row],[Delivery_Date]]&lt;&gt;"Not Yet Delivered"),Table1[[#This Row],[Delivery_Date]]-Table1[[#This Row],[Order_Date]],"Not Applicable")</f>
        <v>10</v>
      </c>
      <c r="M1455" s="14">
        <f>Table1[[#This Row],[Unit_Cost]]-Table1[[#This Row],[Negotiated_Cost]]</f>
        <v>141.92000000000007</v>
      </c>
      <c r="N1455" s="18">
        <f>Table1[[#This Row],[Defective_Units]]/Table1[[#This Row],[Quantity]]</f>
        <v>0</v>
      </c>
      <c r="O1455" s="26">
        <f>(Table1[[#This Row],[Unit_Cost]]-Table1[[#This Row],[Negotiated_Cost]])/Table1[[#This Row],[Unit_Cost]]</f>
        <v>2.4331909742879344E-2</v>
      </c>
    </row>
    <row r="1456" spans="1:15" x14ac:dyDescent="0.25">
      <c r="A1456" t="s">
        <v>1491</v>
      </c>
      <c r="B1456" t="s">
        <v>46</v>
      </c>
      <c r="C1456" s="14" t="s">
        <v>24</v>
      </c>
      <c r="D1456" s="1">
        <v>45063</v>
      </c>
      <c r="E1456" s="13">
        <v>45067</v>
      </c>
      <c r="F1456" s="14" t="s">
        <v>14</v>
      </c>
      <c r="G1456">
        <v>259</v>
      </c>
      <c r="H1456">
        <v>12756.04</v>
      </c>
      <c r="I1456">
        <v>12620.13</v>
      </c>
      <c r="J1456">
        <v>4</v>
      </c>
      <c r="K1456" s="14" t="s">
        <v>15</v>
      </c>
      <c r="L1456" s="14">
        <f>IF(OR(Table1[[#This Row],[Order_Status]]="Delivered",Table1[[#This Row],[Delivery_Date]]&lt;&gt;"Not Yet Delivered"),Table1[[#This Row],[Delivery_Date]]-Table1[[#This Row],[Order_Date]],"Not Applicable")</f>
        <v>4</v>
      </c>
      <c r="M1456" s="14">
        <f>Table1[[#This Row],[Unit_Cost]]-Table1[[#This Row],[Negotiated_Cost]]</f>
        <v>135.91000000000167</v>
      </c>
      <c r="N1456" s="18">
        <f>Table1[[#This Row],[Defective_Units]]/Table1[[#This Row],[Quantity]]</f>
        <v>1.5444015444015444E-2</v>
      </c>
      <c r="O1456" s="26">
        <f>(Table1[[#This Row],[Unit_Cost]]-Table1[[#This Row],[Negotiated_Cost]])/Table1[[#This Row],[Unit_Cost]]</f>
        <v>1.0654560506238744E-2</v>
      </c>
    </row>
    <row r="1457" spans="1:15" x14ac:dyDescent="0.25">
      <c r="A1457" t="s">
        <v>1492</v>
      </c>
      <c r="B1457" t="s">
        <v>46</v>
      </c>
      <c r="C1457" s="14" t="s">
        <v>42</v>
      </c>
      <c r="D1457" s="1">
        <v>45510</v>
      </c>
      <c r="E1457" s="13">
        <v>45537</v>
      </c>
      <c r="F1457" s="14" t="s">
        <v>14</v>
      </c>
      <c r="G1457">
        <v>183</v>
      </c>
      <c r="H1457">
        <v>12077.73</v>
      </c>
      <c r="I1457">
        <v>11633.99</v>
      </c>
      <c r="J1457">
        <v>1</v>
      </c>
      <c r="K1457" s="14" t="s">
        <v>15</v>
      </c>
      <c r="L1457" s="14">
        <f>IF(OR(Table1[[#This Row],[Order_Status]]="Delivered",Table1[[#This Row],[Delivery_Date]]&lt;&gt;"Not Yet Delivered"),Table1[[#This Row],[Delivery_Date]]-Table1[[#This Row],[Order_Date]],"Not Applicable")</f>
        <v>27</v>
      </c>
      <c r="M1457" s="14">
        <f>Table1[[#This Row],[Unit_Cost]]-Table1[[#This Row],[Negotiated_Cost]]</f>
        <v>443.73999999999978</v>
      </c>
      <c r="N1457" s="18">
        <f>Table1[[#This Row],[Defective_Units]]/Table1[[#This Row],[Quantity]]</f>
        <v>5.4644808743169399E-3</v>
      </c>
      <c r="O1457" s="26">
        <f>(Table1[[#This Row],[Unit_Cost]]-Table1[[#This Row],[Negotiated_Cost]])/Table1[[#This Row],[Unit_Cost]]</f>
        <v>3.674034773090637E-2</v>
      </c>
    </row>
    <row r="1458" spans="1:15" x14ac:dyDescent="0.25">
      <c r="A1458" t="s">
        <v>1493</v>
      </c>
      <c r="B1458" t="s">
        <v>35</v>
      </c>
      <c r="C1458" s="14" t="s">
        <v>13</v>
      </c>
      <c r="D1458" s="1">
        <v>44959</v>
      </c>
      <c r="E1458" s="13">
        <v>44964</v>
      </c>
      <c r="F1458" s="14" t="s">
        <v>14</v>
      </c>
      <c r="G1458">
        <v>119</v>
      </c>
      <c r="H1458">
        <v>4187.8500000000004</v>
      </c>
      <c r="I1458">
        <v>4054.87</v>
      </c>
      <c r="J1458">
        <v>1</v>
      </c>
      <c r="K1458" s="14" t="s">
        <v>15</v>
      </c>
      <c r="L1458" s="14">
        <f>IF(OR(Table1[[#This Row],[Order_Status]]="Delivered",Table1[[#This Row],[Delivery_Date]]&lt;&gt;"Not Yet Delivered"),Table1[[#This Row],[Delivery_Date]]-Table1[[#This Row],[Order_Date]],"Not Applicable")</f>
        <v>5</v>
      </c>
      <c r="M1458" s="14">
        <f>Table1[[#This Row],[Unit_Cost]]-Table1[[#This Row],[Negotiated_Cost]]</f>
        <v>132.98000000000047</v>
      </c>
      <c r="N1458" s="18">
        <f>Table1[[#This Row],[Defective_Units]]/Table1[[#This Row],[Quantity]]</f>
        <v>8.4033613445378148E-3</v>
      </c>
      <c r="O1458" s="26">
        <f>(Table1[[#This Row],[Unit_Cost]]-Table1[[#This Row],[Negotiated_Cost]])/Table1[[#This Row],[Unit_Cost]]</f>
        <v>3.1753763864512924E-2</v>
      </c>
    </row>
    <row r="1459" spans="1:15" x14ac:dyDescent="0.25">
      <c r="A1459" t="s">
        <v>1494</v>
      </c>
      <c r="B1459" t="s">
        <v>32</v>
      </c>
      <c r="C1459" s="14" t="s">
        <v>30</v>
      </c>
      <c r="D1459" s="1">
        <v>45362</v>
      </c>
      <c r="E1459" s="13">
        <v>45371</v>
      </c>
      <c r="F1459" s="14" t="s">
        <v>37</v>
      </c>
      <c r="G1459">
        <v>31</v>
      </c>
      <c r="H1459">
        <v>805.15</v>
      </c>
      <c r="I1459">
        <v>758.53</v>
      </c>
      <c r="J1459">
        <v>2</v>
      </c>
      <c r="K1459" s="14" t="s">
        <v>15</v>
      </c>
      <c r="L1459" s="14">
        <f>IF(OR(Table1[[#This Row],[Order_Status]]="Delivered",Table1[[#This Row],[Delivery_Date]]&lt;&gt;"Not Yet Delivered"),Table1[[#This Row],[Delivery_Date]]-Table1[[#This Row],[Order_Date]],"Not Applicable")</f>
        <v>9</v>
      </c>
      <c r="M1459" s="14">
        <f>Table1[[#This Row],[Unit_Cost]]-Table1[[#This Row],[Negotiated_Cost]]</f>
        <v>46.620000000000005</v>
      </c>
      <c r="N1459" s="18">
        <f>Table1[[#This Row],[Defective_Units]]/Table1[[#This Row],[Quantity]]</f>
        <v>6.4516129032258063E-2</v>
      </c>
      <c r="O1459" s="26">
        <f>(Table1[[#This Row],[Unit_Cost]]-Table1[[#This Row],[Negotiated_Cost]])/Table1[[#This Row],[Unit_Cost]]</f>
        <v>5.7902254238340688E-2</v>
      </c>
    </row>
    <row r="1460" spans="1:15" x14ac:dyDescent="0.25">
      <c r="A1460" t="s">
        <v>1495</v>
      </c>
      <c r="B1460" t="s">
        <v>12</v>
      </c>
      <c r="C1460" s="14" t="s">
        <v>50</v>
      </c>
      <c r="D1460" s="1">
        <v>44947</v>
      </c>
      <c r="E1460" s="14" t="s">
        <v>2057</v>
      </c>
      <c r="F1460" s="14" t="s">
        <v>33</v>
      </c>
      <c r="G1460">
        <v>491</v>
      </c>
      <c r="H1460">
        <v>57051.02</v>
      </c>
      <c r="I1460">
        <v>56096.06</v>
      </c>
      <c r="J1460">
        <v>2</v>
      </c>
      <c r="K1460" s="14" t="s">
        <v>25</v>
      </c>
      <c r="L1460" s="14" t="str">
        <f>IF(OR(Table1[[#This Row],[Order_Status]]="Delivered",Table1[[#This Row],[Delivery_Date]]&lt;&gt;"Not Yet Delivered"),Table1[[#This Row],[Delivery_Date]]-Table1[[#This Row],[Order_Date]],"Not Applicable")</f>
        <v>Not Applicable</v>
      </c>
      <c r="M1460" s="14">
        <f>Table1[[#This Row],[Unit_Cost]]-Table1[[#This Row],[Negotiated_Cost]]</f>
        <v>954.95999999999913</v>
      </c>
      <c r="N1460" s="18">
        <f>Table1[[#This Row],[Defective_Units]]/Table1[[#This Row],[Quantity]]</f>
        <v>4.0733197556008143E-3</v>
      </c>
      <c r="O1460" s="26">
        <f>(Table1[[#This Row],[Unit_Cost]]-Table1[[#This Row],[Negotiated_Cost]])/Table1[[#This Row],[Unit_Cost]]</f>
        <v>1.6738701604283309E-2</v>
      </c>
    </row>
    <row r="1461" spans="1:15" x14ac:dyDescent="0.25">
      <c r="A1461" t="s">
        <v>1496</v>
      </c>
      <c r="B1461" t="s">
        <v>12</v>
      </c>
      <c r="C1461" s="14" t="s">
        <v>24</v>
      </c>
      <c r="D1461" s="1">
        <v>45474</v>
      </c>
      <c r="E1461" s="13">
        <v>45480</v>
      </c>
      <c r="F1461" s="14" t="s">
        <v>14</v>
      </c>
      <c r="G1461">
        <v>250</v>
      </c>
      <c r="H1461">
        <v>12400.48</v>
      </c>
      <c r="I1461">
        <v>12012.86</v>
      </c>
      <c r="J1461">
        <v>4</v>
      </c>
      <c r="K1461" s="14" t="s">
        <v>15</v>
      </c>
      <c r="L1461" s="14">
        <f>IF(OR(Table1[[#This Row],[Order_Status]]="Delivered",Table1[[#This Row],[Delivery_Date]]&lt;&gt;"Not Yet Delivered"),Table1[[#This Row],[Delivery_Date]]-Table1[[#This Row],[Order_Date]],"Not Applicable")</f>
        <v>6</v>
      </c>
      <c r="M1461" s="14">
        <f>Table1[[#This Row],[Unit_Cost]]-Table1[[#This Row],[Negotiated_Cost]]</f>
        <v>387.61999999999898</v>
      </c>
      <c r="N1461" s="18">
        <f>Table1[[#This Row],[Defective_Units]]/Table1[[#This Row],[Quantity]]</f>
        <v>1.6E-2</v>
      </c>
      <c r="O1461" s="26">
        <f>(Table1[[#This Row],[Unit_Cost]]-Table1[[#This Row],[Negotiated_Cost]])/Table1[[#This Row],[Unit_Cost]]</f>
        <v>3.1258467414164534E-2</v>
      </c>
    </row>
    <row r="1462" spans="1:15" x14ac:dyDescent="0.25">
      <c r="A1462" t="s">
        <v>1497</v>
      </c>
      <c r="B1462" t="s">
        <v>12</v>
      </c>
      <c r="C1462" s="14" t="s">
        <v>30</v>
      </c>
      <c r="D1462" s="1">
        <v>45225</v>
      </c>
      <c r="E1462" s="13">
        <v>45251</v>
      </c>
      <c r="F1462" s="14" t="s">
        <v>37</v>
      </c>
      <c r="G1462">
        <v>240</v>
      </c>
      <c r="H1462">
        <v>906.99</v>
      </c>
      <c r="I1462">
        <v>862.04</v>
      </c>
      <c r="J1462">
        <v>3</v>
      </c>
      <c r="K1462" s="14" t="s">
        <v>15</v>
      </c>
      <c r="L1462" s="14">
        <f>IF(OR(Table1[[#This Row],[Order_Status]]="Delivered",Table1[[#This Row],[Delivery_Date]]&lt;&gt;"Not Yet Delivered"),Table1[[#This Row],[Delivery_Date]]-Table1[[#This Row],[Order_Date]],"Not Applicable")</f>
        <v>26</v>
      </c>
      <c r="M1462" s="14">
        <f>Table1[[#This Row],[Unit_Cost]]-Table1[[#This Row],[Negotiated_Cost]]</f>
        <v>44.950000000000045</v>
      </c>
      <c r="N1462" s="18">
        <f>Table1[[#This Row],[Defective_Units]]/Table1[[#This Row],[Quantity]]</f>
        <v>1.2500000000000001E-2</v>
      </c>
      <c r="O1462" s="26">
        <f>(Table1[[#This Row],[Unit_Cost]]-Table1[[#This Row],[Negotiated_Cost]])/Table1[[#This Row],[Unit_Cost]]</f>
        <v>4.955953207863377E-2</v>
      </c>
    </row>
    <row r="1463" spans="1:15" x14ac:dyDescent="0.25">
      <c r="A1463" t="s">
        <v>1498</v>
      </c>
      <c r="B1463" t="s">
        <v>12</v>
      </c>
      <c r="C1463" s="14" t="s">
        <v>28</v>
      </c>
      <c r="D1463" s="1">
        <v>45534</v>
      </c>
      <c r="E1463" s="13">
        <v>45556</v>
      </c>
      <c r="F1463" s="14" t="s">
        <v>14</v>
      </c>
      <c r="G1463">
        <v>321</v>
      </c>
      <c r="H1463">
        <v>47690.720000000001</v>
      </c>
      <c r="I1463">
        <v>45518.77</v>
      </c>
      <c r="J1463">
        <v>2</v>
      </c>
      <c r="K1463" s="14" t="s">
        <v>15</v>
      </c>
      <c r="L1463" s="14">
        <f>IF(OR(Table1[[#This Row],[Order_Status]]="Delivered",Table1[[#This Row],[Delivery_Date]]&lt;&gt;"Not Yet Delivered"),Table1[[#This Row],[Delivery_Date]]-Table1[[#This Row],[Order_Date]],"Not Applicable")</f>
        <v>22</v>
      </c>
      <c r="M1463" s="14">
        <f>Table1[[#This Row],[Unit_Cost]]-Table1[[#This Row],[Negotiated_Cost]]</f>
        <v>2171.9500000000044</v>
      </c>
      <c r="N1463" s="18">
        <f>Table1[[#This Row],[Defective_Units]]/Table1[[#This Row],[Quantity]]</f>
        <v>6.2305295950155761E-3</v>
      </c>
      <c r="O1463" s="26">
        <f>(Table1[[#This Row],[Unit_Cost]]-Table1[[#This Row],[Negotiated_Cost]])/Table1[[#This Row],[Unit_Cost]]</f>
        <v>4.554240321806851E-2</v>
      </c>
    </row>
    <row r="1464" spans="1:15" x14ac:dyDescent="0.25">
      <c r="A1464" t="s">
        <v>1499</v>
      </c>
      <c r="B1464" t="s">
        <v>20</v>
      </c>
      <c r="C1464" s="14" t="s">
        <v>21</v>
      </c>
      <c r="D1464" s="1">
        <v>45557</v>
      </c>
      <c r="E1464" s="14" t="s">
        <v>2057</v>
      </c>
      <c r="F1464" s="14" t="s">
        <v>33</v>
      </c>
      <c r="G1464">
        <v>441</v>
      </c>
      <c r="H1464">
        <v>114.58</v>
      </c>
      <c r="I1464">
        <v>109.7</v>
      </c>
      <c r="J1464">
        <v>2</v>
      </c>
      <c r="K1464" s="14" t="s">
        <v>15</v>
      </c>
      <c r="L1464" s="14" t="str">
        <f>IF(OR(Table1[[#This Row],[Order_Status]]="Delivered",Table1[[#This Row],[Delivery_Date]]&lt;&gt;"Not Yet Delivered"),Table1[[#This Row],[Delivery_Date]]-Table1[[#This Row],[Order_Date]],"Not Applicable")</f>
        <v>Not Applicable</v>
      </c>
      <c r="M1464" s="14">
        <f>Table1[[#This Row],[Unit_Cost]]-Table1[[#This Row],[Negotiated_Cost]]</f>
        <v>4.8799999999999955</v>
      </c>
      <c r="N1464" s="18">
        <f>Table1[[#This Row],[Defective_Units]]/Table1[[#This Row],[Quantity]]</f>
        <v>4.5351473922902496E-3</v>
      </c>
      <c r="O1464" s="26">
        <f>(Table1[[#This Row],[Unit_Cost]]-Table1[[#This Row],[Negotiated_Cost]])/Table1[[#This Row],[Unit_Cost]]</f>
        <v>4.2590329900506159E-2</v>
      </c>
    </row>
    <row r="1465" spans="1:15" x14ac:dyDescent="0.25">
      <c r="A1465" t="s">
        <v>1500</v>
      </c>
      <c r="B1465" t="s">
        <v>40</v>
      </c>
      <c r="C1465" s="14" t="s">
        <v>44</v>
      </c>
      <c r="D1465" s="1">
        <v>45234</v>
      </c>
      <c r="E1465" s="13">
        <v>45243</v>
      </c>
      <c r="F1465" s="14" t="s">
        <v>14</v>
      </c>
      <c r="G1465">
        <v>38</v>
      </c>
      <c r="H1465">
        <v>8922.48</v>
      </c>
      <c r="I1465">
        <v>8710.1</v>
      </c>
      <c r="J1465">
        <v>1</v>
      </c>
      <c r="K1465" s="14" t="s">
        <v>15</v>
      </c>
      <c r="L1465" s="14">
        <f>IF(OR(Table1[[#This Row],[Order_Status]]="Delivered",Table1[[#This Row],[Delivery_Date]]&lt;&gt;"Not Yet Delivered"),Table1[[#This Row],[Delivery_Date]]-Table1[[#This Row],[Order_Date]],"Not Applicable")</f>
        <v>9</v>
      </c>
      <c r="M1465" s="14">
        <f>Table1[[#This Row],[Unit_Cost]]-Table1[[#This Row],[Negotiated_Cost]]</f>
        <v>212.3799999999992</v>
      </c>
      <c r="N1465" s="18">
        <f>Table1[[#This Row],[Defective_Units]]/Table1[[#This Row],[Quantity]]</f>
        <v>2.6315789473684209E-2</v>
      </c>
      <c r="O1465" s="26">
        <f>(Table1[[#This Row],[Unit_Cost]]-Table1[[#This Row],[Negotiated_Cost]])/Table1[[#This Row],[Unit_Cost]]</f>
        <v>2.3802799221740951E-2</v>
      </c>
    </row>
    <row r="1466" spans="1:15" x14ac:dyDescent="0.25">
      <c r="A1466" t="s">
        <v>1501</v>
      </c>
      <c r="B1466" t="s">
        <v>20</v>
      </c>
      <c r="C1466" s="14" t="s">
        <v>42</v>
      </c>
      <c r="D1466" s="1">
        <v>44955</v>
      </c>
      <c r="E1466" s="13">
        <v>44958</v>
      </c>
      <c r="F1466" s="14" t="s">
        <v>14</v>
      </c>
      <c r="G1466">
        <v>366</v>
      </c>
      <c r="H1466">
        <v>11497.69</v>
      </c>
      <c r="I1466">
        <v>10958.51</v>
      </c>
      <c r="J1466">
        <v>1</v>
      </c>
      <c r="K1466" s="14" t="s">
        <v>15</v>
      </c>
      <c r="L1466" s="14">
        <f>IF(OR(Table1[[#This Row],[Order_Status]]="Delivered",Table1[[#This Row],[Delivery_Date]]&lt;&gt;"Not Yet Delivered"),Table1[[#This Row],[Delivery_Date]]-Table1[[#This Row],[Order_Date]],"Not Applicable")</f>
        <v>3</v>
      </c>
      <c r="M1466" s="14">
        <f>Table1[[#This Row],[Unit_Cost]]-Table1[[#This Row],[Negotiated_Cost]]</f>
        <v>539.18000000000029</v>
      </c>
      <c r="N1466" s="18">
        <f>Table1[[#This Row],[Defective_Units]]/Table1[[#This Row],[Quantity]]</f>
        <v>2.7322404371584699E-3</v>
      </c>
      <c r="O1466" s="26">
        <f>(Table1[[#This Row],[Unit_Cost]]-Table1[[#This Row],[Negotiated_Cost]])/Table1[[#This Row],[Unit_Cost]]</f>
        <v>4.6894637096669009E-2</v>
      </c>
    </row>
    <row r="1467" spans="1:15" x14ac:dyDescent="0.25">
      <c r="A1467" t="s">
        <v>1502</v>
      </c>
      <c r="B1467" t="s">
        <v>17</v>
      </c>
      <c r="C1467" s="14" t="s">
        <v>21</v>
      </c>
      <c r="D1467" s="1">
        <v>45636</v>
      </c>
      <c r="E1467" s="13">
        <v>45663</v>
      </c>
      <c r="F1467" s="14" t="s">
        <v>14</v>
      </c>
      <c r="G1467">
        <v>252</v>
      </c>
      <c r="H1467">
        <v>116.36</v>
      </c>
      <c r="I1467">
        <v>114.58</v>
      </c>
      <c r="J1467">
        <v>1</v>
      </c>
      <c r="K1467" s="14" t="s">
        <v>15</v>
      </c>
      <c r="L1467" s="14">
        <f>IF(OR(Table1[[#This Row],[Order_Status]]="Delivered",Table1[[#This Row],[Delivery_Date]]&lt;&gt;"Not Yet Delivered"),Table1[[#This Row],[Delivery_Date]]-Table1[[#This Row],[Order_Date]],"Not Applicable")</f>
        <v>27</v>
      </c>
      <c r="M1467" s="14">
        <f>Table1[[#This Row],[Unit_Cost]]-Table1[[#This Row],[Negotiated_Cost]]</f>
        <v>1.7800000000000011</v>
      </c>
      <c r="N1467" s="18">
        <f>Table1[[#This Row],[Defective_Units]]/Table1[[#This Row],[Quantity]]</f>
        <v>3.968253968253968E-3</v>
      </c>
      <c r="O1467" s="26">
        <f>(Table1[[#This Row],[Unit_Cost]]-Table1[[#This Row],[Negotiated_Cost]])/Table1[[#This Row],[Unit_Cost]]</f>
        <v>1.5297353042282582E-2</v>
      </c>
    </row>
    <row r="1468" spans="1:15" x14ac:dyDescent="0.25">
      <c r="A1468" t="s">
        <v>1503</v>
      </c>
      <c r="B1468" t="s">
        <v>40</v>
      </c>
      <c r="C1468" s="14" t="s">
        <v>55</v>
      </c>
      <c r="D1468" s="1">
        <v>45391</v>
      </c>
      <c r="E1468" s="13">
        <v>45419</v>
      </c>
      <c r="F1468" s="14" t="s">
        <v>14</v>
      </c>
      <c r="G1468">
        <v>72</v>
      </c>
      <c r="H1468">
        <v>16310.33</v>
      </c>
      <c r="I1468">
        <v>15936.32</v>
      </c>
      <c r="J1468">
        <v>1</v>
      </c>
      <c r="K1468" s="14" t="s">
        <v>15</v>
      </c>
      <c r="L1468" s="14">
        <f>IF(OR(Table1[[#This Row],[Order_Status]]="Delivered",Table1[[#This Row],[Delivery_Date]]&lt;&gt;"Not Yet Delivered"),Table1[[#This Row],[Delivery_Date]]-Table1[[#This Row],[Order_Date]],"Not Applicable")</f>
        <v>28</v>
      </c>
      <c r="M1468" s="14">
        <f>Table1[[#This Row],[Unit_Cost]]-Table1[[#This Row],[Negotiated_Cost]]</f>
        <v>374.01000000000022</v>
      </c>
      <c r="N1468" s="18">
        <f>Table1[[#This Row],[Defective_Units]]/Table1[[#This Row],[Quantity]]</f>
        <v>1.3888888888888888E-2</v>
      </c>
      <c r="O1468" s="26">
        <f>(Table1[[#This Row],[Unit_Cost]]-Table1[[#This Row],[Negotiated_Cost]])/Table1[[#This Row],[Unit_Cost]]</f>
        <v>2.2930866512204242E-2</v>
      </c>
    </row>
    <row r="1469" spans="1:15" x14ac:dyDescent="0.25">
      <c r="A1469" t="s">
        <v>1504</v>
      </c>
      <c r="B1469" t="s">
        <v>12</v>
      </c>
      <c r="C1469" s="14" t="s">
        <v>55</v>
      </c>
      <c r="D1469" s="1">
        <v>45175</v>
      </c>
      <c r="E1469" s="13">
        <v>45189</v>
      </c>
      <c r="F1469" s="14" t="s">
        <v>37</v>
      </c>
      <c r="G1469">
        <v>13</v>
      </c>
      <c r="H1469">
        <v>15630.88</v>
      </c>
      <c r="I1469">
        <v>15269.88</v>
      </c>
      <c r="J1469">
        <v>0</v>
      </c>
      <c r="K1469" s="14" t="s">
        <v>15</v>
      </c>
      <c r="L1469" s="14">
        <f>IF(OR(Table1[[#This Row],[Order_Status]]="Delivered",Table1[[#This Row],[Delivery_Date]]&lt;&gt;"Not Yet Delivered"),Table1[[#This Row],[Delivery_Date]]-Table1[[#This Row],[Order_Date]],"Not Applicable")</f>
        <v>14</v>
      </c>
      <c r="M1469" s="14">
        <f>Table1[[#This Row],[Unit_Cost]]-Table1[[#This Row],[Negotiated_Cost]]</f>
        <v>361</v>
      </c>
      <c r="N1469" s="18">
        <f>Table1[[#This Row],[Defective_Units]]/Table1[[#This Row],[Quantity]]</f>
        <v>0</v>
      </c>
      <c r="O1469" s="26">
        <f>(Table1[[#This Row],[Unit_Cost]]-Table1[[#This Row],[Negotiated_Cost]])/Table1[[#This Row],[Unit_Cost]]</f>
        <v>2.3095308773402396E-2</v>
      </c>
    </row>
    <row r="1470" spans="1:15" x14ac:dyDescent="0.25">
      <c r="A1470" t="s">
        <v>1505</v>
      </c>
      <c r="B1470" t="s">
        <v>27</v>
      </c>
      <c r="C1470" s="14" t="s">
        <v>42</v>
      </c>
      <c r="D1470" s="1">
        <v>45062</v>
      </c>
      <c r="E1470" s="13">
        <v>45074</v>
      </c>
      <c r="F1470" s="14" t="s">
        <v>14</v>
      </c>
      <c r="G1470">
        <v>421</v>
      </c>
      <c r="H1470">
        <v>12565.53</v>
      </c>
      <c r="I1470">
        <v>11917.82</v>
      </c>
      <c r="J1470">
        <v>6</v>
      </c>
      <c r="K1470" s="14" t="s">
        <v>15</v>
      </c>
      <c r="L1470" s="14">
        <f>IF(OR(Table1[[#This Row],[Order_Status]]="Delivered",Table1[[#This Row],[Delivery_Date]]&lt;&gt;"Not Yet Delivered"),Table1[[#This Row],[Delivery_Date]]-Table1[[#This Row],[Order_Date]],"Not Applicable")</f>
        <v>12</v>
      </c>
      <c r="M1470" s="14">
        <f>Table1[[#This Row],[Unit_Cost]]-Table1[[#This Row],[Negotiated_Cost]]</f>
        <v>647.71000000000095</v>
      </c>
      <c r="N1470" s="18">
        <f>Table1[[#This Row],[Defective_Units]]/Table1[[#This Row],[Quantity]]</f>
        <v>1.4251781472684086E-2</v>
      </c>
      <c r="O1470" s="26">
        <f>(Table1[[#This Row],[Unit_Cost]]-Table1[[#This Row],[Negotiated_Cost]])/Table1[[#This Row],[Unit_Cost]]</f>
        <v>5.1546572249638566E-2</v>
      </c>
    </row>
    <row r="1471" spans="1:15" x14ac:dyDescent="0.25">
      <c r="A1471" t="s">
        <v>1506</v>
      </c>
      <c r="B1471" t="s">
        <v>40</v>
      </c>
      <c r="C1471" s="14" t="s">
        <v>55</v>
      </c>
      <c r="D1471" s="1">
        <v>45068</v>
      </c>
      <c r="E1471" s="14" t="s">
        <v>2057</v>
      </c>
      <c r="F1471" s="14" t="s">
        <v>33</v>
      </c>
      <c r="G1471">
        <v>395</v>
      </c>
      <c r="H1471">
        <v>15964.22</v>
      </c>
      <c r="I1471">
        <v>15533.6</v>
      </c>
      <c r="J1471">
        <v>2</v>
      </c>
      <c r="K1471" s="14" t="s">
        <v>15</v>
      </c>
      <c r="L1471" s="14" t="str">
        <f>IF(OR(Table1[[#This Row],[Order_Status]]="Delivered",Table1[[#This Row],[Delivery_Date]]&lt;&gt;"Not Yet Delivered"),Table1[[#This Row],[Delivery_Date]]-Table1[[#This Row],[Order_Date]],"Not Applicable")</f>
        <v>Not Applicable</v>
      </c>
      <c r="M1471" s="14">
        <f>Table1[[#This Row],[Unit_Cost]]-Table1[[#This Row],[Negotiated_Cost]]</f>
        <v>430.61999999999898</v>
      </c>
      <c r="N1471" s="18">
        <f>Table1[[#This Row],[Defective_Units]]/Table1[[#This Row],[Quantity]]</f>
        <v>5.0632911392405064E-3</v>
      </c>
      <c r="O1471" s="26">
        <f>(Table1[[#This Row],[Unit_Cost]]-Table1[[#This Row],[Negotiated_Cost]])/Table1[[#This Row],[Unit_Cost]]</f>
        <v>2.6974070765749845E-2</v>
      </c>
    </row>
    <row r="1472" spans="1:15" x14ac:dyDescent="0.25">
      <c r="A1472" t="s">
        <v>1507</v>
      </c>
      <c r="B1472" t="s">
        <v>12</v>
      </c>
      <c r="C1472" s="14" t="s">
        <v>50</v>
      </c>
      <c r="D1472" s="1">
        <v>45272</v>
      </c>
      <c r="E1472" s="13">
        <v>45277</v>
      </c>
      <c r="F1472" s="14" t="s">
        <v>14</v>
      </c>
      <c r="G1472">
        <v>208</v>
      </c>
      <c r="H1472">
        <v>54994.89</v>
      </c>
      <c r="I1472">
        <v>51974.6</v>
      </c>
      <c r="J1472">
        <v>0</v>
      </c>
      <c r="K1472" s="14" t="s">
        <v>15</v>
      </c>
      <c r="L1472" s="14">
        <f>IF(OR(Table1[[#This Row],[Order_Status]]="Delivered",Table1[[#This Row],[Delivery_Date]]&lt;&gt;"Not Yet Delivered"),Table1[[#This Row],[Delivery_Date]]-Table1[[#This Row],[Order_Date]],"Not Applicable")</f>
        <v>5</v>
      </c>
      <c r="M1472" s="14">
        <f>Table1[[#This Row],[Unit_Cost]]-Table1[[#This Row],[Negotiated_Cost]]</f>
        <v>3020.2900000000009</v>
      </c>
      <c r="N1472" s="18">
        <f>Table1[[#This Row],[Defective_Units]]/Table1[[#This Row],[Quantity]]</f>
        <v>0</v>
      </c>
      <c r="O1472" s="26">
        <f>(Table1[[#This Row],[Unit_Cost]]-Table1[[#This Row],[Negotiated_Cost]])/Table1[[#This Row],[Unit_Cost]]</f>
        <v>5.4919466154037234E-2</v>
      </c>
    </row>
    <row r="1473" spans="1:15" x14ac:dyDescent="0.25">
      <c r="A1473" t="s">
        <v>1508</v>
      </c>
      <c r="B1473" t="s">
        <v>27</v>
      </c>
      <c r="C1473" s="14" t="s">
        <v>44</v>
      </c>
      <c r="D1473" s="1">
        <v>45583</v>
      </c>
      <c r="E1473" s="13">
        <v>45608</v>
      </c>
      <c r="F1473" s="14" t="s">
        <v>14</v>
      </c>
      <c r="G1473">
        <v>448</v>
      </c>
      <c r="H1473">
        <v>8490.2800000000007</v>
      </c>
      <c r="I1473">
        <v>8091.96</v>
      </c>
      <c r="J1473">
        <v>4</v>
      </c>
      <c r="K1473" s="14" t="s">
        <v>15</v>
      </c>
      <c r="L1473" s="14">
        <f>IF(OR(Table1[[#This Row],[Order_Status]]="Delivered",Table1[[#This Row],[Delivery_Date]]&lt;&gt;"Not Yet Delivered"),Table1[[#This Row],[Delivery_Date]]-Table1[[#This Row],[Order_Date]],"Not Applicable")</f>
        <v>25</v>
      </c>
      <c r="M1473" s="14">
        <f>Table1[[#This Row],[Unit_Cost]]-Table1[[#This Row],[Negotiated_Cost]]</f>
        <v>398.32000000000062</v>
      </c>
      <c r="N1473" s="18">
        <f>Table1[[#This Row],[Defective_Units]]/Table1[[#This Row],[Quantity]]</f>
        <v>8.9285714285714281E-3</v>
      </c>
      <c r="O1473" s="26">
        <f>(Table1[[#This Row],[Unit_Cost]]-Table1[[#This Row],[Negotiated_Cost]])/Table1[[#This Row],[Unit_Cost]]</f>
        <v>4.6914824952769586E-2</v>
      </c>
    </row>
    <row r="1474" spans="1:15" x14ac:dyDescent="0.25">
      <c r="A1474" t="s">
        <v>1509</v>
      </c>
      <c r="B1474" t="s">
        <v>17</v>
      </c>
      <c r="C1474" s="14" t="s">
        <v>21</v>
      </c>
      <c r="D1474" s="1">
        <v>45453</v>
      </c>
      <c r="E1474" s="13">
        <v>45478</v>
      </c>
      <c r="F1474" s="14" t="s">
        <v>14</v>
      </c>
      <c r="G1474">
        <v>89</v>
      </c>
      <c r="H1474">
        <v>118.53</v>
      </c>
      <c r="I1474">
        <v>116.74</v>
      </c>
      <c r="J1474">
        <v>2</v>
      </c>
      <c r="K1474" s="14" t="s">
        <v>15</v>
      </c>
      <c r="L1474" s="14">
        <f>IF(OR(Table1[[#This Row],[Order_Status]]="Delivered",Table1[[#This Row],[Delivery_Date]]&lt;&gt;"Not Yet Delivered"),Table1[[#This Row],[Delivery_Date]]-Table1[[#This Row],[Order_Date]],"Not Applicable")</f>
        <v>25</v>
      </c>
      <c r="M1474" s="14">
        <f>Table1[[#This Row],[Unit_Cost]]-Table1[[#This Row],[Negotiated_Cost]]</f>
        <v>1.7900000000000063</v>
      </c>
      <c r="N1474" s="18">
        <f>Table1[[#This Row],[Defective_Units]]/Table1[[#This Row],[Quantity]]</f>
        <v>2.247191011235955E-2</v>
      </c>
      <c r="O1474" s="26">
        <f>(Table1[[#This Row],[Unit_Cost]]-Table1[[#This Row],[Negotiated_Cost]])/Table1[[#This Row],[Unit_Cost]]</f>
        <v>1.5101662026491236E-2</v>
      </c>
    </row>
    <row r="1475" spans="1:15" x14ac:dyDescent="0.25">
      <c r="A1475" t="s">
        <v>1510</v>
      </c>
      <c r="B1475" t="s">
        <v>32</v>
      </c>
      <c r="C1475" s="14" t="s">
        <v>44</v>
      </c>
      <c r="D1475" s="1">
        <v>45126</v>
      </c>
      <c r="E1475" s="13">
        <v>45128</v>
      </c>
      <c r="F1475" s="14" t="s">
        <v>14</v>
      </c>
      <c r="G1475">
        <v>428</v>
      </c>
      <c r="H1475">
        <v>8054.61</v>
      </c>
      <c r="I1475">
        <v>7656.2</v>
      </c>
      <c r="J1475">
        <v>10</v>
      </c>
      <c r="K1475" s="14" t="s">
        <v>15</v>
      </c>
      <c r="L1475" s="14">
        <f>IF(OR(Table1[[#This Row],[Order_Status]]="Delivered",Table1[[#This Row],[Delivery_Date]]&lt;&gt;"Not Yet Delivered"),Table1[[#This Row],[Delivery_Date]]-Table1[[#This Row],[Order_Date]],"Not Applicable")</f>
        <v>2</v>
      </c>
      <c r="M1475" s="14">
        <f>Table1[[#This Row],[Unit_Cost]]-Table1[[#This Row],[Negotiated_Cost]]</f>
        <v>398.40999999999985</v>
      </c>
      <c r="N1475" s="18">
        <f>Table1[[#This Row],[Defective_Units]]/Table1[[#This Row],[Quantity]]</f>
        <v>2.336448598130841E-2</v>
      </c>
      <c r="O1475" s="26">
        <f>(Table1[[#This Row],[Unit_Cost]]-Table1[[#This Row],[Negotiated_Cost]])/Table1[[#This Row],[Unit_Cost]]</f>
        <v>4.9463599106598567E-2</v>
      </c>
    </row>
    <row r="1476" spans="1:15" x14ac:dyDescent="0.25">
      <c r="A1476" t="s">
        <v>1511</v>
      </c>
      <c r="B1476" t="s">
        <v>46</v>
      </c>
      <c r="C1476" s="14" t="s">
        <v>36</v>
      </c>
      <c r="D1476" s="1">
        <v>45154</v>
      </c>
      <c r="E1476" s="13">
        <v>45184</v>
      </c>
      <c r="F1476" s="14" t="s">
        <v>14</v>
      </c>
      <c r="G1476">
        <v>149</v>
      </c>
      <c r="H1476">
        <v>555.66999999999996</v>
      </c>
      <c r="I1476">
        <v>544.66</v>
      </c>
      <c r="J1476">
        <v>0</v>
      </c>
      <c r="K1476" s="14" t="s">
        <v>15</v>
      </c>
      <c r="L1476" s="14">
        <f>IF(OR(Table1[[#This Row],[Order_Status]]="Delivered",Table1[[#This Row],[Delivery_Date]]&lt;&gt;"Not Yet Delivered"),Table1[[#This Row],[Delivery_Date]]-Table1[[#This Row],[Order_Date]],"Not Applicable")</f>
        <v>30</v>
      </c>
      <c r="M1476" s="14">
        <f>Table1[[#This Row],[Unit_Cost]]-Table1[[#This Row],[Negotiated_Cost]]</f>
        <v>11.009999999999991</v>
      </c>
      <c r="N1476" s="18">
        <f>Table1[[#This Row],[Defective_Units]]/Table1[[#This Row],[Quantity]]</f>
        <v>0</v>
      </c>
      <c r="O1476" s="26">
        <f>(Table1[[#This Row],[Unit_Cost]]-Table1[[#This Row],[Negotiated_Cost]])/Table1[[#This Row],[Unit_Cost]]</f>
        <v>1.9813918332823425E-2</v>
      </c>
    </row>
    <row r="1477" spans="1:15" x14ac:dyDescent="0.25">
      <c r="A1477" t="s">
        <v>1512</v>
      </c>
      <c r="B1477" t="s">
        <v>46</v>
      </c>
      <c r="C1477" s="14" t="s">
        <v>36</v>
      </c>
      <c r="D1477" s="1">
        <v>45150</v>
      </c>
      <c r="E1477" s="14" t="s">
        <v>2057</v>
      </c>
      <c r="F1477" s="14" t="s">
        <v>33</v>
      </c>
      <c r="G1477">
        <v>128</v>
      </c>
      <c r="H1477">
        <v>529.9</v>
      </c>
      <c r="I1477">
        <v>529.1</v>
      </c>
      <c r="J1477">
        <v>2</v>
      </c>
      <c r="K1477" s="14" t="s">
        <v>15</v>
      </c>
      <c r="L1477" s="14" t="str">
        <f>IF(OR(Table1[[#This Row],[Order_Status]]="Delivered",Table1[[#This Row],[Delivery_Date]]&lt;&gt;"Not Yet Delivered"),Table1[[#This Row],[Delivery_Date]]-Table1[[#This Row],[Order_Date]],"Not Applicable")</f>
        <v>Not Applicable</v>
      </c>
      <c r="M1477" s="14">
        <f>Table1[[#This Row],[Unit_Cost]]-Table1[[#This Row],[Negotiated_Cost]]</f>
        <v>0.79999999999995453</v>
      </c>
      <c r="N1477" s="18">
        <f>Table1[[#This Row],[Defective_Units]]/Table1[[#This Row],[Quantity]]</f>
        <v>1.5625E-2</v>
      </c>
      <c r="O1477" s="26">
        <f>(Table1[[#This Row],[Unit_Cost]]-Table1[[#This Row],[Negotiated_Cost]])/Table1[[#This Row],[Unit_Cost]]</f>
        <v>1.5097188148706447E-3</v>
      </c>
    </row>
    <row r="1478" spans="1:15" x14ac:dyDescent="0.25">
      <c r="A1478" t="s">
        <v>1513</v>
      </c>
      <c r="B1478" t="s">
        <v>17</v>
      </c>
      <c r="C1478" s="14" t="s">
        <v>28</v>
      </c>
      <c r="D1478" s="1">
        <v>44997</v>
      </c>
      <c r="E1478" s="13">
        <v>45004</v>
      </c>
      <c r="F1478" s="14" t="s">
        <v>14</v>
      </c>
      <c r="G1478">
        <v>277</v>
      </c>
      <c r="H1478">
        <v>45722.65</v>
      </c>
      <c r="I1478">
        <v>43469.07</v>
      </c>
      <c r="J1478">
        <v>0</v>
      </c>
      <c r="K1478" s="14" t="s">
        <v>15</v>
      </c>
      <c r="L1478" s="14">
        <f>IF(OR(Table1[[#This Row],[Order_Status]]="Delivered",Table1[[#This Row],[Delivery_Date]]&lt;&gt;"Not Yet Delivered"),Table1[[#This Row],[Delivery_Date]]-Table1[[#This Row],[Order_Date]],"Not Applicable")</f>
        <v>7</v>
      </c>
      <c r="M1478" s="14">
        <f>Table1[[#This Row],[Unit_Cost]]-Table1[[#This Row],[Negotiated_Cost]]</f>
        <v>2253.5800000000017</v>
      </c>
      <c r="N1478" s="18">
        <f>Table1[[#This Row],[Defective_Units]]/Table1[[#This Row],[Quantity]]</f>
        <v>0</v>
      </c>
      <c r="O1478" s="26">
        <f>(Table1[[#This Row],[Unit_Cost]]-Table1[[#This Row],[Negotiated_Cost]])/Table1[[#This Row],[Unit_Cost]]</f>
        <v>4.9288044328139373E-2</v>
      </c>
    </row>
    <row r="1479" spans="1:15" x14ac:dyDescent="0.25">
      <c r="A1479" t="s">
        <v>1514</v>
      </c>
      <c r="B1479" t="s">
        <v>40</v>
      </c>
      <c r="C1479" s="14" t="s">
        <v>13</v>
      </c>
      <c r="D1479" s="1">
        <v>45651</v>
      </c>
      <c r="E1479" s="13">
        <v>45672</v>
      </c>
      <c r="F1479" s="14" t="s">
        <v>14</v>
      </c>
      <c r="G1479">
        <v>380</v>
      </c>
      <c r="H1479">
        <v>4634.01</v>
      </c>
      <c r="I1479">
        <v>4605.45</v>
      </c>
      <c r="J1479">
        <v>0</v>
      </c>
      <c r="K1479" s="14" t="s">
        <v>15</v>
      </c>
      <c r="L1479" s="14">
        <f>IF(OR(Table1[[#This Row],[Order_Status]]="Delivered",Table1[[#This Row],[Delivery_Date]]&lt;&gt;"Not Yet Delivered"),Table1[[#This Row],[Delivery_Date]]-Table1[[#This Row],[Order_Date]],"Not Applicable")</f>
        <v>21</v>
      </c>
      <c r="M1479" s="14">
        <f>Table1[[#This Row],[Unit_Cost]]-Table1[[#This Row],[Negotiated_Cost]]</f>
        <v>28.5600000000004</v>
      </c>
      <c r="N1479" s="18">
        <f>Table1[[#This Row],[Defective_Units]]/Table1[[#This Row],[Quantity]]</f>
        <v>0</v>
      </c>
      <c r="O1479" s="26">
        <f>(Table1[[#This Row],[Unit_Cost]]-Table1[[#This Row],[Negotiated_Cost]])/Table1[[#This Row],[Unit_Cost]]</f>
        <v>6.1631286941548243E-3</v>
      </c>
    </row>
    <row r="1480" spans="1:15" x14ac:dyDescent="0.25">
      <c r="A1480" t="s">
        <v>1515</v>
      </c>
      <c r="B1480" t="s">
        <v>17</v>
      </c>
      <c r="C1480" s="14" t="s">
        <v>42</v>
      </c>
      <c r="D1480" s="1">
        <v>45562</v>
      </c>
      <c r="E1480" s="13">
        <v>45584</v>
      </c>
      <c r="F1480" s="14" t="s">
        <v>14</v>
      </c>
      <c r="G1480">
        <v>294</v>
      </c>
      <c r="H1480">
        <v>10999.43</v>
      </c>
      <c r="I1480">
        <v>10454.530000000001</v>
      </c>
      <c r="J1480">
        <v>2</v>
      </c>
      <c r="K1480" s="14" t="s">
        <v>15</v>
      </c>
      <c r="L1480" s="14">
        <f>IF(OR(Table1[[#This Row],[Order_Status]]="Delivered",Table1[[#This Row],[Delivery_Date]]&lt;&gt;"Not Yet Delivered"),Table1[[#This Row],[Delivery_Date]]-Table1[[#This Row],[Order_Date]],"Not Applicable")</f>
        <v>22</v>
      </c>
      <c r="M1480" s="14">
        <f>Table1[[#This Row],[Unit_Cost]]-Table1[[#This Row],[Negotiated_Cost]]</f>
        <v>544.89999999999964</v>
      </c>
      <c r="N1480" s="18">
        <f>Table1[[#This Row],[Defective_Units]]/Table1[[#This Row],[Quantity]]</f>
        <v>6.8027210884353739E-3</v>
      </c>
      <c r="O1480" s="26">
        <f>(Table1[[#This Row],[Unit_Cost]]-Table1[[#This Row],[Negotiated_Cost]])/Table1[[#This Row],[Unit_Cost]]</f>
        <v>4.9538930653679293E-2</v>
      </c>
    </row>
    <row r="1481" spans="1:15" x14ac:dyDescent="0.25">
      <c r="A1481" t="s">
        <v>1516</v>
      </c>
      <c r="B1481" t="s">
        <v>17</v>
      </c>
      <c r="C1481" s="14" t="s">
        <v>42</v>
      </c>
      <c r="D1481" s="1">
        <v>45637</v>
      </c>
      <c r="E1481" s="13">
        <v>45646</v>
      </c>
      <c r="F1481" s="14" t="s">
        <v>14</v>
      </c>
      <c r="G1481">
        <v>376</v>
      </c>
      <c r="H1481">
        <v>11191.99</v>
      </c>
      <c r="I1481">
        <v>10895.66</v>
      </c>
      <c r="J1481">
        <v>7</v>
      </c>
      <c r="K1481" s="14" t="s">
        <v>15</v>
      </c>
      <c r="L1481" s="14">
        <f>IF(OR(Table1[[#This Row],[Order_Status]]="Delivered",Table1[[#This Row],[Delivery_Date]]&lt;&gt;"Not Yet Delivered"),Table1[[#This Row],[Delivery_Date]]-Table1[[#This Row],[Order_Date]],"Not Applicable")</f>
        <v>9</v>
      </c>
      <c r="M1481" s="14">
        <f>Table1[[#This Row],[Unit_Cost]]-Table1[[#This Row],[Negotiated_Cost]]</f>
        <v>296.32999999999993</v>
      </c>
      <c r="N1481" s="18">
        <f>Table1[[#This Row],[Defective_Units]]/Table1[[#This Row],[Quantity]]</f>
        <v>1.8617021276595744E-2</v>
      </c>
      <c r="O1481" s="26">
        <f>(Table1[[#This Row],[Unit_Cost]]-Table1[[#This Row],[Negotiated_Cost]])/Table1[[#This Row],[Unit_Cost]]</f>
        <v>2.647697147692233E-2</v>
      </c>
    </row>
    <row r="1482" spans="1:15" x14ac:dyDescent="0.25">
      <c r="A1482" t="s">
        <v>1517</v>
      </c>
      <c r="B1482" t="s">
        <v>35</v>
      </c>
      <c r="C1482" s="14" t="s">
        <v>42</v>
      </c>
      <c r="D1482" s="1">
        <v>44955</v>
      </c>
      <c r="E1482" s="13">
        <v>44977</v>
      </c>
      <c r="F1482" s="14" t="s">
        <v>14</v>
      </c>
      <c r="G1482">
        <v>106</v>
      </c>
      <c r="H1482">
        <v>11436.65</v>
      </c>
      <c r="I1482">
        <v>11074.96</v>
      </c>
      <c r="J1482">
        <v>1</v>
      </c>
      <c r="K1482" s="14" t="s">
        <v>15</v>
      </c>
      <c r="L1482" s="14">
        <f>IF(OR(Table1[[#This Row],[Order_Status]]="Delivered",Table1[[#This Row],[Delivery_Date]]&lt;&gt;"Not Yet Delivered"),Table1[[#This Row],[Delivery_Date]]-Table1[[#This Row],[Order_Date]],"Not Applicable")</f>
        <v>22</v>
      </c>
      <c r="M1482" s="14">
        <f>Table1[[#This Row],[Unit_Cost]]-Table1[[#This Row],[Negotiated_Cost]]</f>
        <v>361.69000000000051</v>
      </c>
      <c r="N1482" s="18">
        <f>Table1[[#This Row],[Defective_Units]]/Table1[[#This Row],[Quantity]]</f>
        <v>9.433962264150943E-3</v>
      </c>
      <c r="O1482" s="26">
        <f>(Table1[[#This Row],[Unit_Cost]]-Table1[[#This Row],[Negotiated_Cost]])/Table1[[#This Row],[Unit_Cost]]</f>
        <v>3.1625519710754509E-2</v>
      </c>
    </row>
    <row r="1483" spans="1:15" x14ac:dyDescent="0.25">
      <c r="A1483" t="s">
        <v>1518</v>
      </c>
      <c r="B1483" t="s">
        <v>17</v>
      </c>
      <c r="C1483" s="14" t="s">
        <v>36</v>
      </c>
      <c r="D1483" s="1">
        <v>45218</v>
      </c>
      <c r="E1483" s="13">
        <v>45236</v>
      </c>
      <c r="F1483" s="14" t="s">
        <v>14</v>
      </c>
      <c r="G1483">
        <v>379</v>
      </c>
      <c r="H1483">
        <v>535.13</v>
      </c>
      <c r="I1483">
        <v>533.89</v>
      </c>
      <c r="J1483">
        <v>4</v>
      </c>
      <c r="K1483" s="14" t="s">
        <v>15</v>
      </c>
      <c r="L1483" s="14">
        <f>IF(OR(Table1[[#This Row],[Order_Status]]="Delivered",Table1[[#This Row],[Delivery_Date]]&lt;&gt;"Not Yet Delivered"),Table1[[#This Row],[Delivery_Date]]-Table1[[#This Row],[Order_Date]],"Not Applicable")</f>
        <v>18</v>
      </c>
      <c r="M1483" s="14">
        <f>Table1[[#This Row],[Unit_Cost]]-Table1[[#This Row],[Negotiated_Cost]]</f>
        <v>1.2400000000000091</v>
      </c>
      <c r="N1483" s="18">
        <f>Table1[[#This Row],[Defective_Units]]/Table1[[#This Row],[Quantity]]</f>
        <v>1.0554089709762533E-2</v>
      </c>
      <c r="O1483" s="26">
        <f>(Table1[[#This Row],[Unit_Cost]]-Table1[[#This Row],[Negotiated_Cost]])/Table1[[#This Row],[Unit_Cost]]</f>
        <v>2.3171939528712818E-3</v>
      </c>
    </row>
    <row r="1484" spans="1:15" x14ac:dyDescent="0.25">
      <c r="A1484" t="s">
        <v>1519</v>
      </c>
      <c r="B1484" t="s">
        <v>12</v>
      </c>
      <c r="C1484" s="14" t="s">
        <v>30</v>
      </c>
      <c r="D1484" s="1">
        <v>45479</v>
      </c>
      <c r="E1484" s="13">
        <v>45498</v>
      </c>
      <c r="F1484" s="14" t="s">
        <v>37</v>
      </c>
      <c r="G1484">
        <v>403</v>
      </c>
      <c r="H1484">
        <v>910.49</v>
      </c>
      <c r="I1484">
        <v>897.63</v>
      </c>
      <c r="J1484">
        <v>2</v>
      </c>
      <c r="K1484" s="14" t="s">
        <v>25</v>
      </c>
      <c r="L1484" s="14">
        <f>IF(OR(Table1[[#This Row],[Order_Status]]="Delivered",Table1[[#This Row],[Delivery_Date]]&lt;&gt;"Not Yet Delivered"),Table1[[#This Row],[Delivery_Date]]-Table1[[#This Row],[Order_Date]],"Not Applicable")</f>
        <v>19</v>
      </c>
      <c r="M1484" s="14">
        <f>Table1[[#This Row],[Unit_Cost]]-Table1[[#This Row],[Negotiated_Cost]]</f>
        <v>12.860000000000014</v>
      </c>
      <c r="N1484" s="18">
        <f>Table1[[#This Row],[Defective_Units]]/Table1[[#This Row],[Quantity]]</f>
        <v>4.9627791563275434E-3</v>
      </c>
      <c r="O1484" s="26">
        <f>(Table1[[#This Row],[Unit_Cost]]-Table1[[#This Row],[Negotiated_Cost]])/Table1[[#This Row],[Unit_Cost]]</f>
        <v>1.412426275961297E-2</v>
      </c>
    </row>
    <row r="1485" spans="1:15" x14ac:dyDescent="0.25">
      <c r="A1485" t="s">
        <v>1520</v>
      </c>
      <c r="B1485" t="s">
        <v>32</v>
      </c>
      <c r="C1485" s="14" t="s">
        <v>24</v>
      </c>
      <c r="D1485" s="1">
        <v>45533</v>
      </c>
      <c r="E1485" s="13">
        <v>45537</v>
      </c>
      <c r="F1485" s="14" t="s">
        <v>14</v>
      </c>
      <c r="G1485">
        <v>260</v>
      </c>
      <c r="H1485">
        <v>11224.82</v>
      </c>
      <c r="I1485">
        <v>10993.56</v>
      </c>
      <c r="J1485">
        <v>5</v>
      </c>
      <c r="K1485" s="14" t="s">
        <v>15</v>
      </c>
      <c r="L1485" s="14">
        <f>IF(OR(Table1[[#This Row],[Order_Status]]="Delivered",Table1[[#This Row],[Delivery_Date]]&lt;&gt;"Not Yet Delivered"),Table1[[#This Row],[Delivery_Date]]-Table1[[#This Row],[Order_Date]],"Not Applicable")</f>
        <v>4</v>
      </c>
      <c r="M1485" s="14">
        <f>Table1[[#This Row],[Unit_Cost]]-Table1[[#This Row],[Negotiated_Cost]]</f>
        <v>231.26000000000022</v>
      </c>
      <c r="N1485" s="18">
        <f>Table1[[#This Row],[Defective_Units]]/Table1[[#This Row],[Quantity]]</f>
        <v>1.9230769230769232E-2</v>
      </c>
      <c r="O1485" s="26">
        <f>(Table1[[#This Row],[Unit_Cost]]-Table1[[#This Row],[Negotiated_Cost]])/Table1[[#This Row],[Unit_Cost]]</f>
        <v>2.0602557546579831E-2</v>
      </c>
    </row>
    <row r="1486" spans="1:15" x14ac:dyDescent="0.25">
      <c r="A1486" t="s">
        <v>1521</v>
      </c>
      <c r="B1486" t="s">
        <v>40</v>
      </c>
      <c r="C1486" s="14" t="s">
        <v>50</v>
      </c>
      <c r="D1486" s="1">
        <v>45393</v>
      </c>
      <c r="E1486" s="13">
        <v>45402</v>
      </c>
      <c r="F1486" s="14" t="s">
        <v>14</v>
      </c>
      <c r="G1486">
        <v>77</v>
      </c>
      <c r="H1486">
        <v>59335.34</v>
      </c>
      <c r="I1486">
        <v>58574.53</v>
      </c>
      <c r="J1486">
        <v>3</v>
      </c>
      <c r="K1486" s="14" t="s">
        <v>15</v>
      </c>
      <c r="L1486" s="14">
        <f>IF(OR(Table1[[#This Row],[Order_Status]]="Delivered",Table1[[#This Row],[Delivery_Date]]&lt;&gt;"Not Yet Delivered"),Table1[[#This Row],[Delivery_Date]]-Table1[[#This Row],[Order_Date]],"Not Applicable")</f>
        <v>9</v>
      </c>
      <c r="M1486" s="14">
        <f>Table1[[#This Row],[Unit_Cost]]-Table1[[#This Row],[Negotiated_Cost]]</f>
        <v>760.80999999999767</v>
      </c>
      <c r="N1486" s="18">
        <f>Table1[[#This Row],[Defective_Units]]/Table1[[#This Row],[Quantity]]</f>
        <v>3.896103896103896E-2</v>
      </c>
      <c r="O1486" s="26">
        <f>(Table1[[#This Row],[Unit_Cost]]-Table1[[#This Row],[Negotiated_Cost]])/Table1[[#This Row],[Unit_Cost]]</f>
        <v>1.2822206799522808E-2</v>
      </c>
    </row>
    <row r="1487" spans="1:15" x14ac:dyDescent="0.25">
      <c r="A1487" t="s">
        <v>1522</v>
      </c>
      <c r="B1487" t="s">
        <v>17</v>
      </c>
      <c r="C1487" s="14" t="s">
        <v>50</v>
      </c>
      <c r="D1487" s="1">
        <v>45445</v>
      </c>
      <c r="E1487" s="13">
        <v>45452</v>
      </c>
      <c r="F1487" s="14" t="s">
        <v>14</v>
      </c>
      <c r="G1487">
        <v>96</v>
      </c>
      <c r="H1487">
        <v>46690.13</v>
      </c>
      <c r="I1487">
        <v>44859.27</v>
      </c>
      <c r="J1487">
        <v>2</v>
      </c>
      <c r="K1487" s="14" t="s">
        <v>15</v>
      </c>
      <c r="L1487" s="14">
        <f>IF(OR(Table1[[#This Row],[Order_Status]]="Delivered",Table1[[#This Row],[Delivery_Date]]&lt;&gt;"Not Yet Delivered"),Table1[[#This Row],[Delivery_Date]]-Table1[[#This Row],[Order_Date]],"Not Applicable")</f>
        <v>7</v>
      </c>
      <c r="M1487" s="14">
        <f>Table1[[#This Row],[Unit_Cost]]-Table1[[#This Row],[Negotiated_Cost]]</f>
        <v>1830.8600000000006</v>
      </c>
      <c r="N1487" s="18">
        <f>Table1[[#This Row],[Defective_Units]]/Table1[[#This Row],[Quantity]]</f>
        <v>2.0833333333333332E-2</v>
      </c>
      <c r="O1487" s="26">
        <f>(Table1[[#This Row],[Unit_Cost]]-Table1[[#This Row],[Negotiated_Cost]])/Table1[[#This Row],[Unit_Cost]]</f>
        <v>3.9212998550228938E-2</v>
      </c>
    </row>
    <row r="1488" spans="1:15" x14ac:dyDescent="0.25">
      <c r="A1488" t="s">
        <v>1523</v>
      </c>
      <c r="B1488" t="s">
        <v>27</v>
      </c>
      <c r="C1488" s="14" t="s">
        <v>13</v>
      </c>
      <c r="D1488" s="1">
        <v>45499</v>
      </c>
      <c r="E1488" s="13">
        <v>45527</v>
      </c>
      <c r="F1488" s="14" t="s">
        <v>14</v>
      </c>
      <c r="G1488">
        <v>124</v>
      </c>
      <c r="H1488">
        <v>4526.9399999999996</v>
      </c>
      <c r="I1488">
        <v>4467.49</v>
      </c>
      <c r="J1488">
        <v>1</v>
      </c>
      <c r="K1488" s="14" t="s">
        <v>15</v>
      </c>
      <c r="L1488" s="14">
        <f>IF(OR(Table1[[#This Row],[Order_Status]]="Delivered",Table1[[#This Row],[Delivery_Date]]&lt;&gt;"Not Yet Delivered"),Table1[[#This Row],[Delivery_Date]]-Table1[[#This Row],[Order_Date]],"Not Applicable")</f>
        <v>28</v>
      </c>
      <c r="M1488" s="14">
        <f>Table1[[#This Row],[Unit_Cost]]-Table1[[#This Row],[Negotiated_Cost]]</f>
        <v>59.449999999999818</v>
      </c>
      <c r="N1488" s="18">
        <f>Table1[[#This Row],[Defective_Units]]/Table1[[#This Row],[Quantity]]</f>
        <v>8.0645161290322578E-3</v>
      </c>
      <c r="O1488" s="26">
        <f>(Table1[[#This Row],[Unit_Cost]]-Table1[[#This Row],[Negotiated_Cost]])/Table1[[#This Row],[Unit_Cost]]</f>
        <v>1.3132491263414099E-2</v>
      </c>
    </row>
    <row r="1489" spans="1:15" x14ac:dyDescent="0.25">
      <c r="A1489" t="s">
        <v>1524</v>
      </c>
      <c r="B1489" t="s">
        <v>40</v>
      </c>
      <c r="C1489" s="14" t="s">
        <v>24</v>
      </c>
      <c r="D1489" s="1">
        <v>45173</v>
      </c>
      <c r="E1489" s="13">
        <v>45175</v>
      </c>
      <c r="F1489" s="14" t="s">
        <v>14</v>
      </c>
      <c r="G1489">
        <v>415</v>
      </c>
      <c r="H1489">
        <v>13844.6</v>
      </c>
      <c r="I1489">
        <v>13746.57</v>
      </c>
      <c r="J1489">
        <v>8</v>
      </c>
      <c r="K1489" s="14" t="s">
        <v>15</v>
      </c>
      <c r="L1489" s="14">
        <f>IF(OR(Table1[[#This Row],[Order_Status]]="Delivered",Table1[[#This Row],[Delivery_Date]]&lt;&gt;"Not Yet Delivered"),Table1[[#This Row],[Delivery_Date]]-Table1[[#This Row],[Order_Date]],"Not Applicable")</f>
        <v>2</v>
      </c>
      <c r="M1489" s="14">
        <f>Table1[[#This Row],[Unit_Cost]]-Table1[[#This Row],[Negotiated_Cost]]</f>
        <v>98.030000000000655</v>
      </c>
      <c r="N1489" s="18">
        <f>Table1[[#This Row],[Defective_Units]]/Table1[[#This Row],[Quantity]]</f>
        <v>1.9277108433734941E-2</v>
      </c>
      <c r="O1489" s="26">
        <f>(Table1[[#This Row],[Unit_Cost]]-Table1[[#This Row],[Negotiated_Cost]])/Table1[[#This Row],[Unit_Cost]]</f>
        <v>7.0807390607168612E-3</v>
      </c>
    </row>
    <row r="1490" spans="1:15" x14ac:dyDescent="0.25">
      <c r="A1490" t="s">
        <v>1525</v>
      </c>
      <c r="B1490" t="s">
        <v>12</v>
      </c>
      <c r="C1490" s="14" t="s">
        <v>30</v>
      </c>
      <c r="D1490" s="1">
        <v>45327</v>
      </c>
      <c r="E1490" s="13">
        <v>45336</v>
      </c>
      <c r="F1490" s="14" t="s">
        <v>37</v>
      </c>
      <c r="G1490">
        <v>147</v>
      </c>
      <c r="H1490">
        <v>922.63</v>
      </c>
      <c r="I1490">
        <v>883.66</v>
      </c>
      <c r="J1490">
        <v>1</v>
      </c>
      <c r="K1490" s="14" t="s">
        <v>15</v>
      </c>
      <c r="L1490" s="14">
        <f>IF(OR(Table1[[#This Row],[Order_Status]]="Delivered",Table1[[#This Row],[Delivery_Date]]&lt;&gt;"Not Yet Delivered"),Table1[[#This Row],[Delivery_Date]]-Table1[[#This Row],[Order_Date]],"Not Applicable")</f>
        <v>9</v>
      </c>
      <c r="M1490" s="14">
        <f>Table1[[#This Row],[Unit_Cost]]-Table1[[#This Row],[Negotiated_Cost]]</f>
        <v>38.970000000000027</v>
      </c>
      <c r="N1490" s="18">
        <f>Table1[[#This Row],[Defective_Units]]/Table1[[#This Row],[Quantity]]</f>
        <v>6.8027210884353739E-3</v>
      </c>
      <c r="O1490" s="26">
        <f>(Table1[[#This Row],[Unit_Cost]]-Table1[[#This Row],[Negotiated_Cost]])/Table1[[#This Row],[Unit_Cost]]</f>
        <v>4.2237950207558855E-2</v>
      </c>
    </row>
    <row r="1491" spans="1:15" x14ac:dyDescent="0.25">
      <c r="A1491" t="s">
        <v>1526</v>
      </c>
      <c r="B1491" t="s">
        <v>40</v>
      </c>
      <c r="C1491" s="14" t="s">
        <v>44</v>
      </c>
      <c r="D1491" s="1">
        <v>45128</v>
      </c>
      <c r="E1491" s="13">
        <v>45148</v>
      </c>
      <c r="F1491" s="14" t="s">
        <v>14</v>
      </c>
      <c r="G1491">
        <v>13</v>
      </c>
      <c r="H1491">
        <v>8971.6299999999992</v>
      </c>
      <c r="I1491">
        <v>8946.68</v>
      </c>
      <c r="J1491">
        <v>0</v>
      </c>
      <c r="K1491" s="14" t="s">
        <v>15</v>
      </c>
      <c r="L1491" s="14">
        <f>IF(OR(Table1[[#This Row],[Order_Status]]="Delivered",Table1[[#This Row],[Delivery_Date]]&lt;&gt;"Not Yet Delivered"),Table1[[#This Row],[Delivery_Date]]-Table1[[#This Row],[Order_Date]],"Not Applicable")</f>
        <v>20</v>
      </c>
      <c r="M1491" s="14">
        <f>Table1[[#This Row],[Unit_Cost]]-Table1[[#This Row],[Negotiated_Cost]]</f>
        <v>24.949999999998909</v>
      </c>
      <c r="N1491" s="18">
        <f>Table1[[#This Row],[Defective_Units]]/Table1[[#This Row],[Quantity]]</f>
        <v>0</v>
      </c>
      <c r="O1491" s="26">
        <f>(Table1[[#This Row],[Unit_Cost]]-Table1[[#This Row],[Negotiated_Cost]])/Table1[[#This Row],[Unit_Cost]]</f>
        <v>2.7809885160220509E-3</v>
      </c>
    </row>
    <row r="1492" spans="1:15" x14ac:dyDescent="0.25">
      <c r="A1492" t="s">
        <v>1527</v>
      </c>
      <c r="B1492" t="s">
        <v>17</v>
      </c>
      <c r="C1492" s="14" t="s">
        <v>21</v>
      </c>
      <c r="D1492" s="1">
        <v>45424</v>
      </c>
      <c r="E1492" s="13">
        <v>45440</v>
      </c>
      <c r="F1492" s="14" t="s">
        <v>14</v>
      </c>
      <c r="G1492">
        <v>248</v>
      </c>
      <c r="H1492">
        <v>112.72</v>
      </c>
      <c r="I1492">
        <v>111.87</v>
      </c>
      <c r="J1492">
        <v>1</v>
      </c>
      <c r="K1492" s="14" t="s">
        <v>15</v>
      </c>
      <c r="L1492" s="14">
        <f>IF(OR(Table1[[#This Row],[Order_Status]]="Delivered",Table1[[#This Row],[Delivery_Date]]&lt;&gt;"Not Yet Delivered"),Table1[[#This Row],[Delivery_Date]]-Table1[[#This Row],[Order_Date]],"Not Applicable")</f>
        <v>16</v>
      </c>
      <c r="M1492" s="14">
        <f>Table1[[#This Row],[Unit_Cost]]-Table1[[#This Row],[Negotiated_Cost]]</f>
        <v>0.84999999999999432</v>
      </c>
      <c r="N1492" s="18">
        <f>Table1[[#This Row],[Defective_Units]]/Table1[[#This Row],[Quantity]]</f>
        <v>4.0322580645161289E-3</v>
      </c>
      <c r="O1492" s="26">
        <f>(Table1[[#This Row],[Unit_Cost]]-Table1[[#This Row],[Negotiated_Cost]])/Table1[[#This Row],[Unit_Cost]]</f>
        <v>7.5408090844570116E-3</v>
      </c>
    </row>
    <row r="1493" spans="1:15" x14ac:dyDescent="0.25">
      <c r="A1493" t="s">
        <v>1528</v>
      </c>
      <c r="B1493" t="s">
        <v>35</v>
      </c>
      <c r="C1493" s="14" t="s">
        <v>44</v>
      </c>
      <c r="D1493" s="1">
        <v>45575</v>
      </c>
      <c r="E1493" s="13">
        <v>45586</v>
      </c>
      <c r="F1493" s="14" t="s">
        <v>37</v>
      </c>
      <c r="G1493">
        <v>304</v>
      </c>
      <c r="H1493">
        <v>8279.14</v>
      </c>
      <c r="I1493">
        <v>8229.18</v>
      </c>
      <c r="J1493">
        <v>8</v>
      </c>
      <c r="K1493" s="14" t="s">
        <v>15</v>
      </c>
      <c r="L1493" s="14">
        <f>IF(OR(Table1[[#This Row],[Order_Status]]="Delivered",Table1[[#This Row],[Delivery_Date]]&lt;&gt;"Not Yet Delivered"),Table1[[#This Row],[Delivery_Date]]-Table1[[#This Row],[Order_Date]],"Not Applicable")</f>
        <v>11</v>
      </c>
      <c r="M1493" s="14">
        <f>Table1[[#This Row],[Unit_Cost]]-Table1[[#This Row],[Negotiated_Cost]]</f>
        <v>49.959999999999127</v>
      </c>
      <c r="N1493" s="18">
        <f>Table1[[#This Row],[Defective_Units]]/Table1[[#This Row],[Quantity]]</f>
        <v>2.6315789473684209E-2</v>
      </c>
      <c r="O1493" s="26">
        <f>(Table1[[#This Row],[Unit_Cost]]-Table1[[#This Row],[Negotiated_Cost]])/Table1[[#This Row],[Unit_Cost]]</f>
        <v>6.0344431909593425E-3</v>
      </c>
    </row>
    <row r="1494" spans="1:15" x14ac:dyDescent="0.25">
      <c r="A1494" t="s">
        <v>1529</v>
      </c>
      <c r="B1494" t="s">
        <v>20</v>
      </c>
      <c r="C1494" s="14" t="s">
        <v>21</v>
      </c>
      <c r="D1494" s="1">
        <v>45576</v>
      </c>
      <c r="E1494" s="13">
        <v>45580</v>
      </c>
      <c r="F1494" s="14" t="s">
        <v>37</v>
      </c>
      <c r="G1494">
        <v>500</v>
      </c>
      <c r="H1494">
        <v>109.9</v>
      </c>
      <c r="I1494">
        <v>108.91</v>
      </c>
      <c r="J1494">
        <v>4</v>
      </c>
      <c r="K1494" s="14" t="s">
        <v>25</v>
      </c>
      <c r="L1494" s="14">
        <f>IF(OR(Table1[[#This Row],[Order_Status]]="Delivered",Table1[[#This Row],[Delivery_Date]]&lt;&gt;"Not Yet Delivered"),Table1[[#This Row],[Delivery_Date]]-Table1[[#This Row],[Order_Date]],"Not Applicable")</f>
        <v>4</v>
      </c>
      <c r="M1494" s="14">
        <f>Table1[[#This Row],[Unit_Cost]]-Table1[[#This Row],[Negotiated_Cost]]</f>
        <v>0.99000000000000909</v>
      </c>
      <c r="N1494" s="18">
        <f>Table1[[#This Row],[Defective_Units]]/Table1[[#This Row],[Quantity]]</f>
        <v>8.0000000000000002E-3</v>
      </c>
      <c r="O1494" s="26">
        <f>(Table1[[#This Row],[Unit_Cost]]-Table1[[#This Row],[Negotiated_Cost]])/Table1[[#This Row],[Unit_Cost]]</f>
        <v>9.0081892629664158E-3</v>
      </c>
    </row>
    <row r="1495" spans="1:15" x14ac:dyDescent="0.25">
      <c r="A1495" t="s">
        <v>1530</v>
      </c>
      <c r="B1495" t="s">
        <v>46</v>
      </c>
      <c r="C1495" s="14" t="s">
        <v>55</v>
      </c>
      <c r="D1495" s="1">
        <v>44979</v>
      </c>
      <c r="E1495" s="13">
        <v>44994</v>
      </c>
      <c r="F1495" s="14" t="s">
        <v>14</v>
      </c>
      <c r="G1495">
        <v>454</v>
      </c>
      <c r="H1495">
        <v>13921.79</v>
      </c>
      <c r="I1495">
        <v>13598.73</v>
      </c>
      <c r="J1495">
        <v>6</v>
      </c>
      <c r="K1495" s="14" t="s">
        <v>15</v>
      </c>
      <c r="L1495" s="14">
        <f>IF(OR(Table1[[#This Row],[Order_Status]]="Delivered",Table1[[#This Row],[Delivery_Date]]&lt;&gt;"Not Yet Delivered"),Table1[[#This Row],[Delivery_Date]]-Table1[[#This Row],[Order_Date]],"Not Applicable")</f>
        <v>15</v>
      </c>
      <c r="M1495" s="14">
        <f>Table1[[#This Row],[Unit_Cost]]-Table1[[#This Row],[Negotiated_Cost]]</f>
        <v>323.06000000000131</v>
      </c>
      <c r="N1495" s="18">
        <f>Table1[[#This Row],[Defective_Units]]/Table1[[#This Row],[Quantity]]</f>
        <v>1.3215859030837005E-2</v>
      </c>
      <c r="O1495" s="26">
        <f>(Table1[[#This Row],[Unit_Cost]]-Table1[[#This Row],[Negotiated_Cost]])/Table1[[#This Row],[Unit_Cost]]</f>
        <v>2.3205349312121593E-2</v>
      </c>
    </row>
    <row r="1496" spans="1:15" x14ac:dyDescent="0.25">
      <c r="A1496" t="s">
        <v>1531</v>
      </c>
      <c r="B1496" t="s">
        <v>32</v>
      </c>
      <c r="C1496" s="14" t="s">
        <v>48</v>
      </c>
      <c r="D1496" s="1">
        <v>45502</v>
      </c>
      <c r="E1496" s="13">
        <v>45531</v>
      </c>
      <c r="F1496" s="14" t="s">
        <v>14</v>
      </c>
      <c r="G1496">
        <v>123</v>
      </c>
      <c r="H1496">
        <v>6004.2</v>
      </c>
      <c r="I1496">
        <v>5765.89</v>
      </c>
      <c r="J1496">
        <v>0</v>
      </c>
      <c r="K1496" s="14" t="s">
        <v>15</v>
      </c>
      <c r="L1496" s="14">
        <f>IF(OR(Table1[[#This Row],[Order_Status]]="Delivered",Table1[[#This Row],[Delivery_Date]]&lt;&gt;"Not Yet Delivered"),Table1[[#This Row],[Delivery_Date]]-Table1[[#This Row],[Order_Date]],"Not Applicable")</f>
        <v>29</v>
      </c>
      <c r="M1496" s="14">
        <f>Table1[[#This Row],[Unit_Cost]]-Table1[[#This Row],[Negotiated_Cost]]</f>
        <v>238.30999999999949</v>
      </c>
      <c r="N1496" s="18">
        <f>Table1[[#This Row],[Defective_Units]]/Table1[[#This Row],[Quantity]]</f>
        <v>0</v>
      </c>
      <c r="O1496" s="26">
        <f>(Table1[[#This Row],[Unit_Cost]]-Table1[[#This Row],[Negotiated_Cost]])/Table1[[#This Row],[Unit_Cost]]</f>
        <v>3.9690549948369389E-2</v>
      </c>
    </row>
    <row r="1497" spans="1:15" x14ac:dyDescent="0.25">
      <c r="A1497" t="s">
        <v>1532</v>
      </c>
      <c r="B1497" t="s">
        <v>12</v>
      </c>
      <c r="C1497" s="14" t="s">
        <v>55</v>
      </c>
      <c r="D1497" s="1">
        <v>45111</v>
      </c>
      <c r="E1497" s="13">
        <v>45124</v>
      </c>
      <c r="F1497" s="14" t="s">
        <v>14</v>
      </c>
      <c r="G1497">
        <v>51</v>
      </c>
      <c r="H1497">
        <v>15767.76</v>
      </c>
      <c r="I1497">
        <v>15466.6</v>
      </c>
      <c r="J1497">
        <v>0</v>
      </c>
      <c r="K1497" s="14" t="s">
        <v>15</v>
      </c>
      <c r="L1497" s="14">
        <f>IF(OR(Table1[[#This Row],[Order_Status]]="Delivered",Table1[[#This Row],[Delivery_Date]]&lt;&gt;"Not Yet Delivered"),Table1[[#This Row],[Delivery_Date]]-Table1[[#This Row],[Order_Date]],"Not Applicable")</f>
        <v>13</v>
      </c>
      <c r="M1497" s="14">
        <f>Table1[[#This Row],[Unit_Cost]]-Table1[[#This Row],[Negotiated_Cost]]</f>
        <v>301.15999999999985</v>
      </c>
      <c r="N1497" s="18">
        <f>Table1[[#This Row],[Defective_Units]]/Table1[[#This Row],[Quantity]]</f>
        <v>0</v>
      </c>
      <c r="O1497" s="26">
        <f>(Table1[[#This Row],[Unit_Cost]]-Table1[[#This Row],[Negotiated_Cost]])/Table1[[#This Row],[Unit_Cost]]</f>
        <v>1.9099732618964256E-2</v>
      </c>
    </row>
    <row r="1498" spans="1:15" x14ac:dyDescent="0.25">
      <c r="A1498" t="s">
        <v>1533</v>
      </c>
      <c r="B1498" t="s">
        <v>17</v>
      </c>
      <c r="C1498" s="14" t="s">
        <v>18</v>
      </c>
      <c r="D1498" s="1">
        <v>45131</v>
      </c>
      <c r="E1498" s="13">
        <v>45144</v>
      </c>
      <c r="F1498" s="14" t="s">
        <v>14</v>
      </c>
      <c r="G1498">
        <v>232</v>
      </c>
      <c r="H1498">
        <v>4613.09</v>
      </c>
      <c r="J1498">
        <v>3</v>
      </c>
      <c r="K1498" s="14" t="s">
        <v>25</v>
      </c>
      <c r="L1498" s="14">
        <f>IF(OR(Table1[[#This Row],[Order_Status]]="Delivered",Table1[[#This Row],[Delivery_Date]]&lt;&gt;"Not Yet Delivered"),Table1[[#This Row],[Delivery_Date]]-Table1[[#This Row],[Order_Date]],"Not Applicable")</f>
        <v>13</v>
      </c>
      <c r="M1498" s="14">
        <f>Table1[[#This Row],[Unit_Cost]]-Table1[[#This Row],[Negotiated_Cost]]</f>
        <v>4613.09</v>
      </c>
      <c r="N1498" s="18">
        <f>Table1[[#This Row],[Defective_Units]]/Table1[[#This Row],[Quantity]]</f>
        <v>1.2931034482758621E-2</v>
      </c>
      <c r="O1498" s="26">
        <f>(Table1[[#This Row],[Unit_Cost]]-Table1[[#This Row],[Negotiated_Cost]])/Table1[[#This Row],[Unit_Cost]]</f>
        <v>1</v>
      </c>
    </row>
    <row r="1499" spans="1:15" x14ac:dyDescent="0.25">
      <c r="A1499" t="s">
        <v>1534</v>
      </c>
      <c r="B1499" t="s">
        <v>40</v>
      </c>
      <c r="C1499" s="14" t="s">
        <v>44</v>
      </c>
      <c r="D1499" s="1">
        <v>45234</v>
      </c>
      <c r="E1499" s="13">
        <v>45243</v>
      </c>
      <c r="F1499" s="14" t="s">
        <v>14</v>
      </c>
      <c r="G1499">
        <v>106</v>
      </c>
      <c r="H1499">
        <v>9728.81</v>
      </c>
      <c r="I1499">
        <v>9147.1299999999992</v>
      </c>
      <c r="J1499">
        <v>1</v>
      </c>
      <c r="K1499" s="14" t="s">
        <v>15</v>
      </c>
      <c r="L1499" s="14">
        <f>IF(OR(Table1[[#This Row],[Order_Status]]="Delivered",Table1[[#This Row],[Delivery_Date]]&lt;&gt;"Not Yet Delivered"),Table1[[#This Row],[Delivery_Date]]-Table1[[#This Row],[Order_Date]],"Not Applicable")</f>
        <v>9</v>
      </c>
      <c r="M1499" s="14">
        <f>Table1[[#This Row],[Unit_Cost]]-Table1[[#This Row],[Negotiated_Cost]]</f>
        <v>581.68000000000029</v>
      </c>
      <c r="N1499" s="18">
        <f>Table1[[#This Row],[Defective_Units]]/Table1[[#This Row],[Quantity]]</f>
        <v>9.433962264150943E-3</v>
      </c>
      <c r="O1499" s="26">
        <f>(Table1[[#This Row],[Unit_Cost]]-Table1[[#This Row],[Negotiated_Cost]])/Table1[[#This Row],[Unit_Cost]]</f>
        <v>5.97894295396868E-2</v>
      </c>
    </row>
    <row r="1500" spans="1:15" x14ac:dyDescent="0.25">
      <c r="A1500" t="s">
        <v>1535</v>
      </c>
      <c r="B1500" t="s">
        <v>32</v>
      </c>
      <c r="C1500" s="14" t="s">
        <v>13</v>
      </c>
      <c r="D1500" s="1">
        <v>45117</v>
      </c>
      <c r="E1500" s="13">
        <v>45135</v>
      </c>
      <c r="F1500" s="14" t="s">
        <v>14</v>
      </c>
      <c r="G1500">
        <v>7</v>
      </c>
      <c r="H1500">
        <v>4082.4</v>
      </c>
      <c r="I1500">
        <v>4053.84</v>
      </c>
      <c r="J1500">
        <v>0</v>
      </c>
      <c r="K1500" s="14" t="s">
        <v>15</v>
      </c>
      <c r="L1500" s="14">
        <f>IF(OR(Table1[[#This Row],[Order_Status]]="Delivered",Table1[[#This Row],[Delivery_Date]]&lt;&gt;"Not Yet Delivered"),Table1[[#This Row],[Delivery_Date]]-Table1[[#This Row],[Order_Date]],"Not Applicable")</f>
        <v>18</v>
      </c>
      <c r="M1500" s="14">
        <f>Table1[[#This Row],[Unit_Cost]]-Table1[[#This Row],[Negotiated_Cost]]</f>
        <v>28.559999999999945</v>
      </c>
      <c r="N1500" s="18">
        <f>Table1[[#This Row],[Defective_Units]]/Table1[[#This Row],[Quantity]]</f>
        <v>0</v>
      </c>
      <c r="O1500" s="26">
        <f>(Table1[[#This Row],[Unit_Cost]]-Table1[[#This Row],[Negotiated_Cost]])/Table1[[#This Row],[Unit_Cost]]</f>
        <v>6.9958847736625376E-3</v>
      </c>
    </row>
    <row r="1501" spans="1:15" x14ac:dyDescent="0.25">
      <c r="A1501" t="s">
        <v>1536</v>
      </c>
      <c r="B1501" t="s">
        <v>32</v>
      </c>
      <c r="C1501" s="14" t="s">
        <v>55</v>
      </c>
      <c r="D1501" s="1">
        <v>45503</v>
      </c>
      <c r="E1501" s="13">
        <v>45506</v>
      </c>
      <c r="F1501" s="14" t="s">
        <v>14</v>
      </c>
      <c r="G1501">
        <v>281</v>
      </c>
      <c r="H1501">
        <v>12595.89</v>
      </c>
      <c r="I1501">
        <v>11967.41</v>
      </c>
      <c r="J1501">
        <v>0</v>
      </c>
      <c r="K1501" s="14" t="s">
        <v>15</v>
      </c>
      <c r="L1501" s="14">
        <f>IF(OR(Table1[[#This Row],[Order_Status]]="Delivered",Table1[[#This Row],[Delivery_Date]]&lt;&gt;"Not Yet Delivered"),Table1[[#This Row],[Delivery_Date]]-Table1[[#This Row],[Order_Date]],"Not Applicable")</f>
        <v>3</v>
      </c>
      <c r="M1501" s="14">
        <f>Table1[[#This Row],[Unit_Cost]]-Table1[[#This Row],[Negotiated_Cost]]</f>
        <v>628.47999999999956</v>
      </c>
      <c r="N1501" s="18">
        <f>Table1[[#This Row],[Defective_Units]]/Table1[[#This Row],[Quantity]]</f>
        <v>0</v>
      </c>
      <c r="O1501" s="26">
        <f>(Table1[[#This Row],[Unit_Cost]]-Table1[[#This Row],[Negotiated_Cost]])/Table1[[#This Row],[Unit_Cost]]</f>
        <v>4.9895640562119835E-2</v>
      </c>
    </row>
    <row r="1502" spans="1:15" x14ac:dyDescent="0.25">
      <c r="A1502" t="s">
        <v>1537</v>
      </c>
      <c r="B1502" t="s">
        <v>40</v>
      </c>
      <c r="C1502" s="14" t="s">
        <v>55</v>
      </c>
      <c r="D1502" s="1">
        <v>45618</v>
      </c>
      <c r="E1502" s="13">
        <v>45631</v>
      </c>
      <c r="F1502" s="14" t="s">
        <v>37</v>
      </c>
      <c r="G1502">
        <v>198</v>
      </c>
      <c r="H1502">
        <v>14731.92</v>
      </c>
      <c r="I1502">
        <v>14258.26</v>
      </c>
      <c r="J1502">
        <v>4</v>
      </c>
      <c r="K1502" s="14" t="s">
        <v>15</v>
      </c>
      <c r="L1502" s="14">
        <f>IF(OR(Table1[[#This Row],[Order_Status]]="Delivered",Table1[[#This Row],[Delivery_Date]]&lt;&gt;"Not Yet Delivered"),Table1[[#This Row],[Delivery_Date]]-Table1[[#This Row],[Order_Date]],"Not Applicable")</f>
        <v>13</v>
      </c>
      <c r="M1502" s="14">
        <f>Table1[[#This Row],[Unit_Cost]]-Table1[[#This Row],[Negotiated_Cost]]</f>
        <v>473.65999999999985</v>
      </c>
      <c r="N1502" s="18">
        <f>Table1[[#This Row],[Defective_Units]]/Table1[[#This Row],[Quantity]]</f>
        <v>2.0202020202020204E-2</v>
      </c>
      <c r="O1502" s="26">
        <f>(Table1[[#This Row],[Unit_Cost]]-Table1[[#This Row],[Negotiated_Cost]])/Table1[[#This Row],[Unit_Cost]]</f>
        <v>3.215195303802898E-2</v>
      </c>
    </row>
    <row r="1503" spans="1:15" x14ac:dyDescent="0.25">
      <c r="A1503" t="s">
        <v>1538</v>
      </c>
      <c r="B1503" t="s">
        <v>12</v>
      </c>
      <c r="C1503" s="14" t="s">
        <v>50</v>
      </c>
      <c r="D1503" s="1">
        <v>45183</v>
      </c>
      <c r="E1503" s="13">
        <v>45188</v>
      </c>
      <c r="F1503" s="14" t="s">
        <v>14</v>
      </c>
      <c r="G1503">
        <v>38</v>
      </c>
      <c r="H1503">
        <v>52341.61</v>
      </c>
      <c r="I1503">
        <v>49307.5</v>
      </c>
      <c r="J1503">
        <v>1</v>
      </c>
      <c r="K1503" s="14" t="s">
        <v>15</v>
      </c>
      <c r="L1503" s="14">
        <f>IF(OR(Table1[[#This Row],[Order_Status]]="Delivered",Table1[[#This Row],[Delivery_Date]]&lt;&gt;"Not Yet Delivered"),Table1[[#This Row],[Delivery_Date]]-Table1[[#This Row],[Order_Date]],"Not Applicable")</f>
        <v>5</v>
      </c>
      <c r="M1503" s="14">
        <f>Table1[[#This Row],[Unit_Cost]]-Table1[[#This Row],[Negotiated_Cost]]</f>
        <v>3034.1100000000006</v>
      </c>
      <c r="N1503" s="18">
        <f>Table1[[#This Row],[Defective_Units]]/Table1[[#This Row],[Quantity]]</f>
        <v>2.6315789473684209E-2</v>
      </c>
      <c r="O1503" s="26">
        <f>(Table1[[#This Row],[Unit_Cost]]-Table1[[#This Row],[Negotiated_Cost]])/Table1[[#This Row],[Unit_Cost]]</f>
        <v>5.7967456484429893E-2</v>
      </c>
    </row>
    <row r="1504" spans="1:15" x14ac:dyDescent="0.25">
      <c r="A1504" t="s">
        <v>1539</v>
      </c>
      <c r="B1504" t="s">
        <v>12</v>
      </c>
      <c r="C1504" s="14" t="s">
        <v>30</v>
      </c>
      <c r="D1504" s="1">
        <v>45128</v>
      </c>
      <c r="E1504" s="13">
        <v>45145</v>
      </c>
      <c r="F1504" s="14" t="s">
        <v>37</v>
      </c>
      <c r="G1504">
        <v>380</v>
      </c>
      <c r="H1504">
        <v>889.44</v>
      </c>
      <c r="I1504">
        <v>872.85</v>
      </c>
      <c r="J1504">
        <v>11</v>
      </c>
      <c r="K1504" s="14" t="s">
        <v>15</v>
      </c>
      <c r="L1504" s="14">
        <f>IF(OR(Table1[[#This Row],[Order_Status]]="Delivered",Table1[[#This Row],[Delivery_Date]]&lt;&gt;"Not Yet Delivered"),Table1[[#This Row],[Delivery_Date]]-Table1[[#This Row],[Order_Date]],"Not Applicable")</f>
        <v>17</v>
      </c>
      <c r="M1504" s="14">
        <f>Table1[[#This Row],[Unit_Cost]]-Table1[[#This Row],[Negotiated_Cost]]</f>
        <v>16.590000000000032</v>
      </c>
      <c r="N1504" s="18">
        <f>Table1[[#This Row],[Defective_Units]]/Table1[[#This Row],[Quantity]]</f>
        <v>2.8947368421052631E-2</v>
      </c>
      <c r="O1504" s="26">
        <f>(Table1[[#This Row],[Unit_Cost]]-Table1[[#This Row],[Negotiated_Cost]])/Table1[[#This Row],[Unit_Cost]]</f>
        <v>1.8652185644900197E-2</v>
      </c>
    </row>
    <row r="1505" spans="1:15" x14ac:dyDescent="0.25">
      <c r="A1505" t="s">
        <v>1540</v>
      </c>
      <c r="B1505" t="s">
        <v>17</v>
      </c>
      <c r="C1505" s="14" t="s">
        <v>36</v>
      </c>
      <c r="D1505" s="1">
        <v>45442</v>
      </c>
      <c r="E1505" s="13">
        <v>45468</v>
      </c>
      <c r="F1505" s="14" t="s">
        <v>37</v>
      </c>
      <c r="G1505">
        <v>290</v>
      </c>
      <c r="H1505">
        <v>497.21</v>
      </c>
      <c r="I1505">
        <v>495.99</v>
      </c>
      <c r="J1505">
        <v>4</v>
      </c>
      <c r="K1505" s="14" t="s">
        <v>15</v>
      </c>
      <c r="L1505" s="14">
        <f>IF(OR(Table1[[#This Row],[Order_Status]]="Delivered",Table1[[#This Row],[Delivery_Date]]&lt;&gt;"Not Yet Delivered"),Table1[[#This Row],[Delivery_Date]]-Table1[[#This Row],[Order_Date]],"Not Applicable")</f>
        <v>26</v>
      </c>
      <c r="M1505" s="14">
        <f>Table1[[#This Row],[Unit_Cost]]-Table1[[#This Row],[Negotiated_Cost]]</f>
        <v>1.2199999999999704</v>
      </c>
      <c r="N1505" s="18">
        <f>Table1[[#This Row],[Defective_Units]]/Table1[[#This Row],[Quantity]]</f>
        <v>1.3793103448275862E-2</v>
      </c>
      <c r="O1505" s="26">
        <f>(Table1[[#This Row],[Unit_Cost]]-Table1[[#This Row],[Negotiated_Cost]])/Table1[[#This Row],[Unit_Cost]]</f>
        <v>2.4536915991230476E-3</v>
      </c>
    </row>
    <row r="1506" spans="1:15" x14ac:dyDescent="0.25">
      <c r="A1506" t="s">
        <v>1541</v>
      </c>
      <c r="B1506" t="s">
        <v>32</v>
      </c>
      <c r="C1506" s="14" t="s">
        <v>36</v>
      </c>
      <c r="D1506" s="1">
        <v>44957</v>
      </c>
      <c r="E1506" s="13">
        <v>44978</v>
      </c>
      <c r="F1506" s="14" t="s">
        <v>14</v>
      </c>
      <c r="G1506">
        <v>334</v>
      </c>
      <c r="H1506">
        <v>520.97</v>
      </c>
      <c r="I1506">
        <v>507.22</v>
      </c>
      <c r="J1506">
        <v>0</v>
      </c>
      <c r="K1506" s="14" t="s">
        <v>15</v>
      </c>
      <c r="L1506" s="14">
        <f>IF(OR(Table1[[#This Row],[Order_Status]]="Delivered",Table1[[#This Row],[Delivery_Date]]&lt;&gt;"Not Yet Delivered"),Table1[[#This Row],[Delivery_Date]]-Table1[[#This Row],[Order_Date]],"Not Applicable")</f>
        <v>21</v>
      </c>
      <c r="M1506" s="14">
        <f>Table1[[#This Row],[Unit_Cost]]-Table1[[#This Row],[Negotiated_Cost]]</f>
        <v>13.75</v>
      </c>
      <c r="N1506" s="18">
        <f>Table1[[#This Row],[Defective_Units]]/Table1[[#This Row],[Quantity]]</f>
        <v>0</v>
      </c>
      <c r="O1506" s="26">
        <f>(Table1[[#This Row],[Unit_Cost]]-Table1[[#This Row],[Negotiated_Cost]])/Table1[[#This Row],[Unit_Cost]]</f>
        <v>2.6393074457262414E-2</v>
      </c>
    </row>
    <row r="1507" spans="1:15" x14ac:dyDescent="0.25">
      <c r="A1507" t="s">
        <v>1542</v>
      </c>
      <c r="B1507" t="s">
        <v>40</v>
      </c>
      <c r="C1507" s="14" t="s">
        <v>28</v>
      </c>
      <c r="D1507" s="1">
        <v>45493</v>
      </c>
      <c r="E1507" s="13">
        <v>45501</v>
      </c>
      <c r="F1507" s="14" t="s">
        <v>14</v>
      </c>
      <c r="G1507">
        <v>78</v>
      </c>
      <c r="H1507">
        <v>50348.77</v>
      </c>
      <c r="I1507">
        <v>48764.53</v>
      </c>
      <c r="J1507">
        <v>0</v>
      </c>
      <c r="K1507" s="14" t="s">
        <v>15</v>
      </c>
      <c r="L1507" s="14">
        <f>IF(OR(Table1[[#This Row],[Order_Status]]="Delivered",Table1[[#This Row],[Delivery_Date]]&lt;&gt;"Not Yet Delivered"),Table1[[#This Row],[Delivery_Date]]-Table1[[#This Row],[Order_Date]],"Not Applicable")</f>
        <v>8</v>
      </c>
      <c r="M1507" s="14">
        <f>Table1[[#This Row],[Unit_Cost]]-Table1[[#This Row],[Negotiated_Cost]]</f>
        <v>1584.239999999998</v>
      </c>
      <c r="N1507" s="18">
        <f>Table1[[#This Row],[Defective_Units]]/Table1[[#This Row],[Quantity]]</f>
        <v>0</v>
      </c>
      <c r="O1507" s="26">
        <f>(Table1[[#This Row],[Unit_Cost]]-Table1[[#This Row],[Negotiated_Cost]])/Table1[[#This Row],[Unit_Cost]]</f>
        <v>3.1465316828991015E-2</v>
      </c>
    </row>
    <row r="1508" spans="1:15" x14ac:dyDescent="0.25">
      <c r="A1508" t="s">
        <v>1543</v>
      </c>
      <c r="B1508" t="s">
        <v>27</v>
      </c>
      <c r="C1508" s="14" t="s">
        <v>30</v>
      </c>
      <c r="D1508" s="1">
        <v>44959</v>
      </c>
      <c r="E1508" s="13">
        <v>44968</v>
      </c>
      <c r="F1508" s="14" t="s">
        <v>14</v>
      </c>
      <c r="G1508">
        <v>264</v>
      </c>
      <c r="H1508">
        <v>910.03</v>
      </c>
      <c r="I1508">
        <v>890.43</v>
      </c>
      <c r="J1508">
        <v>3</v>
      </c>
      <c r="K1508" s="14" t="s">
        <v>15</v>
      </c>
      <c r="L1508" s="14">
        <f>IF(OR(Table1[[#This Row],[Order_Status]]="Delivered",Table1[[#This Row],[Delivery_Date]]&lt;&gt;"Not Yet Delivered"),Table1[[#This Row],[Delivery_Date]]-Table1[[#This Row],[Order_Date]],"Not Applicable")</f>
        <v>9</v>
      </c>
      <c r="M1508" s="14">
        <f>Table1[[#This Row],[Unit_Cost]]-Table1[[#This Row],[Negotiated_Cost]]</f>
        <v>19.600000000000023</v>
      </c>
      <c r="N1508" s="18">
        <f>Table1[[#This Row],[Defective_Units]]/Table1[[#This Row],[Quantity]]</f>
        <v>1.1363636363636364E-2</v>
      </c>
      <c r="O1508" s="26">
        <f>(Table1[[#This Row],[Unit_Cost]]-Table1[[#This Row],[Negotiated_Cost]])/Table1[[#This Row],[Unit_Cost]]</f>
        <v>2.1537751502697738E-2</v>
      </c>
    </row>
    <row r="1509" spans="1:15" x14ac:dyDescent="0.25">
      <c r="A1509" t="s">
        <v>1544</v>
      </c>
      <c r="B1509" t="s">
        <v>27</v>
      </c>
      <c r="C1509" s="14" t="s">
        <v>55</v>
      </c>
      <c r="D1509" s="1">
        <v>45054</v>
      </c>
      <c r="E1509" s="14" t="s">
        <v>2057</v>
      </c>
      <c r="F1509" s="14" t="s">
        <v>22</v>
      </c>
      <c r="G1509">
        <v>178</v>
      </c>
      <c r="H1509">
        <v>14169.78</v>
      </c>
      <c r="I1509">
        <v>14104.39</v>
      </c>
      <c r="J1509">
        <v>2</v>
      </c>
      <c r="K1509" s="14" t="s">
        <v>15</v>
      </c>
      <c r="L1509" s="14" t="str">
        <f>IF(OR(Table1[[#This Row],[Order_Status]]="Delivered",Table1[[#This Row],[Delivery_Date]]&lt;&gt;"Not Yet Delivered"),Table1[[#This Row],[Delivery_Date]]-Table1[[#This Row],[Order_Date]],"Not Applicable")</f>
        <v>Not Applicable</v>
      </c>
      <c r="M1509" s="14">
        <f>Table1[[#This Row],[Unit_Cost]]-Table1[[#This Row],[Negotiated_Cost]]</f>
        <v>65.390000000001237</v>
      </c>
      <c r="N1509" s="18">
        <f>Table1[[#This Row],[Defective_Units]]/Table1[[#This Row],[Quantity]]</f>
        <v>1.1235955056179775E-2</v>
      </c>
      <c r="O1509" s="26">
        <f>(Table1[[#This Row],[Unit_Cost]]-Table1[[#This Row],[Negotiated_Cost]])/Table1[[#This Row],[Unit_Cost]]</f>
        <v>4.6147505465858494E-3</v>
      </c>
    </row>
    <row r="1510" spans="1:15" x14ac:dyDescent="0.25">
      <c r="A1510" t="s">
        <v>1545</v>
      </c>
      <c r="B1510" t="s">
        <v>17</v>
      </c>
      <c r="C1510" s="14" t="s">
        <v>44</v>
      </c>
      <c r="D1510" s="1">
        <v>45290</v>
      </c>
      <c r="E1510" s="13">
        <v>45312</v>
      </c>
      <c r="F1510" s="14" t="s">
        <v>14</v>
      </c>
      <c r="G1510">
        <v>371</v>
      </c>
      <c r="H1510">
        <v>7879.69</v>
      </c>
      <c r="I1510">
        <v>7523.26</v>
      </c>
      <c r="J1510">
        <v>5</v>
      </c>
      <c r="K1510" s="14" t="s">
        <v>15</v>
      </c>
      <c r="L1510" s="14">
        <f>IF(OR(Table1[[#This Row],[Order_Status]]="Delivered",Table1[[#This Row],[Delivery_Date]]&lt;&gt;"Not Yet Delivered"),Table1[[#This Row],[Delivery_Date]]-Table1[[#This Row],[Order_Date]],"Not Applicable")</f>
        <v>22</v>
      </c>
      <c r="M1510" s="14">
        <f>Table1[[#This Row],[Unit_Cost]]-Table1[[#This Row],[Negotiated_Cost]]</f>
        <v>356.42999999999938</v>
      </c>
      <c r="N1510" s="18">
        <f>Table1[[#This Row],[Defective_Units]]/Table1[[#This Row],[Quantity]]</f>
        <v>1.3477088948787063E-2</v>
      </c>
      <c r="O1510" s="26">
        <f>(Table1[[#This Row],[Unit_Cost]]-Table1[[#This Row],[Negotiated_Cost]])/Table1[[#This Row],[Unit_Cost]]</f>
        <v>4.5234013013202221E-2</v>
      </c>
    </row>
    <row r="1511" spans="1:15" x14ac:dyDescent="0.25">
      <c r="A1511" t="s">
        <v>1546</v>
      </c>
      <c r="B1511" t="s">
        <v>27</v>
      </c>
      <c r="C1511" s="14" t="s">
        <v>48</v>
      </c>
      <c r="D1511" s="1">
        <v>45331</v>
      </c>
      <c r="E1511" s="13">
        <v>45360</v>
      </c>
      <c r="F1511" s="14" t="s">
        <v>14</v>
      </c>
      <c r="G1511">
        <v>150</v>
      </c>
      <c r="H1511">
        <v>6847.32</v>
      </c>
      <c r="I1511">
        <v>6472.47</v>
      </c>
      <c r="J1511">
        <v>1</v>
      </c>
      <c r="K1511" s="14" t="s">
        <v>15</v>
      </c>
      <c r="L1511" s="14">
        <f>IF(OR(Table1[[#This Row],[Order_Status]]="Delivered",Table1[[#This Row],[Delivery_Date]]&lt;&gt;"Not Yet Delivered"),Table1[[#This Row],[Delivery_Date]]-Table1[[#This Row],[Order_Date]],"Not Applicable")</f>
        <v>29</v>
      </c>
      <c r="M1511" s="14">
        <f>Table1[[#This Row],[Unit_Cost]]-Table1[[#This Row],[Negotiated_Cost]]</f>
        <v>374.84999999999945</v>
      </c>
      <c r="N1511" s="18">
        <f>Table1[[#This Row],[Defective_Units]]/Table1[[#This Row],[Quantity]]</f>
        <v>6.6666666666666671E-3</v>
      </c>
      <c r="O1511" s="26">
        <f>(Table1[[#This Row],[Unit_Cost]]-Table1[[#This Row],[Negotiated_Cost]])/Table1[[#This Row],[Unit_Cost]]</f>
        <v>5.4744045845673849E-2</v>
      </c>
    </row>
    <row r="1512" spans="1:15" x14ac:dyDescent="0.25">
      <c r="A1512" t="s">
        <v>1547</v>
      </c>
      <c r="B1512" t="s">
        <v>12</v>
      </c>
      <c r="C1512" s="14" t="s">
        <v>44</v>
      </c>
      <c r="D1512" s="1">
        <v>45360</v>
      </c>
      <c r="E1512" s="13">
        <v>45363</v>
      </c>
      <c r="F1512" s="14" t="s">
        <v>14</v>
      </c>
      <c r="G1512">
        <v>232</v>
      </c>
      <c r="H1512">
        <v>8680.65</v>
      </c>
      <c r="I1512">
        <v>8669.7800000000007</v>
      </c>
      <c r="J1512">
        <v>7</v>
      </c>
      <c r="K1512" s="14" t="s">
        <v>15</v>
      </c>
      <c r="L1512" s="14">
        <f>IF(OR(Table1[[#This Row],[Order_Status]]="Delivered",Table1[[#This Row],[Delivery_Date]]&lt;&gt;"Not Yet Delivered"),Table1[[#This Row],[Delivery_Date]]-Table1[[#This Row],[Order_Date]],"Not Applicable")</f>
        <v>3</v>
      </c>
      <c r="M1512" s="14">
        <f>Table1[[#This Row],[Unit_Cost]]-Table1[[#This Row],[Negotiated_Cost]]</f>
        <v>10.869999999998981</v>
      </c>
      <c r="N1512" s="18">
        <f>Table1[[#This Row],[Defective_Units]]/Table1[[#This Row],[Quantity]]</f>
        <v>3.017241379310345E-2</v>
      </c>
      <c r="O1512" s="26">
        <f>(Table1[[#This Row],[Unit_Cost]]-Table1[[#This Row],[Negotiated_Cost]])/Table1[[#This Row],[Unit_Cost]]</f>
        <v>1.2522103759509923E-3</v>
      </c>
    </row>
    <row r="1513" spans="1:15" x14ac:dyDescent="0.25">
      <c r="A1513" t="s">
        <v>1548</v>
      </c>
      <c r="B1513" t="s">
        <v>27</v>
      </c>
      <c r="C1513" s="14" t="s">
        <v>24</v>
      </c>
      <c r="D1513" s="1">
        <v>45274</v>
      </c>
      <c r="E1513" s="13">
        <v>45302</v>
      </c>
      <c r="F1513" s="14" t="s">
        <v>14</v>
      </c>
      <c r="G1513">
        <v>258</v>
      </c>
      <c r="H1513">
        <v>13058.85</v>
      </c>
      <c r="I1513">
        <v>12453.33</v>
      </c>
      <c r="J1513">
        <v>1</v>
      </c>
      <c r="K1513" s="14" t="s">
        <v>15</v>
      </c>
      <c r="L1513" s="14">
        <f>IF(OR(Table1[[#This Row],[Order_Status]]="Delivered",Table1[[#This Row],[Delivery_Date]]&lt;&gt;"Not Yet Delivered"),Table1[[#This Row],[Delivery_Date]]-Table1[[#This Row],[Order_Date]],"Not Applicable")</f>
        <v>28</v>
      </c>
      <c r="M1513" s="14">
        <f>Table1[[#This Row],[Unit_Cost]]-Table1[[#This Row],[Negotiated_Cost]]</f>
        <v>605.52000000000044</v>
      </c>
      <c r="N1513" s="18">
        <f>Table1[[#This Row],[Defective_Units]]/Table1[[#This Row],[Quantity]]</f>
        <v>3.875968992248062E-3</v>
      </c>
      <c r="O1513" s="26">
        <f>(Table1[[#This Row],[Unit_Cost]]-Table1[[#This Row],[Negotiated_Cost]])/Table1[[#This Row],[Unit_Cost]]</f>
        <v>4.6368554658335184E-2</v>
      </c>
    </row>
    <row r="1514" spans="1:15" x14ac:dyDescent="0.25">
      <c r="A1514" t="s">
        <v>1549</v>
      </c>
      <c r="B1514" t="s">
        <v>12</v>
      </c>
      <c r="C1514" s="14" t="s">
        <v>13</v>
      </c>
      <c r="D1514" s="1">
        <v>45260</v>
      </c>
      <c r="E1514" s="13">
        <v>45274</v>
      </c>
      <c r="F1514" s="14" t="s">
        <v>14</v>
      </c>
      <c r="G1514">
        <v>24</v>
      </c>
      <c r="H1514">
        <v>4235.28</v>
      </c>
      <c r="I1514">
        <v>4008.18</v>
      </c>
      <c r="J1514">
        <v>0</v>
      </c>
      <c r="K1514" s="14" t="s">
        <v>25</v>
      </c>
      <c r="L1514" s="14">
        <f>IF(OR(Table1[[#This Row],[Order_Status]]="Delivered",Table1[[#This Row],[Delivery_Date]]&lt;&gt;"Not Yet Delivered"),Table1[[#This Row],[Delivery_Date]]-Table1[[#This Row],[Order_Date]],"Not Applicable")</f>
        <v>14</v>
      </c>
      <c r="M1514" s="14">
        <f>Table1[[#This Row],[Unit_Cost]]-Table1[[#This Row],[Negotiated_Cost]]</f>
        <v>227.09999999999991</v>
      </c>
      <c r="N1514" s="18">
        <f>Table1[[#This Row],[Defective_Units]]/Table1[[#This Row],[Quantity]]</f>
        <v>0</v>
      </c>
      <c r="O1514" s="26">
        <f>(Table1[[#This Row],[Unit_Cost]]-Table1[[#This Row],[Negotiated_Cost]])/Table1[[#This Row],[Unit_Cost]]</f>
        <v>5.3621012070040212E-2</v>
      </c>
    </row>
    <row r="1515" spans="1:15" x14ac:dyDescent="0.25">
      <c r="A1515" t="s">
        <v>1550</v>
      </c>
      <c r="B1515" t="s">
        <v>46</v>
      </c>
      <c r="C1515" s="14" t="s">
        <v>24</v>
      </c>
      <c r="D1515" s="1">
        <v>45506</v>
      </c>
      <c r="E1515" s="13">
        <v>45522</v>
      </c>
      <c r="F1515" s="14" t="s">
        <v>14</v>
      </c>
      <c r="G1515">
        <v>374</v>
      </c>
      <c r="H1515">
        <v>12080.12</v>
      </c>
      <c r="I1515">
        <v>11500.91</v>
      </c>
      <c r="J1515">
        <v>6</v>
      </c>
      <c r="K1515" s="14" t="s">
        <v>15</v>
      </c>
      <c r="L1515" s="14">
        <f>IF(OR(Table1[[#This Row],[Order_Status]]="Delivered",Table1[[#This Row],[Delivery_Date]]&lt;&gt;"Not Yet Delivered"),Table1[[#This Row],[Delivery_Date]]-Table1[[#This Row],[Order_Date]],"Not Applicable")</f>
        <v>16</v>
      </c>
      <c r="M1515" s="14">
        <f>Table1[[#This Row],[Unit_Cost]]-Table1[[#This Row],[Negotiated_Cost]]</f>
        <v>579.21000000000095</v>
      </c>
      <c r="N1515" s="18">
        <f>Table1[[#This Row],[Defective_Units]]/Table1[[#This Row],[Quantity]]</f>
        <v>1.6042780748663103E-2</v>
      </c>
      <c r="O1515" s="26">
        <f>(Table1[[#This Row],[Unit_Cost]]-Table1[[#This Row],[Negotiated_Cost]])/Table1[[#This Row],[Unit_Cost]]</f>
        <v>4.7947371383728052E-2</v>
      </c>
    </row>
    <row r="1516" spans="1:15" x14ac:dyDescent="0.25">
      <c r="A1516" t="s">
        <v>1551</v>
      </c>
      <c r="B1516" t="s">
        <v>40</v>
      </c>
      <c r="C1516" s="14" t="s">
        <v>24</v>
      </c>
      <c r="D1516" s="1">
        <v>45003</v>
      </c>
      <c r="E1516" s="13">
        <v>45007</v>
      </c>
      <c r="F1516" s="14" t="s">
        <v>14</v>
      </c>
      <c r="G1516">
        <v>373</v>
      </c>
      <c r="H1516">
        <v>13051.28</v>
      </c>
      <c r="I1516">
        <v>12679.81</v>
      </c>
      <c r="J1516">
        <v>5</v>
      </c>
      <c r="K1516" s="14" t="s">
        <v>15</v>
      </c>
      <c r="L1516" s="14">
        <f>IF(OR(Table1[[#This Row],[Order_Status]]="Delivered",Table1[[#This Row],[Delivery_Date]]&lt;&gt;"Not Yet Delivered"),Table1[[#This Row],[Delivery_Date]]-Table1[[#This Row],[Order_Date]],"Not Applicable")</f>
        <v>4</v>
      </c>
      <c r="M1516" s="14">
        <f>Table1[[#This Row],[Unit_Cost]]-Table1[[#This Row],[Negotiated_Cost]]</f>
        <v>371.47000000000116</v>
      </c>
      <c r="N1516" s="18">
        <f>Table1[[#This Row],[Defective_Units]]/Table1[[#This Row],[Quantity]]</f>
        <v>1.3404825737265416E-2</v>
      </c>
      <c r="O1516" s="26">
        <f>(Table1[[#This Row],[Unit_Cost]]-Table1[[#This Row],[Negotiated_Cost]])/Table1[[#This Row],[Unit_Cost]]</f>
        <v>2.8462342390937988E-2</v>
      </c>
    </row>
    <row r="1517" spans="1:15" x14ac:dyDescent="0.25">
      <c r="A1517" t="s">
        <v>1552</v>
      </c>
      <c r="B1517" t="s">
        <v>27</v>
      </c>
      <c r="C1517" s="14" t="s">
        <v>30</v>
      </c>
      <c r="D1517" s="1">
        <v>45606</v>
      </c>
      <c r="E1517" s="13">
        <v>45617</v>
      </c>
      <c r="F1517" s="14" t="s">
        <v>14</v>
      </c>
      <c r="G1517">
        <v>411</v>
      </c>
      <c r="H1517">
        <v>885.61</v>
      </c>
      <c r="I1517">
        <v>867.27</v>
      </c>
      <c r="J1517">
        <v>7</v>
      </c>
      <c r="K1517" s="14" t="s">
        <v>15</v>
      </c>
      <c r="L1517" s="14">
        <f>IF(OR(Table1[[#This Row],[Order_Status]]="Delivered",Table1[[#This Row],[Delivery_Date]]&lt;&gt;"Not Yet Delivered"),Table1[[#This Row],[Delivery_Date]]-Table1[[#This Row],[Order_Date]],"Not Applicable")</f>
        <v>11</v>
      </c>
      <c r="M1517" s="14">
        <f>Table1[[#This Row],[Unit_Cost]]-Table1[[#This Row],[Negotiated_Cost]]</f>
        <v>18.340000000000032</v>
      </c>
      <c r="N1517" s="18">
        <f>Table1[[#This Row],[Defective_Units]]/Table1[[#This Row],[Quantity]]</f>
        <v>1.7031630170316302E-2</v>
      </c>
      <c r="O1517" s="26">
        <f>(Table1[[#This Row],[Unit_Cost]]-Table1[[#This Row],[Negotiated_Cost]])/Table1[[#This Row],[Unit_Cost]]</f>
        <v>2.0708889917683892E-2</v>
      </c>
    </row>
    <row r="1518" spans="1:15" x14ac:dyDescent="0.25">
      <c r="A1518" t="s">
        <v>1553</v>
      </c>
      <c r="B1518" t="s">
        <v>27</v>
      </c>
      <c r="C1518" s="14" t="s">
        <v>30</v>
      </c>
      <c r="D1518" s="1">
        <v>45645</v>
      </c>
      <c r="E1518" s="13">
        <v>45667</v>
      </c>
      <c r="F1518" s="14" t="s">
        <v>14</v>
      </c>
      <c r="G1518">
        <v>150</v>
      </c>
      <c r="H1518">
        <v>906.35</v>
      </c>
      <c r="I1518">
        <v>902.27</v>
      </c>
      <c r="J1518">
        <v>1</v>
      </c>
      <c r="K1518" s="14" t="s">
        <v>15</v>
      </c>
      <c r="L1518" s="14">
        <f>IF(OR(Table1[[#This Row],[Order_Status]]="Delivered",Table1[[#This Row],[Delivery_Date]]&lt;&gt;"Not Yet Delivered"),Table1[[#This Row],[Delivery_Date]]-Table1[[#This Row],[Order_Date]],"Not Applicable")</f>
        <v>22</v>
      </c>
      <c r="M1518" s="14">
        <f>Table1[[#This Row],[Unit_Cost]]-Table1[[#This Row],[Negotiated_Cost]]</f>
        <v>4.0800000000000409</v>
      </c>
      <c r="N1518" s="18">
        <f>Table1[[#This Row],[Defective_Units]]/Table1[[#This Row],[Quantity]]</f>
        <v>6.6666666666666671E-3</v>
      </c>
      <c r="O1518" s="26">
        <f>(Table1[[#This Row],[Unit_Cost]]-Table1[[#This Row],[Negotiated_Cost]])/Table1[[#This Row],[Unit_Cost]]</f>
        <v>4.5015722403045633E-3</v>
      </c>
    </row>
    <row r="1519" spans="1:15" x14ac:dyDescent="0.25">
      <c r="A1519" t="s">
        <v>1554</v>
      </c>
      <c r="B1519" t="s">
        <v>32</v>
      </c>
      <c r="C1519" s="14" t="s">
        <v>50</v>
      </c>
      <c r="D1519" s="1">
        <v>45506</v>
      </c>
      <c r="E1519" s="13">
        <v>45518</v>
      </c>
      <c r="F1519" s="14" t="s">
        <v>14</v>
      </c>
      <c r="G1519">
        <v>458</v>
      </c>
      <c r="H1519">
        <v>46998.22</v>
      </c>
      <c r="I1519">
        <v>46458.52</v>
      </c>
      <c r="J1519">
        <v>7</v>
      </c>
      <c r="K1519" s="14" t="s">
        <v>15</v>
      </c>
      <c r="L1519" s="14">
        <f>IF(OR(Table1[[#This Row],[Order_Status]]="Delivered",Table1[[#This Row],[Delivery_Date]]&lt;&gt;"Not Yet Delivered"),Table1[[#This Row],[Delivery_Date]]-Table1[[#This Row],[Order_Date]],"Not Applicable")</f>
        <v>12</v>
      </c>
      <c r="M1519" s="14">
        <f>Table1[[#This Row],[Unit_Cost]]-Table1[[#This Row],[Negotiated_Cost]]</f>
        <v>539.70000000000437</v>
      </c>
      <c r="N1519" s="18">
        <f>Table1[[#This Row],[Defective_Units]]/Table1[[#This Row],[Quantity]]</f>
        <v>1.5283842794759825E-2</v>
      </c>
      <c r="O1519" s="26">
        <f>(Table1[[#This Row],[Unit_Cost]]-Table1[[#This Row],[Negotiated_Cost]])/Table1[[#This Row],[Unit_Cost]]</f>
        <v>1.1483413627154482E-2</v>
      </c>
    </row>
    <row r="1520" spans="1:15" x14ac:dyDescent="0.25">
      <c r="A1520" t="s">
        <v>1555</v>
      </c>
      <c r="B1520" t="s">
        <v>40</v>
      </c>
      <c r="C1520" s="14" t="s">
        <v>42</v>
      </c>
      <c r="D1520" s="1">
        <v>45408</v>
      </c>
      <c r="E1520" s="14" t="s">
        <v>2057</v>
      </c>
      <c r="F1520" s="14" t="s">
        <v>33</v>
      </c>
      <c r="G1520">
        <v>254</v>
      </c>
      <c r="H1520">
        <v>13132.24</v>
      </c>
      <c r="I1520">
        <v>12908.35</v>
      </c>
      <c r="J1520">
        <v>2</v>
      </c>
      <c r="K1520" s="14" t="s">
        <v>15</v>
      </c>
      <c r="L1520" s="14" t="str">
        <f>IF(OR(Table1[[#This Row],[Order_Status]]="Delivered",Table1[[#This Row],[Delivery_Date]]&lt;&gt;"Not Yet Delivered"),Table1[[#This Row],[Delivery_Date]]-Table1[[#This Row],[Order_Date]],"Not Applicable")</f>
        <v>Not Applicable</v>
      </c>
      <c r="M1520" s="14">
        <f>Table1[[#This Row],[Unit_Cost]]-Table1[[#This Row],[Negotiated_Cost]]</f>
        <v>223.88999999999942</v>
      </c>
      <c r="N1520" s="18">
        <f>Table1[[#This Row],[Defective_Units]]/Table1[[#This Row],[Quantity]]</f>
        <v>7.874015748031496E-3</v>
      </c>
      <c r="O1520" s="26">
        <f>(Table1[[#This Row],[Unit_Cost]]-Table1[[#This Row],[Negotiated_Cost]])/Table1[[#This Row],[Unit_Cost]]</f>
        <v>1.7048881226660449E-2</v>
      </c>
    </row>
    <row r="1521" spans="1:15" x14ac:dyDescent="0.25">
      <c r="A1521" t="s">
        <v>1556</v>
      </c>
      <c r="B1521" t="s">
        <v>46</v>
      </c>
      <c r="C1521" s="14" t="s">
        <v>21</v>
      </c>
      <c r="D1521" s="1">
        <v>44943</v>
      </c>
      <c r="E1521" s="13">
        <v>44971</v>
      </c>
      <c r="F1521" s="14" t="s">
        <v>14</v>
      </c>
      <c r="G1521">
        <v>227</v>
      </c>
      <c r="H1521">
        <v>112.85</v>
      </c>
      <c r="I1521">
        <v>106.77</v>
      </c>
      <c r="J1521">
        <v>2</v>
      </c>
      <c r="K1521" s="14" t="s">
        <v>15</v>
      </c>
      <c r="L1521" s="14">
        <f>IF(OR(Table1[[#This Row],[Order_Status]]="Delivered",Table1[[#This Row],[Delivery_Date]]&lt;&gt;"Not Yet Delivered"),Table1[[#This Row],[Delivery_Date]]-Table1[[#This Row],[Order_Date]],"Not Applicable")</f>
        <v>28</v>
      </c>
      <c r="M1521" s="14">
        <f>Table1[[#This Row],[Unit_Cost]]-Table1[[#This Row],[Negotiated_Cost]]</f>
        <v>6.0799999999999983</v>
      </c>
      <c r="N1521" s="18">
        <f>Table1[[#This Row],[Defective_Units]]/Table1[[#This Row],[Quantity]]</f>
        <v>8.8105726872246704E-3</v>
      </c>
      <c r="O1521" s="26">
        <f>(Table1[[#This Row],[Unit_Cost]]-Table1[[#This Row],[Negotiated_Cost]])/Table1[[#This Row],[Unit_Cost]]</f>
        <v>5.3876827647319436E-2</v>
      </c>
    </row>
    <row r="1522" spans="1:15" x14ac:dyDescent="0.25">
      <c r="A1522" t="s">
        <v>1557</v>
      </c>
      <c r="B1522" t="s">
        <v>35</v>
      </c>
      <c r="C1522" s="14" t="s">
        <v>55</v>
      </c>
      <c r="D1522" s="1">
        <v>44933</v>
      </c>
      <c r="E1522" s="13">
        <v>44947</v>
      </c>
      <c r="F1522" s="14" t="s">
        <v>14</v>
      </c>
      <c r="G1522">
        <v>55</v>
      </c>
      <c r="H1522">
        <v>13802.36</v>
      </c>
      <c r="I1522">
        <v>13238.23</v>
      </c>
      <c r="J1522">
        <v>0</v>
      </c>
      <c r="K1522" s="14" t="s">
        <v>15</v>
      </c>
      <c r="L1522" s="14">
        <f>IF(OR(Table1[[#This Row],[Order_Status]]="Delivered",Table1[[#This Row],[Delivery_Date]]&lt;&gt;"Not Yet Delivered"),Table1[[#This Row],[Delivery_Date]]-Table1[[#This Row],[Order_Date]],"Not Applicable")</f>
        <v>14</v>
      </c>
      <c r="M1522" s="14">
        <f>Table1[[#This Row],[Unit_Cost]]-Table1[[#This Row],[Negotiated_Cost]]</f>
        <v>564.13000000000102</v>
      </c>
      <c r="N1522" s="18">
        <f>Table1[[#This Row],[Defective_Units]]/Table1[[#This Row],[Quantity]]</f>
        <v>0</v>
      </c>
      <c r="O1522" s="26">
        <f>(Table1[[#This Row],[Unit_Cost]]-Table1[[#This Row],[Negotiated_Cost]])/Table1[[#This Row],[Unit_Cost]]</f>
        <v>4.0871995803616265E-2</v>
      </c>
    </row>
    <row r="1523" spans="1:15" x14ac:dyDescent="0.25">
      <c r="A1523" t="s">
        <v>1558</v>
      </c>
      <c r="B1523" t="s">
        <v>32</v>
      </c>
      <c r="C1523" s="14" t="s">
        <v>28</v>
      </c>
      <c r="D1523" s="1">
        <v>45557</v>
      </c>
      <c r="E1523" s="13">
        <v>45583</v>
      </c>
      <c r="F1523" s="14" t="s">
        <v>14</v>
      </c>
      <c r="G1523">
        <v>207</v>
      </c>
      <c r="H1523">
        <v>45926.79</v>
      </c>
      <c r="I1523">
        <v>45171.35</v>
      </c>
      <c r="J1523">
        <v>4</v>
      </c>
      <c r="K1523" s="14" t="s">
        <v>15</v>
      </c>
      <c r="L1523" s="14">
        <f>IF(OR(Table1[[#This Row],[Order_Status]]="Delivered",Table1[[#This Row],[Delivery_Date]]&lt;&gt;"Not Yet Delivered"),Table1[[#This Row],[Delivery_Date]]-Table1[[#This Row],[Order_Date]],"Not Applicable")</f>
        <v>26</v>
      </c>
      <c r="M1523" s="14">
        <f>Table1[[#This Row],[Unit_Cost]]-Table1[[#This Row],[Negotiated_Cost]]</f>
        <v>755.44000000000233</v>
      </c>
      <c r="N1523" s="18">
        <f>Table1[[#This Row],[Defective_Units]]/Table1[[#This Row],[Quantity]]</f>
        <v>1.932367149758454E-2</v>
      </c>
      <c r="O1523" s="26">
        <f>(Table1[[#This Row],[Unit_Cost]]-Table1[[#This Row],[Negotiated_Cost]])/Table1[[#This Row],[Unit_Cost]]</f>
        <v>1.6448787298219674E-2</v>
      </c>
    </row>
    <row r="1524" spans="1:15" x14ac:dyDescent="0.25">
      <c r="A1524" t="s">
        <v>1559</v>
      </c>
      <c r="B1524" t="s">
        <v>12</v>
      </c>
      <c r="C1524" s="14" t="s">
        <v>36</v>
      </c>
      <c r="D1524" s="1">
        <v>45644</v>
      </c>
      <c r="E1524" s="13">
        <v>45653</v>
      </c>
      <c r="F1524" s="14" t="s">
        <v>14</v>
      </c>
      <c r="G1524">
        <v>42</v>
      </c>
      <c r="H1524">
        <v>567.19000000000005</v>
      </c>
      <c r="I1524">
        <v>552.65</v>
      </c>
      <c r="J1524">
        <v>1</v>
      </c>
      <c r="K1524" s="14" t="s">
        <v>15</v>
      </c>
      <c r="L1524" s="14">
        <f>IF(OR(Table1[[#This Row],[Order_Status]]="Delivered",Table1[[#This Row],[Delivery_Date]]&lt;&gt;"Not Yet Delivered"),Table1[[#This Row],[Delivery_Date]]-Table1[[#This Row],[Order_Date]],"Not Applicable")</f>
        <v>9</v>
      </c>
      <c r="M1524" s="14">
        <f>Table1[[#This Row],[Unit_Cost]]-Table1[[#This Row],[Negotiated_Cost]]</f>
        <v>14.540000000000077</v>
      </c>
      <c r="N1524" s="18">
        <f>Table1[[#This Row],[Defective_Units]]/Table1[[#This Row],[Quantity]]</f>
        <v>2.3809523809523808E-2</v>
      </c>
      <c r="O1524" s="26">
        <f>(Table1[[#This Row],[Unit_Cost]]-Table1[[#This Row],[Negotiated_Cost]])/Table1[[#This Row],[Unit_Cost]]</f>
        <v>2.5635148715598081E-2</v>
      </c>
    </row>
    <row r="1525" spans="1:15" x14ac:dyDescent="0.25">
      <c r="A1525" t="s">
        <v>1560</v>
      </c>
      <c r="B1525" t="s">
        <v>12</v>
      </c>
      <c r="C1525" s="14" t="s">
        <v>24</v>
      </c>
      <c r="D1525" s="1">
        <v>44964</v>
      </c>
      <c r="E1525" s="13">
        <v>44974</v>
      </c>
      <c r="F1525" s="14" t="s">
        <v>14</v>
      </c>
      <c r="G1525">
        <v>146</v>
      </c>
      <c r="H1525">
        <v>13847.77</v>
      </c>
      <c r="I1525">
        <v>13712.81</v>
      </c>
      <c r="J1525">
        <v>2</v>
      </c>
      <c r="K1525" s="14" t="s">
        <v>15</v>
      </c>
      <c r="L1525" s="14">
        <f>IF(OR(Table1[[#This Row],[Order_Status]]="Delivered",Table1[[#This Row],[Delivery_Date]]&lt;&gt;"Not Yet Delivered"),Table1[[#This Row],[Delivery_Date]]-Table1[[#This Row],[Order_Date]],"Not Applicable")</f>
        <v>10</v>
      </c>
      <c r="M1525" s="14">
        <f>Table1[[#This Row],[Unit_Cost]]-Table1[[#This Row],[Negotiated_Cost]]</f>
        <v>134.96000000000095</v>
      </c>
      <c r="N1525" s="18">
        <f>Table1[[#This Row],[Defective_Units]]/Table1[[#This Row],[Quantity]]</f>
        <v>1.3698630136986301E-2</v>
      </c>
      <c r="O1525" s="26">
        <f>(Table1[[#This Row],[Unit_Cost]]-Table1[[#This Row],[Negotiated_Cost]])/Table1[[#This Row],[Unit_Cost]]</f>
        <v>9.7459735394219392E-3</v>
      </c>
    </row>
    <row r="1526" spans="1:15" x14ac:dyDescent="0.25">
      <c r="A1526" t="s">
        <v>1561</v>
      </c>
      <c r="B1526" t="s">
        <v>40</v>
      </c>
      <c r="C1526" s="14" t="s">
        <v>30</v>
      </c>
      <c r="D1526" s="1">
        <v>45152</v>
      </c>
      <c r="E1526" s="13">
        <v>45176</v>
      </c>
      <c r="F1526" s="14" t="s">
        <v>14</v>
      </c>
      <c r="G1526">
        <v>469</v>
      </c>
      <c r="H1526">
        <v>953.94</v>
      </c>
      <c r="I1526">
        <v>907.34</v>
      </c>
      <c r="J1526">
        <v>1</v>
      </c>
      <c r="K1526" s="14" t="s">
        <v>15</v>
      </c>
      <c r="L1526" s="14">
        <f>IF(OR(Table1[[#This Row],[Order_Status]]="Delivered",Table1[[#This Row],[Delivery_Date]]&lt;&gt;"Not Yet Delivered"),Table1[[#This Row],[Delivery_Date]]-Table1[[#This Row],[Order_Date]],"Not Applicable")</f>
        <v>24</v>
      </c>
      <c r="M1526" s="14">
        <f>Table1[[#This Row],[Unit_Cost]]-Table1[[#This Row],[Negotiated_Cost]]</f>
        <v>46.600000000000023</v>
      </c>
      <c r="N1526" s="18">
        <f>Table1[[#This Row],[Defective_Units]]/Table1[[#This Row],[Quantity]]</f>
        <v>2.1321961620469083E-3</v>
      </c>
      <c r="O1526" s="26">
        <f>(Table1[[#This Row],[Unit_Cost]]-Table1[[#This Row],[Negotiated_Cost]])/Table1[[#This Row],[Unit_Cost]]</f>
        <v>4.8850032496802753E-2</v>
      </c>
    </row>
    <row r="1527" spans="1:15" x14ac:dyDescent="0.25">
      <c r="A1527" t="s">
        <v>1562</v>
      </c>
      <c r="B1527" t="s">
        <v>17</v>
      </c>
      <c r="C1527" s="14" t="s">
        <v>13</v>
      </c>
      <c r="D1527" s="1">
        <v>44978</v>
      </c>
      <c r="E1527" s="13">
        <v>44992</v>
      </c>
      <c r="F1527" s="14" t="s">
        <v>14</v>
      </c>
      <c r="G1527">
        <v>378</v>
      </c>
      <c r="H1527">
        <v>4109.24</v>
      </c>
      <c r="I1527">
        <v>3899.25</v>
      </c>
      <c r="J1527">
        <v>3</v>
      </c>
      <c r="K1527" s="14" t="s">
        <v>15</v>
      </c>
      <c r="L1527" s="14">
        <f>IF(OR(Table1[[#This Row],[Order_Status]]="Delivered",Table1[[#This Row],[Delivery_Date]]&lt;&gt;"Not Yet Delivered"),Table1[[#This Row],[Delivery_Date]]-Table1[[#This Row],[Order_Date]],"Not Applicable")</f>
        <v>14</v>
      </c>
      <c r="M1527" s="14">
        <f>Table1[[#This Row],[Unit_Cost]]-Table1[[#This Row],[Negotiated_Cost]]</f>
        <v>209.98999999999978</v>
      </c>
      <c r="N1527" s="18">
        <f>Table1[[#This Row],[Defective_Units]]/Table1[[#This Row],[Quantity]]</f>
        <v>7.9365079365079361E-3</v>
      </c>
      <c r="O1527" s="26">
        <f>(Table1[[#This Row],[Unit_Cost]]-Table1[[#This Row],[Negotiated_Cost]])/Table1[[#This Row],[Unit_Cost]]</f>
        <v>5.110190692196119E-2</v>
      </c>
    </row>
    <row r="1528" spans="1:15" x14ac:dyDescent="0.25">
      <c r="A1528" t="s">
        <v>1563</v>
      </c>
      <c r="B1528" t="s">
        <v>32</v>
      </c>
      <c r="C1528" s="14" t="s">
        <v>44</v>
      </c>
      <c r="D1528" s="1">
        <v>45168</v>
      </c>
      <c r="E1528" s="13">
        <v>45175</v>
      </c>
      <c r="F1528" s="14" t="s">
        <v>37</v>
      </c>
      <c r="G1528">
        <v>166</v>
      </c>
      <c r="H1528">
        <v>7547.64</v>
      </c>
      <c r="I1528">
        <v>7184.94</v>
      </c>
      <c r="J1528">
        <v>1</v>
      </c>
      <c r="K1528" s="14" t="s">
        <v>25</v>
      </c>
      <c r="L1528" s="14">
        <f>IF(OR(Table1[[#This Row],[Order_Status]]="Delivered",Table1[[#This Row],[Delivery_Date]]&lt;&gt;"Not Yet Delivered"),Table1[[#This Row],[Delivery_Date]]-Table1[[#This Row],[Order_Date]],"Not Applicable")</f>
        <v>7</v>
      </c>
      <c r="M1528" s="14">
        <f>Table1[[#This Row],[Unit_Cost]]-Table1[[#This Row],[Negotiated_Cost]]</f>
        <v>362.70000000000073</v>
      </c>
      <c r="N1528" s="18">
        <f>Table1[[#This Row],[Defective_Units]]/Table1[[#This Row],[Quantity]]</f>
        <v>6.024096385542169E-3</v>
      </c>
      <c r="O1528" s="26">
        <f>(Table1[[#This Row],[Unit_Cost]]-Table1[[#This Row],[Negotiated_Cost]])/Table1[[#This Row],[Unit_Cost]]</f>
        <v>4.805475618868954E-2</v>
      </c>
    </row>
    <row r="1529" spans="1:15" x14ac:dyDescent="0.25">
      <c r="A1529" t="s">
        <v>1564</v>
      </c>
      <c r="B1529" t="s">
        <v>27</v>
      </c>
      <c r="C1529" s="14" t="s">
        <v>44</v>
      </c>
      <c r="D1529" s="1">
        <v>45639</v>
      </c>
      <c r="E1529" s="13">
        <v>45664</v>
      </c>
      <c r="F1529" s="14" t="s">
        <v>14</v>
      </c>
      <c r="G1529">
        <v>160</v>
      </c>
      <c r="H1529">
        <v>8553.58</v>
      </c>
      <c r="I1529">
        <v>8182.84</v>
      </c>
      <c r="J1529">
        <v>0</v>
      </c>
      <c r="K1529" s="14" t="s">
        <v>15</v>
      </c>
      <c r="L1529" s="14">
        <f>IF(OR(Table1[[#This Row],[Order_Status]]="Delivered",Table1[[#This Row],[Delivery_Date]]&lt;&gt;"Not Yet Delivered"),Table1[[#This Row],[Delivery_Date]]-Table1[[#This Row],[Order_Date]],"Not Applicable")</f>
        <v>25</v>
      </c>
      <c r="M1529" s="14">
        <f>Table1[[#This Row],[Unit_Cost]]-Table1[[#This Row],[Negotiated_Cost]]</f>
        <v>370.73999999999978</v>
      </c>
      <c r="N1529" s="18">
        <f>Table1[[#This Row],[Defective_Units]]/Table1[[#This Row],[Quantity]]</f>
        <v>0</v>
      </c>
      <c r="O1529" s="26">
        <f>(Table1[[#This Row],[Unit_Cost]]-Table1[[#This Row],[Negotiated_Cost]])/Table1[[#This Row],[Unit_Cost]]</f>
        <v>4.3343255104880039E-2</v>
      </c>
    </row>
    <row r="1530" spans="1:15" x14ac:dyDescent="0.25">
      <c r="A1530" t="s">
        <v>1565</v>
      </c>
      <c r="B1530" t="s">
        <v>27</v>
      </c>
      <c r="C1530" s="14" t="s">
        <v>28</v>
      </c>
      <c r="D1530" s="1">
        <v>45468</v>
      </c>
      <c r="E1530" s="13">
        <v>45493</v>
      </c>
      <c r="F1530" s="14" t="s">
        <v>14</v>
      </c>
      <c r="G1530">
        <v>13</v>
      </c>
      <c r="H1530">
        <v>47241.26</v>
      </c>
      <c r="I1530">
        <v>45634.13</v>
      </c>
      <c r="J1530">
        <v>1</v>
      </c>
      <c r="K1530" s="14" t="s">
        <v>25</v>
      </c>
      <c r="L1530" s="14">
        <f>IF(OR(Table1[[#This Row],[Order_Status]]="Delivered",Table1[[#This Row],[Delivery_Date]]&lt;&gt;"Not Yet Delivered"),Table1[[#This Row],[Delivery_Date]]-Table1[[#This Row],[Order_Date]],"Not Applicable")</f>
        <v>25</v>
      </c>
      <c r="M1530" s="14">
        <f>Table1[[#This Row],[Unit_Cost]]-Table1[[#This Row],[Negotiated_Cost]]</f>
        <v>1607.1300000000047</v>
      </c>
      <c r="N1530" s="18">
        <f>Table1[[#This Row],[Defective_Units]]/Table1[[#This Row],[Quantity]]</f>
        <v>7.6923076923076927E-2</v>
      </c>
      <c r="O1530" s="26">
        <f>(Table1[[#This Row],[Unit_Cost]]-Table1[[#This Row],[Negotiated_Cost]])/Table1[[#This Row],[Unit_Cost]]</f>
        <v>3.4019626064165191E-2</v>
      </c>
    </row>
    <row r="1531" spans="1:15" x14ac:dyDescent="0.25">
      <c r="A1531" t="s">
        <v>1566</v>
      </c>
      <c r="B1531" t="s">
        <v>46</v>
      </c>
      <c r="C1531" s="14" t="s">
        <v>48</v>
      </c>
      <c r="D1531" s="1">
        <v>45228</v>
      </c>
      <c r="E1531" s="13">
        <v>45234</v>
      </c>
      <c r="F1531" s="14" t="s">
        <v>14</v>
      </c>
      <c r="G1531">
        <v>50</v>
      </c>
      <c r="H1531">
        <v>6310.26</v>
      </c>
      <c r="I1531">
        <v>6082.57</v>
      </c>
      <c r="J1531">
        <v>0</v>
      </c>
      <c r="K1531" s="14" t="s">
        <v>15</v>
      </c>
      <c r="L1531" s="14">
        <f>IF(OR(Table1[[#This Row],[Order_Status]]="Delivered",Table1[[#This Row],[Delivery_Date]]&lt;&gt;"Not Yet Delivered"),Table1[[#This Row],[Delivery_Date]]-Table1[[#This Row],[Order_Date]],"Not Applicable")</f>
        <v>6</v>
      </c>
      <c r="M1531" s="14">
        <f>Table1[[#This Row],[Unit_Cost]]-Table1[[#This Row],[Negotiated_Cost]]</f>
        <v>227.69000000000051</v>
      </c>
      <c r="N1531" s="18">
        <f>Table1[[#This Row],[Defective_Units]]/Table1[[#This Row],[Quantity]]</f>
        <v>0</v>
      </c>
      <c r="O1531" s="26">
        <f>(Table1[[#This Row],[Unit_Cost]]-Table1[[#This Row],[Negotiated_Cost]])/Table1[[#This Row],[Unit_Cost]]</f>
        <v>3.608250690145897E-2</v>
      </c>
    </row>
    <row r="1532" spans="1:15" x14ac:dyDescent="0.25">
      <c r="A1532" t="s">
        <v>1567</v>
      </c>
      <c r="B1532" t="s">
        <v>40</v>
      </c>
      <c r="C1532" s="14" t="s">
        <v>42</v>
      </c>
      <c r="D1532" s="1">
        <v>45318</v>
      </c>
      <c r="E1532" s="13">
        <v>45337</v>
      </c>
      <c r="F1532" s="14" t="s">
        <v>14</v>
      </c>
      <c r="G1532">
        <v>332</v>
      </c>
      <c r="H1532">
        <v>13723.74</v>
      </c>
      <c r="I1532">
        <v>13255.57</v>
      </c>
      <c r="J1532">
        <v>0</v>
      </c>
      <c r="K1532" s="14" t="s">
        <v>15</v>
      </c>
      <c r="L1532" s="14">
        <f>IF(OR(Table1[[#This Row],[Order_Status]]="Delivered",Table1[[#This Row],[Delivery_Date]]&lt;&gt;"Not Yet Delivered"),Table1[[#This Row],[Delivery_Date]]-Table1[[#This Row],[Order_Date]],"Not Applicable")</f>
        <v>19</v>
      </c>
      <c r="M1532" s="14">
        <f>Table1[[#This Row],[Unit_Cost]]-Table1[[#This Row],[Negotiated_Cost]]</f>
        <v>468.17000000000007</v>
      </c>
      <c r="N1532" s="18">
        <f>Table1[[#This Row],[Defective_Units]]/Table1[[#This Row],[Quantity]]</f>
        <v>0</v>
      </c>
      <c r="O1532" s="26">
        <f>(Table1[[#This Row],[Unit_Cost]]-Table1[[#This Row],[Negotiated_Cost]])/Table1[[#This Row],[Unit_Cost]]</f>
        <v>3.4113878578288431E-2</v>
      </c>
    </row>
    <row r="1533" spans="1:15" x14ac:dyDescent="0.25">
      <c r="A1533" t="s">
        <v>1568</v>
      </c>
      <c r="B1533" t="s">
        <v>40</v>
      </c>
      <c r="C1533" s="14" t="s">
        <v>18</v>
      </c>
      <c r="D1533" s="1">
        <v>45298</v>
      </c>
      <c r="E1533" s="13">
        <v>45307</v>
      </c>
      <c r="F1533" s="14" t="s">
        <v>14</v>
      </c>
      <c r="G1533">
        <v>269</v>
      </c>
      <c r="H1533">
        <v>5782.3</v>
      </c>
      <c r="I1533">
        <v>5548.28</v>
      </c>
      <c r="J1533">
        <v>1</v>
      </c>
      <c r="K1533" s="14" t="s">
        <v>15</v>
      </c>
      <c r="L1533" s="14">
        <f>IF(OR(Table1[[#This Row],[Order_Status]]="Delivered",Table1[[#This Row],[Delivery_Date]]&lt;&gt;"Not Yet Delivered"),Table1[[#This Row],[Delivery_Date]]-Table1[[#This Row],[Order_Date]],"Not Applicable")</f>
        <v>9</v>
      </c>
      <c r="M1533" s="14">
        <f>Table1[[#This Row],[Unit_Cost]]-Table1[[#This Row],[Negotiated_Cost]]</f>
        <v>234.02000000000044</v>
      </c>
      <c r="N1533" s="18">
        <f>Table1[[#This Row],[Defective_Units]]/Table1[[#This Row],[Quantity]]</f>
        <v>3.7174721189591076E-3</v>
      </c>
      <c r="O1533" s="26">
        <f>(Table1[[#This Row],[Unit_Cost]]-Table1[[#This Row],[Negotiated_Cost]])/Table1[[#This Row],[Unit_Cost]]</f>
        <v>4.0471784583989145E-2</v>
      </c>
    </row>
    <row r="1534" spans="1:15" x14ac:dyDescent="0.25">
      <c r="A1534" t="s">
        <v>1569</v>
      </c>
      <c r="B1534" t="s">
        <v>46</v>
      </c>
      <c r="C1534" s="14" t="s">
        <v>42</v>
      </c>
      <c r="D1534" s="1">
        <v>45192</v>
      </c>
      <c r="E1534" s="13">
        <v>45211</v>
      </c>
      <c r="F1534" s="14" t="s">
        <v>14</v>
      </c>
      <c r="G1534">
        <v>144</v>
      </c>
      <c r="H1534">
        <v>12573.45</v>
      </c>
      <c r="I1534">
        <v>12145.24</v>
      </c>
      <c r="J1534">
        <v>1</v>
      </c>
      <c r="K1534" s="14" t="s">
        <v>15</v>
      </c>
      <c r="L1534" s="14">
        <f>IF(OR(Table1[[#This Row],[Order_Status]]="Delivered",Table1[[#This Row],[Delivery_Date]]&lt;&gt;"Not Yet Delivered"),Table1[[#This Row],[Delivery_Date]]-Table1[[#This Row],[Order_Date]],"Not Applicable")</f>
        <v>19</v>
      </c>
      <c r="M1534" s="14">
        <f>Table1[[#This Row],[Unit_Cost]]-Table1[[#This Row],[Negotiated_Cost]]</f>
        <v>428.21000000000095</v>
      </c>
      <c r="N1534" s="18">
        <f>Table1[[#This Row],[Defective_Units]]/Table1[[#This Row],[Quantity]]</f>
        <v>6.9444444444444441E-3</v>
      </c>
      <c r="O1534" s="26">
        <f>(Table1[[#This Row],[Unit_Cost]]-Table1[[#This Row],[Negotiated_Cost]])/Table1[[#This Row],[Unit_Cost]]</f>
        <v>3.4056682931096947E-2</v>
      </c>
    </row>
    <row r="1535" spans="1:15" x14ac:dyDescent="0.25">
      <c r="A1535" t="s">
        <v>1570</v>
      </c>
      <c r="B1535" t="s">
        <v>17</v>
      </c>
      <c r="C1535" s="14" t="s">
        <v>13</v>
      </c>
      <c r="D1535" s="1">
        <v>45512</v>
      </c>
      <c r="E1535" s="13">
        <v>45542</v>
      </c>
      <c r="F1535" s="14" t="s">
        <v>14</v>
      </c>
      <c r="G1535">
        <v>310</v>
      </c>
      <c r="H1535">
        <v>4038.45</v>
      </c>
      <c r="I1535">
        <v>3898.24</v>
      </c>
      <c r="J1535">
        <v>2</v>
      </c>
      <c r="K1535" s="14" t="s">
        <v>15</v>
      </c>
      <c r="L1535" s="14">
        <f>IF(OR(Table1[[#This Row],[Order_Status]]="Delivered",Table1[[#This Row],[Delivery_Date]]&lt;&gt;"Not Yet Delivered"),Table1[[#This Row],[Delivery_Date]]-Table1[[#This Row],[Order_Date]],"Not Applicable")</f>
        <v>30</v>
      </c>
      <c r="M1535" s="14">
        <f>Table1[[#This Row],[Unit_Cost]]-Table1[[#This Row],[Negotiated_Cost]]</f>
        <v>140.21000000000004</v>
      </c>
      <c r="N1535" s="18">
        <f>Table1[[#This Row],[Defective_Units]]/Table1[[#This Row],[Quantity]]</f>
        <v>6.4516129032258064E-3</v>
      </c>
      <c r="O1535" s="26">
        <f>(Table1[[#This Row],[Unit_Cost]]-Table1[[#This Row],[Negotiated_Cost]])/Table1[[#This Row],[Unit_Cost]]</f>
        <v>3.4718765863140572E-2</v>
      </c>
    </row>
    <row r="1536" spans="1:15" x14ac:dyDescent="0.25">
      <c r="A1536" t="s">
        <v>1571</v>
      </c>
      <c r="B1536" t="s">
        <v>32</v>
      </c>
      <c r="C1536" s="14" t="s">
        <v>30</v>
      </c>
      <c r="D1536" s="1">
        <v>45291</v>
      </c>
      <c r="E1536" s="13">
        <v>45307</v>
      </c>
      <c r="F1536" s="14" t="s">
        <v>14</v>
      </c>
      <c r="G1536">
        <v>18</v>
      </c>
      <c r="H1536">
        <v>849.82</v>
      </c>
      <c r="I1536">
        <v>799.96</v>
      </c>
      <c r="J1536">
        <v>0</v>
      </c>
      <c r="K1536" s="14" t="s">
        <v>15</v>
      </c>
      <c r="L1536" s="14">
        <f>IF(OR(Table1[[#This Row],[Order_Status]]="Delivered",Table1[[#This Row],[Delivery_Date]]&lt;&gt;"Not Yet Delivered"),Table1[[#This Row],[Delivery_Date]]-Table1[[#This Row],[Order_Date]],"Not Applicable")</f>
        <v>16</v>
      </c>
      <c r="M1536" s="14">
        <f>Table1[[#This Row],[Unit_Cost]]-Table1[[#This Row],[Negotiated_Cost]]</f>
        <v>49.860000000000014</v>
      </c>
      <c r="N1536" s="18">
        <f>Table1[[#This Row],[Defective_Units]]/Table1[[#This Row],[Quantity]]</f>
        <v>0</v>
      </c>
      <c r="O1536" s="26">
        <f>(Table1[[#This Row],[Unit_Cost]]-Table1[[#This Row],[Negotiated_Cost]])/Table1[[#This Row],[Unit_Cost]]</f>
        <v>5.8671248028994386E-2</v>
      </c>
    </row>
    <row r="1537" spans="1:15" x14ac:dyDescent="0.25">
      <c r="A1537" t="s">
        <v>1572</v>
      </c>
      <c r="B1537" t="s">
        <v>27</v>
      </c>
      <c r="C1537" s="14" t="s">
        <v>13</v>
      </c>
      <c r="D1537" s="1">
        <v>45132</v>
      </c>
      <c r="E1537" s="13">
        <v>45156</v>
      </c>
      <c r="F1537" s="14" t="s">
        <v>37</v>
      </c>
      <c r="G1537">
        <v>318</v>
      </c>
      <c r="H1537">
        <v>4362.32</v>
      </c>
      <c r="I1537">
        <v>4339.18</v>
      </c>
      <c r="J1537">
        <v>1</v>
      </c>
      <c r="K1537" s="14" t="s">
        <v>15</v>
      </c>
      <c r="L1537" s="14">
        <f>IF(OR(Table1[[#This Row],[Order_Status]]="Delivered",Table1[[#This Row],[Delivery_Date]]&lt;&gt;"Not Yet Delivered"),Table1[[#This Row],[Delivery_Date]]-Table1[[#This Row],[Order_Date]],"Not Applicable")</f>
        <v>24</v>
      </c>
      <c r="M1537" s="14">
        <f>Table1[[#This Row],[Unit_Cost]]-Table1[[#This Row],[Negotiated_Cost]]</f>
        <v>23.139999999999418</v>
      </c>
      <c r="N1537" s="18">
        <f>Table1[[#This Row],[Defective_Units]]/Table1[[#This Row],[Quantity]]</f>
        <v>3.1446540880503146E-3</v>
      </c>
      <c r="O1537" s="26">
        <f>(Table1[[#This Row],[Unit_Cost]]-Table1[[#This Row],[Negotiated_Cost]])/Table1[[#This Row],[Unit_Cost]]</f>
        <v>5.3045168625867473E-3</v>
      </c>
    </row>
    <row r="1538" spans="1:15" x14ac:dyDescent="0.25">
      <c r="A1538" t="s">
        <v>1573</v>
      </c>
      <c r="B1538" t="s">
        <v>32</v>
      </c>
      <c r="C1538" s="14" t="s">
        <v>18</v>
      </c>
      <c r="D1538" s="1">
        <v>45524</v>
      </c>
      <c r="E1538" s="13">
        <v>45539</v>
      </c>
      <c r="F1538" s="14" t="s">
        <v>14</v>
      </c>
      <c r="G1538">
        <v>117</v>
      </c>
      <c r="H1538">
        <v>4976.5200000000004</v>
      </c>
      <c r="I1538">
        <v>4861.8</v>
      </c>
      <c r="J1538">
        <v>0</v>
      </c>
      <c r="K1538" s="14" t="s">
        <v>15</v>
      </c>
      <c r="L1538" s="14">
        <f>IF(OR(Table1[[#This Row],[Order_Status]]="Delivered",Table1[[#This Row],[Delivery_Date]]&lt;&gt;"Not Yet Delivered"),Table1[[#This Row],[Delivery_Date]]-Table1[[#This Row],[Order_Date]],"Not Applicable")</f>
        <v>15</v>
      </c>
      <c r="M1538" s="14">
        <f>Table1[[#This Row],[Unit_Cost]]-Table1[[#This Row],[Negotiated_Cost]]</f>
        <v>114.72000000000025</v>
      </c>
      <c r="N1538" s="18">
        <f>Table1[[#This Row],[Defective_Units]]/Table1[[#This Row],[Quantity]]</f>
        <v>0</v>
      </c>
      <c r="O1538" s="26">
        <f>(Table1[[#This Row],[Unit_Cost]]-Table1[[#This Row],[Negotiated_Cost]])/Table1[[#This Row],[Unit_Cost]]</f>
        <v>2.3052253381881365E-2</v>
      </c>
    </row>
    <row r="1539" spans="1:15" x14ac:dyDescent="0.25">
      <c r="A1539" t="s">
        <v>1574</v>
      </c>
      <c r="B1539" t="s">
        <v>46</v>
      </c>
      <c r="C1539" s="14" t="s">
        <v>36</v>
      </c>
      <c r="D1539" s="1">
        <v>45050</v>
      </c>
      <c r="E1539" s="13">
        <v>45052</v>
      </c>
      <c r="F1539" s="14" t="s">
        <v>14</v>
      </c>
      <c r="G1539">
        <v>132</v>
      </c>
      <c r="H1539">
        <v>560.66999999999996</v>
      </c>
      <c r="I1539">
        <v>530.91</v>
      </c>
      <c r="J1539">
        <v>0</v>
      </c>
      <c r="K1539" s="14" t="s">
        <v>15</v>
      </c>
      <c r="L1539" s="14">
        <f>IF(OR(Table1[[#This Row],[Order_Status]]="Delivered",Table1[[#This Row],[Delivery_Date]]&lt;&gt;"Not Yet Delivered"),Table1[[#This Row],[Delivery_Date]]-Table1[[#This Row],[Order_Date]],"Not Applicable")</f>
        <v>2</v>
      </c>
      <c r="M1539" s="14">
        <f>Table1[[#This Row],[Unit_Cost]]-Table1[[#This Row],[Negotiated_Cost]]</f>
        <v>29.759999999999991</v>
      </c>
      <c r="N1539" s="18">
        <f>Table1[[#This Row],[Defective_Units]]/Table1[[#This Row],[Quantity]]</f>
        <v>0</v>
      </c>
      <c r="O1539" s="26">
        <f>(Table1[[#This Row],[Unit_Cost]]-Table1[[#This Row],[Negotiated_Cost]])/Table1[[#This Row],[Unit_Cost]]</f>
        <v>5.3079351490181378E-2</v>
      </c>
    </row>
    <row r="1540" spans="1:15" x14ac:dyDescent="0.25">
      <c r="A1540" t="s">
        <v>1575</v>
      </c>
      <c r="B1540" t="s">
        <v>35</v>
      </c>
      <c r="C1540" s="14" t="s">
        <v>28</v>
      </c>
      <c r="D1540" s="1">
        <v>45614</v>
      </c>
      <c r="E1540" s="13">
        <v>45644</v>
      </c>
      <c r="F1540" s="14" t="s">
        <v>14</v>
      </c>
      <c r="G1540">
        <v>46</v>
      </c>
      <c r="H1540">
        <v>47072.800000000003</v>
      </c>
      <c r="I1540">
        <v>45862.31</v>
      </c>
      <c r="J1540">
        <v>0</v>
      </c>
      <c r="K1540" s="14" t="s">
        <v>15</v>
      </c>
      <c r="L1540" s="14">
        <f>IF(OR(Table1[[#This Row],[Order_Status]]="Delivered",Table1[[#This Row],[Delivery_Date]]&lt;&gt;"Not Yet Delivered"),Table1[[#This Row],[Delivery_Date]]-Table1[[#This Row],[Order_Date]],"Not Applicable")</f>
        <v>30</v>
      </c>
      <c r="M1540" s="14">
        <f>Table1[[#This Row],[Unit_Cost]]-Table1[[#This Row],[Negotiated_Cost]]</f>
        <v>1210.4900000000052</v>
      </c>
      <c r="N1540" s="18">
        <f>Table1[[#This Row],[Defective_Units]]/Table1[[#This Row],[Quantity]]</f>
        <v>0</v>
      </c>
      <c r="O1540" s="26">
        <f>(Table1[[#This Row],[Unit_Cost]]-Table1[[#This Row],[Negotiated_Cost]])/Table1[[#This Row],[Unit_Cost]]</f>
        <v>2.5715275063306307E-2</v>
      </c>
    </row>
    <row r="1541" spans="1:15" x14ac:dyDescent="0.25">
      <c r="A1541" t="s">
        <v>1576</v>
      </c>
      <c r="B1541" t="s">
        <v>27</v>
      </c>
      <c r="C1541" s="14" t="s">
        <v>24</v>
      </c>
      <c r="D1541" s="1">
        <v>45382</v>
      </c>
      <c r="E1541" s="14" t="s">
        <v>2057</v>
      </c>
      <c r="F1541" s="14" t="s">
        <v>33</v>
      </c>
      <c r="G1541">
        <v>83</v>
      </c>
      <c r="H1541">
        <v>13024.65</v>
      </c>
      <c r="I1541">
        <v>12752.61</v>
      </c>
      <c r="J1541">
        <v>2</v>
      </c>
      <c r="K1541" s="14" t="s">
        <v>15</v>
      </c>
      <c r="L1541" s="14" t="str">
        <f>IF(OR(Table1[[#This Row],[Order_Status]]="Delivered",Table1[[#This Row],[Delivery_Date]]&lt;&gt;"Not Yet Delivered"),Table1[[#This Row],[Delivery_Date]]-Table1[[#This Row],[Order_Date]],"Not Applicable")</f>
        <v>Not Applicable</v>
      </c>
      <c r="M1541" s="14">
        <f>Table1[[#This Row],[Unit_Cost]]-Table1[[#This Row],[Negotiated_Cost]]</f>
        <v>272.03999999999905</v>
      </c>
      <c r="N1541" s="18">
        <f>Table1[[#This Row],[Defective_Units]]/Table1[[#This Row],[Quantity]]</f>
        <v>2.4096385542168676E-2</v>
      </c>
      <c r="O1541" s="26">
        <f>(Table1[[#This Row],[Unit_Cost]]-Table1[[#This Row],[Negotiated_Cost]])/Table1[[#This Row],[Unit_Cost]]</f>
        <v>2.0886549734541741E-2</v>
      </c>
    </row>
    <row r="1542" spans="1:15" x14ac:dyDescent="0.25">
      <c r="A1542" t="s">
        <v>1577</v>
      </c>
      <c r="B1542" t="s">
        <v>46</v>
      </c>
      <c r="C1542" s="14" t="s">
        <v>44</v>
      </c>
      <c r="D1542" s="1">
        <v>45238</v>
      </c>
      <c r="E1542" s="13">
        <v>45244</v>
      </c>
      <c r="F1542" s="14" t="s">
        <v>14</v>
      </c>
      <c r="G1542">
        <v>116</v>
      </c>
      <c r="H1542">
        <v>8223.15</v>
      </c>
      <c r="I1542">
        <v>7923.54</v>
      </c>
      <c r="J1542">
        <v>0</v>
      </c>
      <c r="K1542" s="14" t="s">
        <v>15</v>
      </c>
      <c r="L1542" s="14">
        <f>IF(OR(Table1[[#This Row],[Order_Status]]="Delivered",Table1[[#This Row],[Delivery_Date]]&lt;&gt;"Not Yet Delivered"),Table1[[#This Row],[Delivery_Date]]-Table1[[#This Row],[Order_Date]],"Not Applicable")</f>
        <v>6</v>
      </c>
      <c r="M1542" s="14">
        <f>Table1[[#This Row],[Unit_Cost]]-Table1[[#This Row],[Negotiated_Cost]]</f>
        <v>299.60999999999967</v>
      </c>
      <c r="N1542" s="18">
        <f>Table1[[#This Row],[Defective_Units]]/Table1[[#This Row],[Quantity]]</f>
        <v>0</v>
      </c>
      <c r="O1542" s="26">
        <f>(Table1[[#This Row],[Unit_Cost]]-Table1[[#This Row],[Negotiated_Cost]])/Table1[[#This Row],[Unit_Cost]]</f>
        <v>3.6434942813885152E-2</v>
      </c>
    </row>
    <row r="1543" spans="1:15" x14ac:dyDescent="0.25">
      <c r="A1543" t="s">
        <v>1578</v>
      </c>
      <c r="B1543" t="s">
        <v>27</v>
      </c>
      <c r="C1543" s="14" t="s">
        <v>21</v>
      </c>
      <c r="D1543" s="1">
        <v>45286</v>
      </c>
      <c r="E1543" s="13">
        <v>45304</v>
      </c>
      <c r="F1543" s="14" t="s">
        <v>14</v>
      </c>
      <c r="G1543">
        <v>199</v>
      </c>
      <c r="H1543">
        <v>123.21</v>
      </c>
      <c r="I1543">
        <v>118</v>
      </c>
      <c r="J1543">
        <v>4</v>
      </c>
      <c r="K1543" s="14" t="s">
        <v>15</v>
      </c>
      <c r="L1543" s="14">
        <f>IF(OR(Table1[[#This Row],[Order_Status]]="Delivered",Table1[[#This Row],[Delivery_Date]]&lt;&gt;"Not Yet Delivered"),Table1[[#This Row],[Delivery_Date]]-Table1[[#This Row],[Order_Date]],"Not Applicable")</f>
        <v>18</v>
      </c>
      <c r="M1543" s="14">
        <f>Table1[[#This Row],[Unit_Cost]]-Table1[[#This Row],[Negotiated_Cost]]</f>
        <v>5.2099999999999937</v>
      </c>
      <c r="N1543" s="18">
        <f>Table1[[#This Row],[Defective_Units]]/Table1[[#This Row],[Quantity]]</f>
        <v>2.0100502512562814E-2</v>
      </c>
      <c r="O1543" s="26">
        <f>(Table1[[#This Row],[Unit_Cost]]-Table1[[#This Row],[Negotiated_Cost]])/Table1[[#This Row],[Unit_Cost]]</f>
        <v>4.2285528772015211E-2</v>
      </c>
    </row>
    <row r="1544" spans="1:15" x14ac:dyDescent="0.25">
      <c r="A1544" t="s">
        <v>1579</v>
      </c>
      <c r="B1544" t="s">
        <v>46</v>
      </c>
      <c r="C1544" s="14" t="s">
        <v>42</v>
      </c>
      <c r="D1544" s="1">
        <v>45234</v>
      </c>
      <c r="E1544" s="13">
        <v>45255</v>
      </c>
      <c r="F1544" s="14" t="s">
        <v>14</v>
      </c>
      <c r="G1544">
        <v>341</v>
      </c>
      <c r="H1544">
        <v>11196.2</v>
      </c>
      <c r="I1544">
        <v>11011.22</v>
      </c>
      <c r="J1544">
        <v>6</v>
      </c>
      <c r="K1544" s="14" t="s">
        <v>15</v>
      </c>
      <c r="L1544" s="14">
        <f>IF(OR(Table1[[#This Row],[Order_Status]]="Delivered",Table1[[#This Row],[Delivery_Date]]&lt;&gt;"Not Yet Delivered"),Table1[[#This Row],[Delivery_Date]]-Table1[[#This Row],[Order_Date]],"Not Applicable")</f>
        <v>21</v>
      </c>
      <c r="M1544" s="14">
        <f>Table1[[#This Row],[Unit_Cost]]-Table1[[#This Row],[Negotiated_Cost]]</f>
        <v>184.98000000000138</v>
      </c>
      <c r="N1544" s="18">
        <f>Table1[[#This Row],[Defective_Units]]/Table1[[#This Row],[Quantity]]</f>
        <v>1.7595307917888565E-2</v>
      </c>
      <c r="O1544" s="26">
        <f>(Table1[[#This Row],[Unit_Cost]]-Table1[[#This Row],[Negotiated_Cost]])/Table1[[#This Row],[Unit_Cost]]</f>
        <v>1.6521676997552862E-2</v>
      </c>
    </row>
    <row r="1545" spans="1:15" x14ac:dyDescent="0.25">
      <c r="A1545" t="s">
        <v>1580</v>
      </c>
      <c r="B1545" t="s">
        <v>46</v>
      </c>
      <c r="C1545" s="14" t="s">
        <v>44</v>
      </c>
      <c r="D1545" s="1">
        <v>45355</v>
      </c>
      <c r="E1545" s="13">
        <v>45369</v>
      </c>
      <c r="F1545" s="14" t="s">
        <v>14</v>
      </c>
      <c r="G1545">
        <v>32</v>
      </c>
      <c r="H1545">
        <v>8791.82</v>
      </c>
      <c r="I1545">
        <v>8281.2800000000007</v>
      </c>
      <c r="J1545">
        <v>0</v>
      </c>
      <c r="K1545" s="14" t="s">
        <v>15</v>
      </c>
      <c r="L1545" s="14">
        <f>IF(OR(Table1[[#This Row],[Order_Status]]="Delivered",Table1[[#This Row],[Delivery_Date]]&lt;&gt;"Not Yet Delivered"),Table1[[#This Row],[Delivery_Date]]-Table1[[#This Row],[Order_Date]],"Not Applicable")</f>
        <v>14</v>
      </c>
      <c r="M1545" s="14">
        <f>Table1[[#This Row],[Unit_Cost]]-Table1[[#This Row],[Negotiated_Cost]]</f>
        <v>510.53999999999905</v>
      </c>
      <c r="N1545" s="18">
        <f>Table1[[#This Row],[Defective_Units]]/Table1[[#This Row],[Quantity]]</f>
        <v>0</v>
      </c>
      <c r="O1545" s="26">
        <f>(Table1[[#This Row],[Unit_Cost]]-Table1[[#This Row],[Negotiated_Cost]])/Table1[[#This Row],[Unit_Cost]]</f>
        <v>5.8069887691058177E-2</v>
      </c>
    </row>
    <row r="1546" spans="1:15" x14ac:dyDescent="0.25">
      <c r="A1546" t="s">
        <v>1581</v>
      </c>
      <c r="B1546" t="s">
        <v>46</v>
      </c>
      <c r="C1546" s="14" t="s">
        <v>13</v>
      </c>
      <c r="D1546" s="1">
        <v>45368</v>
      </c>
      <c r="E1546" s="13">
        <v>45386</v>
      </c>
      <c r="F1546" s="14" t="s">
        <v>14</v>
      </c>
      <c r="G1546">
        <v>40</v>
      </c>
      <c r="H1546">
        <v>4300.6400000000003</v>
      </c>
      <c r="I1546">
        <v>4186.04</v>
      </c>
      <c r="J1546">
        <v>1</v>
      </c>
      <c r="K1546" s="14" t="s">
        <v>25</v>
      </c>
      <c r="L1546" s="14">
        <f>IF(OR(Table1[[#This Row],[Order_Status]]="Delivered",Table1[[#This Row],[Delivery_Date]]&lt;&gt;"Not Yet Delivered"),Table1[[#This Row],[Delivery_Date]]-Table1[[#This Row],[Order_Date]],"Not Applicable")</f>
        <v>18</v>
      </c>
      <c r="M1546" s="14">
        <f>Table1[[#This Row],[Unit_Cost]]-Table1[[#This Row],[Negotiated_Cost]]</f>
        <v>114.60000000000036</v>
      </c>
      <c r="N1546" s="18">
        <f>Table1[[#This Row],[Defective_Units]]/Table1[[#This Row],[Quantity]]</f>
        <v>2.5000000000000001E-2</v>
      </c>
      <c r="O1546" s="26">
        <f>(Table1[[#This Row],[Unit_Cost]]-Table1[[#This Row],[Negotiated_Cost]])/Table1[[#This Row],[Unit_Cost]]</f>
        <v>2.6647196696305747E-2</v>
      </c>
    </row>
    <row r="1547" spans="1:15" x14ac:dyDescent="0.25">
      <c r="A1547" t="s">
        <v>1582</v>
      </c>
      <c r="B1547" t="s">
        <v>46</v>
      </c>
      <c r="C1547" s="14" t="s">
        <v>42</v>
      </c>
      <c r="D1547" s="1">
        <v>45231</v>
      </c>
      <c r="E1547" s="13">
        <v>45242</v>
      </c>
      <c r="F1547" s="14" t="s">
        <v>14</v>
      </c>
      <c r="G1547">
        <v>68</v>
      </c>
      <c r="H1547">
        <v>11922.61</v>
      </c>
      <c r="I1547">
        <v>11678.19</v>
      </c>
      <c r="J1547">
        <v>0</v>
      </c>
      <c r="K1547" s="14" t="s">
        <v>15</v>
      </c>
      <c r="L1547" s="14">
        <f>IF(OR(Table1[[#This Row],[Order_Status]]="Delivered",Table1[[#This Row],[Delivery_Date]]&lt;&gt;"Not Yet Delivered"),Table1[[#This Row],[Delivery_Date]]-Table1[[#This Row],[Order_Date]],"Not Applicable")</f>
        <v>11</v>
      </c>
      <c r="M1547" s="14">
        <f>Table1[[#This Row],[Unit_Cost]]-Table1[[#This Row],[Negotiated_Cost]]</f>
        <v>244.42000000000007</v>
      </c>
      <c r="N1547" s="18">
        <f>Table1[[#This Row],[Defective_Units]]/Table1[[#This Row],[Quantity]]</f>
        <v>0</v>
      </c>
      <c r="O1547" s="26">
        <f>(Table1[[#This Row],[Unit_Cost]]-Table1[[#This Row],[Negotiated_Cost]])/Table1[[#This Row],[Unit_Cost]]</f>
        <v>2.0500544763269121E-2</v>
      </c>
    </row>
    <row r="1548" spans="1:15" x14ac:dyDescent="0.25">
      <c r="A1548" t="s">
        <v>1583</v>
      </c>
      <c r="B1548" t="s">
        <v>17</v>
      </c>
      <c r="C1548" s="14" t="s">
        <v>44</v>
      </c>
      <c r="D1548" s="1">
        <v>45171</v>
      </c>
      <c r="E1548" s="13">
        <v>45178</v>
      </c>
      <c r="F1548" s="14" t="s">
        <v>14</v>
      </c>
      <c r="G1548">
        <v>454</v>
      </c>
      <c r="H1548">
        <v>7571.8</v>
      </c>
      <c r="I1548">
        <v>7267.58</v>
      </c>
      <c r="J1548">
        <v>10</v>
      </c>
      <c r="K1548" s="14" t="s">
        <v>15</v>
      </c>
      <c r="L1548" s="14">
        <f>IF(OR(Table1[[#This Row],[Order_Status]]="Delivered",Table1[[#This Row],[Delivery_Date]]&lt;&gt;"Not Yet Delivered"),Table1[[#This Row],[Delivery_Date]]-Table1[[#This Row],[Order_Date]],"Not Applicable")</f>
        <v>7</v>
      </c>
      <c r="M1548" s="14">
        <f>Table1[[#This Row],[Unit_Cost]]-Table1[[#This Row],[Negotiated_Cost]]</f>
        <v>304.22000000000025</v>
      </c>
      <c r="N1548" s="18">
        <f>Table1[[#This Row],[Defective_Units]]/Table1[[#This Row],[Quantity]]</f>
        <v>2.2026431718061675E-2</v>
      </c>
      <c r="O1548" s="26">
        <f>(Table1[[#This Row],[Unit_Cost]]-Table1[[#This Row],[Negotiated_Cost]])/Table1[[#This Row],[Unit_Cost]]</f>
        <v>4.017802900235086E-2</v>
      </c>
    </row>
    <row r="1549" spans="1:15" x14ac:dyDescent="0.25">
      <c r="A1549" t="s">
        <v>1584</v>
      </c>
      <c r="B1549" t="s">
        <v>27</v>
      </c>
      <c r="C1549" s="14" t="s">
        <v>50</v>
      </c>
      <c r="D1549" s="1">
        <v>45221</v>
      </c>
      <c r="E1549" s="13">
        <v>45237</v>
      </c>
      <c r="F1549" s="14" t="s">
        <v>14</v>
      </c>
      <c r="G1549">
        <v>429</v>
      </c>
      <c r="H1549">
        <v>49903.76</v>
      </c>
      <c r="I1549">
        <v>49868.03</v>
      </c>
      <c r="J1549">
        <v>6</v>
      </c>
      <c r="K1549" s="14" t="s">
        <v>15</v>
      </c>
      <c r="L1549" s="14">
        <f>IF(OR(Table1[[#This Row],[Order_Status]]="Delivered",Table1[[#This Row],[Delivery_Date]]&lt;&gt;"Not Yet Delivered"),Table1[[#This Row],[Delivery_Date]]-Table1[[#This Row],[Order_Date]],"Not Applicable")</f>
        <v>16</v>
      </c>
      <c r="M1549" s="14">
        <f>Table1[[#This Row],[Unit_Cost]]-Table1[[#This Row],[Negotiated_Cost]]</f>
        <v>35.730000000003201</v>
      </c>
      <c r="N1549" s="18">
        <f>Table1[[#This Row],[Defective_Units]]/Table1[[#This Row],[Quantity]]</f>
        <v>1.3986013986013986E-2</v>
      </c>
      <c r="O1549" s="26">
        <f>(Table1[[#This Row],[Unit_Cost]]-Table1[[#This Row],[Negotiated_Cost]])/Table1[[#This Row],[Unit_Cost]]</f>
        <v>7.1597811467519082E-4</v>
      </c>
    </row>
    <row r="1550" spans="1:15" x14ac:dyDescent="0.25">
      <c r="A1550" t="s">
        <v>1585</v>
      </c>
      <c r="B1550" t="s">
        <v>40</v>
      </c>
      <c r="C1550" s="14" t="s">
        <v>28</v>
      </c>
      <c r="D1550" s="1">
        <v>45263</v>
      </c>
      <c r="E1550" s="13">
        <v>45292</v>
      </c>
      <c r="F1550" s="14" t="s">
        <v>14</v>
      </c>
      <c r="G1550">
        <v>43</v>
      </c>
      <c r="H1550">
        <v>54300.77</v>
      </c>
      <c r="I1550">
        <v>52197.85</v>
      </c>
      <c r="J1550">
        <v>0</v>
      </c>
      <c r="K1550" s="14" t="s">
        <v>15</v>
      </c>
      <c r="L1550" s="14">
        <f>IF(OR(Table1[[#This Row],[Order_Status]]="Delivered",Table1[[#This Row],[Delivery_Date]]&lt;&gt;"Not Yet Delivered"),Table1[[#This Row],[Delivery_Date]]-Table1[[#This Row],[Order_Date]],"Not Applicable")</f>
        <v>29</v>
      </c>
      <c r="M1550" s="14">
        <f>Table1[[#This Row],[Unit_Cost]]-Table1[[#This Row],[Negotiated_Cost]]</f>
        <v>2102.9199999999983</v>
      </c>
      <c r="N1550" s="18">
        <f>Table1[[#This Row],[Defective_Units]]/Table1[[#This Row],[Quantity]]</f>
        <v>0</v>
      </c>
      <c r="O1550" s="26">
        <f>(Table1[[#This Row],[Unit_Cost]]-Table1[[#This Row],[Negotiated_Cost]])/Table1[[#This Row],[Unit_Cost]]</f>
        <v>3.8727259300374531E-2</v>
      </c>
    </row>
    <row r="1551" spans="1:15" x14ac:dyDescent="0.25">
      <c r="A1551" t="s">
        <v>1586</v>
      </c>
      <c r="B1551" t="s">
        <v>46</v>
      </c>
      <c r="C1551" s="14" t="s">
        <v>55</v>
      </c>
      <c r="D1551" s="1">
        <v>45175</v>
      </c>
      <c r="E1551" s="13">
        <v>45185</v>
      </c>
      <c r="F1551" s="14" t="s">
        <v>37</v>
      </c>
      <c r="G1551">
        <v>249</v>
      </c>
      <c r="H1551">
        <v>14374.04</v>
      </c>
      <c r="I1551">
        <v>14117.22</v>
      </c>
      <c r="J1551">
        <v>3</v>
      </c>
      <c r="K1551" s="14" t="s">
        <v>15</v>
      </c>
      <c r="L1551" s="14">
        <f>IF(OR(Table1[[#This Row],[Order_Status]]="Delivered",Table1[[#This Row],[Delivery_Date]]&lt;&gt;"Not Yet Delivered"),Table1[[#This Row],[Delivery_Date]]-Table1[[#This Row],[Order_Date]],"Not Applicable")</f>
        <v>10</v>
      </c>
      <c r="M1551" s="14">
        <f>Table1[[#This Row],[Unit_Cost]]-Table1[[#This Row],[Negotiated_Cost]]</f>
        <v>256.82000000000153</v>
      </c>
      <c r="N1551" s="18">
        <f>Table1[[#This Row],[Defective_Units]]/Table1[[#This Row],[Quantity]]</f>
        <v>1.2048192771084338E-2</v>
      </c>
      <c r="O1551" s="26">
        <f>(Table1[[#This Row],[Unit_Cost]]-Table1[[#This Row],[Negotiated_Cost]])/Table1[[#This Row],[Unit_Cost]]</f>
        <v>1.7866932330785325E-2</v>
      </c>
    </row>
    <row r="1552" spans="1:15" x14ac:dyDescent="0.25">
      <c r="A1552" t="s">
        <v>1587</v>
      </c>
      <c r="B1552" t="s">
        <v>17</v>
      </c>
      <c r="C1552" s="14" t="s">
        <v>30</v>
      </c>
      <c r="D1552" s="1">
        <v>45424</v>
      </c>
      <c r="E1552" s="13">
        <v>45451</v>
      </c>
      <c r="F1552" s="14" t="s">
        <v>14</v>
      </c>
      <c r="G1552">
        <v>377</v>
      </c>
      <c r="H1552">
        <v>873.5</v>
      </c>
      <c r="I1552">
        <v>828.57</v>
      </c>
      <c r="J1552">
        <v>1</v>
      </c>
      <c r="K1552" s="14" t="s">
        <v>25</v>
      </c>
      <c r="L1552" s="14">
        <f>IF(OR(Table1[[#This Row],[Order_Status]]="Delivered",Table1[[#This Row],[Delivery_Date]]&lt;&gt;"Not Yet Delivered"),Table1[[#This Row],[Delivery_Date]]-Table1[[#This Row],[Order_Date]],"Not Applicable")</f>
        <v>27</v>
      </c>
      <c r="M1552" s="14">
        <f>Table1[[#This Row],[Unit_Cost]]-Table1[[#This Row],[Negotiated_Cost]]</f>
        <v>44.92999999999995</v>
      </c>
      <c r="N1552" s="18">
        <f>Table1[[#This Row],[Defective_Units]]/Table1[[#This Row],[Quantity]]</f>
        <v>2.6525198938992041E-3</v>
      </c>
      <c r="O1552" s="26">
        <f>(Table1[[#This Row],[Unit_Cost]]-Table1[[#This Row],[Negotiated_Cost]])/Table1[[#This Row],[Unit_Cost]]</f>
        <v>5.143674871207779E-2</v>
      </c>
    </row>
    <row r="1553" spans="1:15" x14ac:dyDescent="0.25">
      <c r="A1553" t="s">
        <v>1588</v>
      </c>
      <c r="B1553" t="s">
        <v>46</v>
      </c>
      <c r="C1553" s="14" t="s">
        <v>18</v>
      </c>
      <c r="D1553" s="1">
        <v>45395</v>
      </c>
      <c r="E1553" s="13">
        <v>45404</v>
      </c>
      <c r="F1553" s="14" t="s">
        <v>37</v>
      </c>
      <c r="G1553">
        <v>410</v>
      </c>
      <c r="H1553">
        <v>4964.09</v>
      </c>
      <c r="I1553">
        <v>4781.82</v>
      </c>
      <c r="J1553">
        <v>6</v>
      </c>
      <c r="K1553" s="14" t="s">
        <v>15</v>
      </c>
      <c r="L1553" s="14">
        <f>IF(OR(Table1[[#This Row],[Order_Status]]="Delivered",Table1[[#This Row],[Delivery_Date]]&lt;&gt;"Not Yet Delivered"),Table1[[#This Row],[Delivery_Date]]-Table1[[#This Row],[Order_Date]],"Not Applicable")</f>
        <v>9</v>
      </c>
      <c r="M1553" s="14">
        <f>Table1[[#This Row],[Unit_Cost]]-Table1[[#This Row],[Negotiated_Cost]]</f>
        <v>182.27000000000044</v>
      </c>
      <c r="N1553" s="18">
        <f>Table1[[#This Row],[Defective_Units]]/Table1[[#This Row],[Quantity]]</f>
        <v>1.4634146341463415E-2</v>
      </c>
      <c r="O1553" s="26">
        <f>(Table1[[#This Row],[Unit_Cost]]-Table1[[#This Row],[Negotiated_Cost]])/Table1[[#This Row],[Unit_Cost]]</f>
        <v>3.6717706568575599E-2</v>
      </c>
    </row>
    <row r="1554" spans="1:15" x14ac:dyDescent="0.25">
      <c r="A1554" t="s">
        <v>1589</v>
      </c>
      <c r="B1554" t="s">
        <v>46</v>
      </c>
      <c r="C1554" s="14" t="s">
        <v>44</v>
      </c>
      <c r="D1554" s="1">
        <v>45209</v>
      </c>
      <c r="E1554" s="13">
        <v>45217</v>
      </c>
      <c r="F1554" s="14" t="s">
        <v>14</v>
      </c>
      <c r="G1554">
        <v>202</v>
      </c>
      <c r="H1554">
        <v>7918.24</v>
      </c>
      <c r="I1554">
        <v>7803.57</v>
      </c>
      <c r="J1554">
        <v>4</v>
      </c>
      <c r="K1554" s="14" t="s">
        <v>15</v>
      </c>
      <c r="L1554" s="14">
        <f>IF(OR(Table1[[#This Row],[Order_Status]]="Delivered",Table1[[#This Row],[Delivery_Date]]&lt;&gt;"Not Yet Delivered"),Table1[[#This Row],[Delivery_Date]]-Table1[[#This Row],[Order_Date]],"Not Applicable")</f>
        <v>8</v>
      </c>
      <c r="M1554" s="14">
        <f>Table1[[#This Row],[Unit_Cost]]-Table1[[#This Row],[Negotiated_Cost]]</f>
        <v>114.67000000000007</v>
      </c>
      <c r="N1554" s="18">
        <f>Table1[[#This Row],[Defective_Units]]/Table1[[#This Row],[Quantity]]</f>
        <v>1.9801980198019802E-2</v>
      </c>
      <c r="O1554" s="26">
        <f>(Table1[[#This Row],[Unit_Cost]]-Table1[[#This Row],[Negotiated_Cost]])/Table1[[#This Row],[Unit_Cost]]</f>
        <v>1.4481753520984471E-2</v>
      </c>
    </row>
    <row r="1555" spans="1:15" x14ac:dyDescent="0.25">
      <c r="A1555" t="s">
        <v>1590</v>
      </c>
      <c r="B1555" t="s">
        <v>12</v>
      </c>
      <c r="C1555" s="14" t="s">
        <v>13</v>
      </c>
      <c r="D1555" s="1">
        <v>45349</v>
      </c>
      <c r="E1555" s="13">
        <v>45357</v>
      </c>
      <c r="F1555" s="14" t="s">
        <v>14</v>
      </c>
      <c r="G1555">
        <v>495</v>
      </c>
      <c r="H1555">
        <v>4236.41</v>
      </c>
      <c r="I1555">
        <v>4089.16</v>
      </c>
      <c r="J1555">
        <v>6</v>
      </c>
      <c r="K1555" s="14" t="s">
        <v>15</v>
      </c>
      <c r="L1555" s="14">
        <f>IF(OR(Table1[[#This Row],[Order_Status]]="Delivered",Table1[[#This Row],[Delivery_Date]]&lt;&gt;"Not Yet Delivered"),Table1[[#This Row],[Delivery_Date]]-Table1[[#This Row],[Order_Date]],"Not Applicable")</f>
        <v>8</v>
      </c>
      <c r="M1555" s="14">
        <f>Table1[[#This Row],[Unit_Cost]]-Table1[[#This Row],[Negotiated_Cost]]</f>
        <v>147.25</v>
      </c>
      <c r="N1555" s="18">
        <f>Table1[[#This Row],[Defective_Units]]/Table1[[#This Row],[Quantity]]</f>
        <v>1.2121212121212121E-2</v>
      </c>
      <c r="O1555" s="26">
        <f>(Table1[[#This Row],[Unit_Cost]]-Table1[[#This Row],[Negotiated_Cost]])/Table1[[#This Row],[Unit_Cost]]</f>
        <v>3.4758203290049833E-2</v>
      </c>
    </row>
    <row r="1556" spans="1:15" x14ac:dyDescent="0.25">
      <c r="A1556" t="s">
        <v>1591</v>
      </c>
      <c r="B1556" t="s">
        <v>17</v>
      </c>
      <c r="C1556" s="14" t="s">
        <v>18</v>
      </c>
      <c r="D1556" s="1">
        <v>45473</v>
      </c>
      <c r="E1556" s="13">
        <v>45495</v>
      </c>
      <c r="F1556" s="14" t="s">
        <v>14</v>
      </c>
      <c r="G1556">
        <v>329</v>
      </c>
      <c r="H1556">
        <v>4632.67</v>
      </c>
      <c r="I1556">
        <v>4558.7</v>
      </c>
      <c r="J1556">
        <v>4</v>
      </c>
      <c r="K1556" s="14" t="s">
        <v>15</v>
      </c>
      <c r="L1556" s="14">
        <f>IF(OR(Table1[[#This Row],[Order_Status]]="Delivered",Table1[[#This Row],[Delivery_Date]]&lt;&gt;"Not Yet Delivered"),Table1[[#This Row],[Delivery_Date]]-Table1[[#This Row],[Order_Date]],"Not Applicable")</f>
        <v>22</v>
      </c>
      <c r="M1556" s="14">
        <f>Table1[[#This Row],[Unit_Cost]]-Table1[[#This Row],[Negotiated_Cost]]</f>
        <v>73.970000000000255</v>
      </c>
      <c r="N1556" s="18">
        <f>Table1[[#This Row],[Defective_Units]]/Table1[[#This Row],[Quantity]]</f>
        <v>1.2158054711246201E-2</v>
      </c>
      <c r="O1556" s="26">
        <f>(Table1[[#This Row],[Unit_Cost]]-Table1[[#This Row],[Negotiated_Cost]])/Table1[[#This Row],[Unit_Cost]]</f>
        <v>1.5967034129346629E-2</v>
      </c>
    </row>
    <row r="1557" spans="1:15" x14ac:dyDescent="0.25">
      <c r="A1557" t="s">
        <v>1592</v>
      </c>
      <c r="B1557" t="s">
        <v>27</v>
      </c>
      <c r="C1557" s="14" t="s">
        <v>48</v>
      </c>
      <c r="D1557" s="1">
        <v>45530</v>
      </c>
      <c r="E1557" s="13">
        <v>45556</v>
      </c>
      <c r="F1557" s="14" t="s">
        <v>14</v>
      </c>
      <c r="G1557">
        <v>178</v>
      </c>
      <c r="H1557">
        <v>6602.66</v>
      </c>
      <c r="I1557">
        <v>6602.53</v>
      </c>
      <c r="J1557">
        <v>0</v>
      </c>
      <c r="K1557" s="14" t="s">
        <v>15</v>
      </c>
      <c r="L1557" s="14">
        <f>IF(OR(Table1[[#This Row],[Order_Status]]="Delivered",Table1[[#This Row],[Delivery_Date]]&lt;&gt;"Not Yet Delivered"),Table1[[#This Row],[Delivery_Date]]-Table1[[#This Row],[Order_Date]],"Not Applicable")</f>
        <v>26</v>
      </c>
      <c r="M1557" s="14">
        <f>Table1[[#This Row],[Unit_Cost]]-Table1[[#This Row],[Negotiated_Cost]]</f>
        <v>0.13000000000010914</v>
      </c>
      <c r="N1557" s="18">
        <f>Table1[[#This Row],[Defective_Units]]/Table1[[#This Row],[Quantity]]</f>
        <v>0</v>
      </c>
      <c r="O1557" s="26">
        <f>(Table1[[#This Row],[Unit_Cost]]-Table1[[#This Row],[Negotiated_Cost]])/Table1[[#This Row],[Unit_Cost]]</f>
        <v>1.9689034419477777E-5</v>
      </c>
    </row>
    <row r="1558" spans="1:15" x14ac:dyDescent="0.25">
      <c r="A1558" t="s">
        <v>1593</v>
      </c>
      <c r="B1558" t="s">
        <v>27</v>
      </c>
      <c r="C1558" s="14" t="s">
        <v>30</v>
      </c>
      <c r="D1558" s="1">
        <v>45444</v>
      </c>
      <c r="E1558" s="14" t="s">
        <v>2057</v>
      </c>
      <c r="F1558" s="14" t="s">
        <v>22</v>
      </c>
      <c r="G1558">
        <v>326</v>
      </c>
      <c r="H1558">
        <v>958.19</v>
      </c>
      <c r="I1558">
        <v>940.64</v>
      </c>
      <c r="J1558">
        <v>2</v>
      </c>
      <c r="K1558" s="14" t="s">
        <v>15</v>
      </c>
      <c r="L1558" s="14" t="str">
        <f>IF(OR(Table1[[#This Row],[Order_Status]]="Delivered",Table1[[#This Row],[Delivery_Date]]&lt;&gt;"Not Yet Delivered"),Table1[[#This Row],[Delivery_Date]]-Table1[[#This Row],[Order_Date]],"Not Applicable")</f>
        <v>Not Applicable</v>
      </c>
      <c r="M1558" s="14">
        <f>Table1[[#This Row],[Unit_Cost]]-Table1[[#This Row],[Negotiated_Cost]]</f>
        <v>17.550000000000068</v>
      </c>
      <c r="N1558" s="18">
        <f>Table1[[#This Row],[Defective_Units]]/Table1[[#This Row],[Quantity]]</f>
        <v>6.1349693251533744E-3</v>
      </c>
      <c r="O1558" s="26">
        <f>(Table1[[#This Row],[Unit_Cost]]-Table1[[#This Row],[Negotiated_Cost]])/Table1[[#This Row],[Unit_Cost]]</f>
        <v>1.8315782882309423E-2</v>
      </c>
    </row>
    <row r="1559" spans="1:15" x14ac:dyDescent="0.25">
      <c r="A1559" t="s">
        <v>1594</v>
      </c>
      <c r="B1559" t="s">
        <v>35</v>
      </c>
      <c r="C1559" s="14" t="s">
        <v>24</v>
      </c>
      <c r="D1559" s="1">
        <v>45610</v>
      </c>
      <c r="E1559" s="13">
        <v>45633</v>
      </c>
      <c r="F1559" s="14" t="s">
        <v>14</v>
      </c>
      <c r="G1559">
        <v>482</v>
      </c>
      <c r="H1559">
        <v>12546.8</v>
      </c>
      <c r="I1559">
        <v>12307.99</v>
      </c>
      <c r="J1559">
        <v>9</v>
      </c>
      <c r="K1559" s="14" t="s">
        <v>15</v>
      </c>
      <c r="L1559" s="14">
        <f>IF(OR(Table1[[#This Row],[Order_Status]]="Delivered",Table1[[#This Row],[Delivery_Date]]&lt;&gt;"Not Yet Delivered"),Table1[[#This Row],[Delivery_Date]]-Table1[[#This Row],[Order_Date]],"Not Applicable")</f>
        <v>23</v>
      </c>
      <c r="M1559" s="14">
        <f>Table1[[#This Row],[Unit_Cost]]-Table1[[#This Row],[Negotiated_Cost]]</f>
        <v>238.80999999999949</v>
      </c>
      <c r="N1559" s="18">
        <f>Table1[[#This Row],[Defective_Units]]/Table1[[#This Row],[Quantity]]</f>
        <v>1.8672199170124481E-2</v>
      </c>
      <c r="O1559" s="26">
        <f>(Table1[[#This Row],[Unit_Cost]]-Table1[[#This Row],[Negotiated_Cost]])/Table1[[#This Row],[Unit_Cost]]</f>
        <v>1.9033538432110138E-2</v>
      </c>
    </row>
    <row r="1560" spans="1:15" x14ac:dyDescent="0.25">
      <c r="A1560" t="s">
        <v>1595</v>
      </c>
      <c r="B1560" t="s">
        <v>46</v>
      </c>
      <c r="C1560" s="14" t="s">
        <v>48</v>
      </c>
      <c r="D1560" s="1">
        <v>45445</v>
      </c>
      <c r="E1560" s="13">
        <v>45452</v>
      </c>
      <c r="F1560" s="14" t="s">
        <v>14</v>
      </c>
      <c r="G1560">
        <v>397</v>
      </c>
      <c r="H1560">
        <v>6075.02</v>
      </c>
      <c r="I1560">
        <v>5857.9</v>
      </c>
      <c r="J1560">
        <v>4</v>
      </c>
      <c r="K1560" s="14" t="s">
        <v>15</v>
      </c>
      <c r="L1560" s="14">
        <f>IF(OR(Table1[[#This Row],[Order_Status]]="Delivered",Table1[[#This Row],[Delivery_Date]]&lt;&gt;"Not Yet Delivered"),Table1[[#This Row],[Delivery_Date]]-Table1[[#This Row],[Order_Date]],"Not Applicable")</f>
        <v>7</v>
      </c>
      <c r="M1560" s="14">
        <f>Table1[[#This Row],[Unit_Cost]]-Table1[[#This Row],[Negotiated_Cost]]</f>
        <v>217.1200000000008</v>
      </c>
      <c r="N1560" s="18">
        <f>Table1[[#This Row],[Defective_Units]]/Table1[[#This Row],[Quantity]]</f>
        <v>1.0075566750629723E-2</v>
      </c>
      <c r="O1560" s="26">
        <f>(Table1[[#This Row],[Unit_Cost]]-Table1[[#This Row],[Negotiated_Cost]])/Table1[[#This Row],[Unit_Cost]]</f>
        <v>3.5739800033580266E-2</v>
      </c>
    </row>
    <row r="1561" spans="1:15" x14ac:dyDescent="0.25">
      <c r="A1561" t="s">
        <v>1596</v>
      </c>
      <c r="B1561" t="s">
        <v>20</v>
      </c>
      <c r="C1561" s="14" t="s">
        <v>13</v>
      </c>
      <c r="D1561" s="1">
        <v>45250</v>
      </c>
      <c r="E1561" s="14" t="s">
        <v>2057</v>
      </c>
      <c r="F1561" s="14" t="s">
        <v>33</v>
      </c>
      <c r="G1561">
        <v>164</v>
      </c>
      <c r="H1561">
        <v>3848.63</v>
      </c>
      <c r="I1561">
        <v>3832.46</v>
      </c>
      <c r="J1561">
        <v>2</v>
      </c>
      <c r="K1561" s="14" t="s">
        <v>15</v>
      </c>
      <c r="L1561" s="14" t="str">
        <f>IF(OR(Table1[[#This Row],[Order_Status]]="Delivered",Table1[[#This Row],[Delivery_Date]]&lt;&gt;"Not Yet Delivered"),Table1[[#This Row],[Delivery_Date]]-Table1[[#This Row],[Order_Date]],"Not Applicable")</f>
        <v>Not Applicable</v>
      </c>
      <c r="M1561" s="14">
        <f>Table1[[#This Row],[Unit_Cost]]-Table1[[#This Row],[Negotiated_Cost]]</f>
        <v>16.170000000000073</v>
      </c>
      <c r="N1561" s="18">
        <f>Table1[[#This Row],[Defective_Units]]/Table1[[#This Row],[Quantity]]</f>
        <v>1.2195121951219513E-2</v>
      </c>
      <c r="O1561" s="26">
        <f>(Table1[[#This Row],[Unit_Cost]]-Table1[[#This Row],[Negotiated_Cost]])/Table1[[#This Row],[Unit_Cost]]</f>
        <v>4.2014950774691443E-3</v>
      </c>
    </row>
    <row r="1562" spans="1:15" x14ac:dyDescent="0.25">
      <c r="A1562" t="s">
        <v>1597</v>
      </c>
      <c r="B1562" t="s">
        <v>12</v>
      </c>
      <c r="C1562" s="14" t="s">
        <v>13</v>
      </c>
      <c r="D1562" s="1">
        <v>45648</v>
      </c>
      <c r="E1562" s="13">
        <v>45670</v>
      </c>
      <c r="F1562" s="14" t="s">
        <v>14</v>
      </c>
      <c r="G1562">
        <v>40</v>
      </c>
      <c r="H1562">
        <v>4645.88</v>
      </c>
      <c r="I1562">
        <v>4575.5200000000004</v>
      </c>
      <c r="J1562">
        <v>0</v>
      </c>
      <c r="K1562" s="14" t="s">
        <v>25</v>
      </c>
      <c r="L1562" s="14">
        <f>IF(OR(Table1[[#This Row],[Order_Status]]="Delivered",Table1[[#This Row],[Delivery_Date]]&lt;&gt;"Not Yet Delivered"),Table1[[#This Row],[Delivery_Date]]-Table1[[#This Row],[Order_Date]],"Not Applicable")</f>
        <v>22</v>
      </c>
      <c r="M1562" s="14">
        <f>Table1[[#This Row],[Unit_Cost]]-Table1[[#This Row],[Negotiated_Cost]]</f>
        <v>70.359999999999673</v>
      </c>
      <c r="N1562" s="18">
        <f>Table1[[#This Row],[Defective_Units]]/Table1[[#This Row],[Quantity]]</f>
        <v>0</v>
      </c>
      <c r="O1562" s="26">
        <f>(Table1[[#This Row],[Unit_Cost]]-Table1[[#This Row],[Negotiated_Cost]])/Table1[[#This Row],[Unit_Cost]]</f>
        <v>1.5144601238086147E-2</v>
      </c>
    </row>
    <row r="1563" spans="1:15" x14ac:dyDescent="0.25">
      <c r="A1563" t="s">
        <v>1598</v>
      </c>
      <c r="B1563" t="s">
        <v>27</v>
      </c>
      <c r="C1563" s="14" t="s">
        <v>48</v>
      </c>
      <c r="D1563" s="1">
        <v>44954</v>
      </c>
      <c r="E1563" s="13">
        <v>44965</v>
      </c>
      <c r="F1563" s="14" t="s">
        <v>14</v>
      </c>
      <c r="G1563">
        <v>68</v>
      </c>
      <c r="H1563">
        <v>6263.33</v>
      </c>
      <c r="I1563">
        <v>6243.11</v>
      </c>
      <c r="J1563">
        <v>1</v>
      </c>
      <c r="K1563" s="14" t="s">
        <v>15</v>
      </c>
      <c r="L1563" s="14">
        <f>IF(OR(Table1[[#This Row],[Order_Status]]="Delivered",Table1[[#This Row],[Delivery_Date]]&lt;&gt;"Not Yet Delivered"),Table1[[#This Row],[Delivery_Date]]-Table1[[#This Row],[Order_Date]],"Not Applicable")</f>
        <v>11</v>
      </c>
      <c r="M1563" s="14">
        <f>Table1[[#This Row],[Unit_Cost]]-Table1[[#This Row],[Negotiated_Cost]]</f>
        <v>20.220000000000255</v>
      </c>
      <c r="N1563" s="18">
        <f>Table1[[#This Row],[Defective_Units]]/Table1[[#This Row],[Quantity]]</f>
        <v>1.4705882352941176E-2</v>
      </c>
      <c r="O1563" s="26">
        <f>(Table1[[#This Row],[Unit_Cost]]-Table1[[#This Row],[Negotiated_Cost]])/Table1[[#This Row],[Unit_Cost]]</f>
        <v>3.2283146505134256E-3</v>
      </c>
    </row>
    <row r="1564" spans="1:15" x14ac:dyDescent="0.25">
      <c r="A1564" t="s">
        <v>1599</v>
      </c>
      <c r="B1564" t="s">
        <v>12</v>
      </c>
      <c r="C1564" s="14" t="s">
        <v>44</v>
      </c>
      <c r="D1564" s="1">
        <v>45329</v>
      </c>
      <c r="E1564" s="13">
        <v>45343</v>
      </c>
      <c r="F1564" s="14" t="s">
        <v>14</v>
      </c>
      <c r="G1564">
        <v>68</v>
      </c>
      <c r="H1564">
        <v>8976.1299999999992</v>
      </c>
      <c r="I1564">
        <v>8482.3799999999992</v>
      </c>
      <c r="J1564">
        <v>1</v>
      </c>
      <c r="K1564" s="14" t="s">
        <v>25</v>
      </c>
      <c r="L1564" s="14">
        <f>IF(OR(Table1[[#This Row],[Order_Status]]="Delivered",Table1[[#This Row],[Delivery_Date]]&lt;&gt;"Not Yet Delivered"),Table1[[#This Row],[Delivery_Date]]-Table1[[#This Row],[Order_Date]],"Not Applicable")</f>
        <v>14</v>
      </c>
      <c r="M1564" s="14">
        <f>Table1[[#This Row],[Unit_Cost]]-Table1[[#This Row],[Negotiated_Cost]]</f>
        <v>493.75</v>
      </c>
      <c r="N1564" s="18">
        <f>Table1[[#This Row],[Defective_Units]]/Table1[[#This Row],[Quantity]]</f>
        <v>1.4705882352941176E-2</v>
      </c>
      <c r="O1564" s="26">
        <f>(Table1[[#This Row],[Unit_Cost]]-Table1[[#This Row],[Negotiated_Cost]])/Table1[[#This Row],[Unit_Cost]]</f>
        <v>5.5007001903938563E-2</v>
      </c>
    </row>
    <row r="1565" spans="1:15" x14ac:dyDescent="0.25">
      <c r="A1565" t="s">
        <v>1600</v>
      </c>
      <c r="B1565" t="s">
        <v>20</v>
      </c>
      <c r="C1565" s="14" t="s">
        <v>36</v>
      </c>
      <c r="D1565" s="1">
        <v>45328</v>
      </c>
      <c r="E1565" s="13">
        <v>45347</v>
      </c>
      <c r="F1565" s="14" t="s">
        <v>14</v>
      </c>
      <c r="G1565">
        <v>111</v>
      </c>
      <c r="H1565">
        <v>547</v>
      </c>
      <c r="I1565">
        <v>541.55999999999995</v>
      </c>
      <c r="J1565">
        <v>0</v>
      </c>
      <c r="K1565" s="14" t="s">
        <v>15</v>
      </c>
      <c r="L1565" s="14">
        <f>IF(OR(Table1[[#This Row],[Order_Status]]="Delivered",Table1[[#This Row],[Delivery_Date]]&lt;&gt;"Not Yet Delivered"),Table1[[#This Row],[Delivery_Date]]-Table1[[#This Row],[Order_Date]],"Not Applicable")</f>
        <v>19</v>
      </c>
      <c r="M1565" s="14">
        <f>Table1[[#This Row],[Unit_Cost]]-Table1[[#This Row],[Negotiated_Cost]]</f>
        <v>5.4400000000000546</v>
      </c>
      <c r="N1565" s="18">
        <f>Table1[[#This Row],[Defective_Units]]/Table1[[#This Row],[Quantity]]</f>
        <v>0</v>
      </c>
      <c r="O1565" s="26">
        <f>(Table1[[#This Row],[Unit_Cost]]-Table1[[#This Row],[Negotiated_Cost]])/Table1[[#This Row],[Unit_Cost]]</f>
        <v>9.9451553930531168E-3</v>
      </c>
    </row>
    <row r="1566" spans="1:15" x14ac:dyDescent="0.25">
      <c r="A1566" t="s">
        <v>1601</v>
      </c>
      <c r="B1566" t="s">
        <v>32</v>
      </c>
      <c r="C1566" s="14" t="s">
        <v>48</v>
      </c>
      <c r="D1566" s="1">
        <v>45106</v>
      </c>
      <c r="E1566" s="13">
        <v>45121</v>
      </c>
      <c r="F1566" s="14" t="s">
        <v>14</v>
      </c>
      <c r="G1566">
        <v>425</v>
      </c>
      <c r="H1566">
        <v>5715.41</v>
      </c>
      <c r="I1566">
        <v>5695.03</v>
      </c>
      <c r="J1566">
        <v>3</v>
      </c>
      <c r="K1566" s="14" t="s">
        <v>15</v>
      </c>
      <c r="L1566" s="14">
        <f>IF(OR(Table1[[#This Row],[Order_Status]]="Delivered",Table1[[#This Row],[Delivery_Date]]&lt;&gt;"Not Yet Delivered"),Table1[[#This Row],[Delivery_Date]]-Table1[[#This Row],[Order_Date]],"Not Applicable")</f>
        <v>15</v>
      </c>
      <c r="M1566" s="14">
        <f>Table1[[#This Row],[Unit_Cost]]-Table1[[#This Row],[Negotiated_Cost]]</f>
        <v>20.380000000000109</v>
      </c>
      <c r="N1566" s="18">
        <f>Table1[[#This Row],[Defective_Units]]/Table1[[#This Row],[Quantity]]</f>
        <v>7.058823529411765E-3</v>
      </c>
      <c r="O1566" s="26">
        <f>(Table1[[#This Row],[Unit_Cost]]-Table1[[#This Row],[Negotiated_Cost]])/Table1[[#This Row],[Unit_Cost]]</f>
        <v>3.5657984291590822E-3</v>
      </c>
    </row>
    <row r="1567" spans="1:15" x14ac:dyDescent="0.25">
      <c r="A1567" t="s">
        <v>1602</v>
      </c>
      <c r="B1567" t="s">
        <v>20</v>
      </c>
      <c r="C1567" s="14" t="s">
        <v>55</v>
      </c>
      <c r="D1567" s="1">
        <v>45209</v>
      </c>
      <c r="E1567" s="13">
        <v>45229</v>
      </c>
      <c r="F1567" s="14" t="s">
        <v>14</v>
      </c>
      <c r="G1567">
        <v>315</v>
      </c>
      <c r="H1567">
        <v>13321.5</v>
      </c>
      <c r="I1567">
        <v>13000.38</v>
      </c>
      <c r="J1567">
        <v>1</v>
      </c>
      <c r="K1567" s="14" t="s">
        <v>15</v>
      </c>
      <c r="L1567" s="14">
        <f>IF(OR(Table1[[#This Row],[Order_Status]]="Delivered",Table1[[#This Row],[Delivery_Date]]&lt;&gt;"Not Yet Delivered"),Table1[[#This Row],[Delivery_Date]]-Table1[[#This Row],[Order_Date]],"Not Applicable")</f>
        <v>20</v>
      </c>
      <c r="M1567" s="14">
        <f>Table1[[#This Row],[Unit_Cost]]-Table1[[#This Row],[Negotiated_Cost]]</f>
        <v>321.1200000000008</v>
      </c>
      <c r="N1567" s="18">
        <f>Table1[[#This Row],[Defective_Units]]/Table1[[#This Row],[Quantity]]</f>
        <v>3.1746031746031746E-3</v>
      </c>
      <c r="O1567" s="26">
        <f>(Table1[[#This Row],[Unit_Cost]]-Table1[[#This Row],[Negotiated_Cost]])/Table1[[#This Row],[Unit_Cost]]</f>
        <v>2.4105393536763938E-2</v>
      </c>
    </row>
    <row r="1568" spans="1:15" x14ac:dyDescent="0.25">
      <c r="A1568" t="s">
        <v>1603</v>
      </c>
      <c r="B1568" t="s">
        <v>46</v>
      </c>
      <c r="C1568" s="14" t="s">
        <v>55</v>
      </c>
      <c r="D1568" s="1">
        <v>45592</v>
      </c>
      <c r="E1568" s="13">
        <v>45611</v>
      </c>
      <c r="F1568" s="14" t="s">
        <v>14</v>
      </c>
      <c r="G1568">
        <v>368</v>
      </c>
      <c r="H1568">
        <v>14190.76</v>
      </c>
      <c r="I1568">
        <v>13704.63</v>
      </c>
      <c r="J1568">
        <v>5</v>
      </c>
      <c r="K1568" s="14" t="s">
        <v>15</v>
      </c>
      <c r="L1568" s="14">
        <f>IF(OR(Table1[[#This Row],[Order_Status]]="Delivered",Table1[[#This Row],[Delivery_Date]]&lt;&gt;"Not Yet Delivered"),Table1[[#This Row],[Delivery_Date]]-Table1[[#This Row],[Order_Date]],"Not Applicable")</f>
        <v>19</v>
      </c>
      <c r="M1568" s="14">
        <f>Table1[[#This Row],[Unit_Cost]]-Table1[[#This Row],[Negotiated_Cost]]</f>
        <v>486.13000000000102</v>
      </c>
      <c r="N1568" s="18">
        <f>Table1[[#This Row],[Defective_Units]]/Table1[[#This Row],[Quantity]]</f>
        <v>1.358695652173913E-2</v>
      </c>
      <c r="O1568" s="26">
        <f>(Table1[[#This Row],[Unit_Cost]]-Table1[[#This Row],[Negotiated_Cost]])/Table1[[#This Row],[Unit_Cost]]</f>
        <v>3.4256798085514871E-2</v>
      </c>
    </row>
    <row r="1569" spans="1:15" x14ac:dyDescent="0.25">
      <c r="A1569" t="s">
        <v>1604</v>
      </c>
      <c r="B1569" t="s">
        <v>40</v>
      </c>
      <c r="C1569" s="14" t="s">
        <v>24</v>
      </c>
      <c r="D1569" s="1">
        <v>45489</v>
      </c>
      <c r="E1569" s="13">
        <v>45502</v>
      </c>
      <c r="F1569" s="14" t="s">
        <v>14</v>
      </c>
      <c r="G1569">
        <v>79</v>
      </c>
      <c r="H1569">
        <v>13748.77</v>
      </c>
      <c r="I1569">
        <v>13464.64</v>
      </c>
      <c r="J1569">
        <v>3</v>
      </c>
      <c r="K1569" s="14" t="s">
        <v>15</v>
      </c>
      <c r="L1569" s="14">
        <f>IF(OR(Table1[[#This Row],[Order_Status]]="Delivered",Table1[[#This Row],[Delivery_Date]]&lt;&gt;"Not Yet Delivered"),Table1[[#This Row],[Delivery_Date]]-Table1[[#This Row],[Order_Date]],"Not Applicable")</f>
        <v>13</v>
      </c>
      <c r="M1569" s="14">
        <f>Table1[[#This Row],[Unit_Cost]]-Table1[[#This Row],[Negotiated_Cost]]</f>
        <v>284.13000000000102</v>
      </c>
      <c r="N1569" s="18">
        <f>Table1[[#This Row],[Defective_Units]]/Table1[[#This Row],[Quantity]]</f>
        <v>3.7974683544303799E-2</v>
      </c>
      <c r="O1569" s="26">
        <f>(Table1[[#This Row],[Unit_Cost]]-Table1[[#This Row],[Negotiated_Cost]])/Table1[[#This Row],[Unit_Cost]]</f>
        <v>2.066584865409786E-2</v>
      </c>
    </row>
    <row r="1570" spans="1:15" x14ac:dyDescent="0.25">
      <c r="A1570" t="s">
        <v>1605</v>
      </c>
      <c r="B1570" t="s">
        <v>46</v>
      </c>
      <c r="C1570" s="14" t="s">
        <v>18</v>
      </c>
      <c r="D1570" s="1">
        <v>45421</v>
      </c>
      <c r="E1570" s="13">
        <v>45440</v>
      </c>
      <c r="F1570" s="14" t="s">
        <v>14</v>
      </c>
      <c r="G1570">
        <v>114</v>
      </c>
      <c r="H1570">
        <v>4965.3100000000004</v>
      </c>
      <c r="I1570">
        <v>4895.8100000000004</v>
      </c>
      <c r="J1570">
        <v>2</v>
      </c>
      <c r="K1570" s="14" t="s">
        <v>15</v>
      </c>
      <c r="L1570" s="14">
        <f>IF(OR(Table1[[#This Row],[Order_Status]]="Delivered",Table1[[#This Row],[Delivery_Date]]&lt;&gt;"Not Yet Delivered"),Table1[[#This Row],[Delivery_Date]]-Table1[[#This Row],[Order_Date]],"Not Applicable")</f>
        <v>19</v>
      </c>
      <c r="M1570" s="14">
        <f>Table1[[#This Row],[Unit_Cost]]-Table1[[#This Row],[Negotiated_Cost]]</f>
        <v>69.5</v>
      </c>
      <c r="N1570" s="18">
        <f>Table1[[#This Row],[Defective_Units]]/Table1[[#This Row],[Quantity]]</f>
        <v>1.7543859649122806E-2</v>
      </c>
      <c r="O1570" s="26">
        <f>(Table1[[#This Row],[Unit_Cost]]-Table1[[#This Row],[Negotiated_Cost]])/Table1[[#This Row],[Unit_Cost]]</f>
        <v>1.3997111962797891E-2</v>
      </c>
    </row>
    <row r="1571" spans="1:15" x14ac:dyDescent="0.25">
      <c r="A1571" t="s">
        <v>1606</v>
      </c>
      <c r="B1571" t="s">
        <v>40</v>
      </c>
      <c r="C1571" s="14" t="s">
        <v>42</v>
      </c>
      <c r="D1571" s="1">
        <v>45098</v>
      </c>
      <c r="E1571" s="13">
        <v>45122</v>
      </c>
      <c r="F1571" s="14" t="s">
        <v>14</v>
      </c>
      <c r="G1571">
        <v>327</v>
      </c>
      <c r="H1571">
        <v>12838.7</v>
      </c>
      <c r="I1571">
        <v>12777.37</v>
      </c>
      <c r="J1571">
        <v>1</v>
      </c>
      <c r="K1571" s="14" t="s">
        <v>15</v>
      </c>
      <c r="L1571" s="14">
        <f>IF(OR(Table1[[#This Row],[Order_Status]]="Delivered",Table1[[#This Row],[Delivery_Date]]&lt;&gt;"Not Yet Delivered"),Table1[[#This Row],[Delivery_Date]]-Table1[[#This Row],[Order_Date]],"Not Applicable")</f>
        <v>24</v>
      </c>
      <c r="M1571" s="14">
        <f>Table1[[#This Row],[Unit_Cost]]-Table1[[#This Row],[Negotiated_Cost]]</f>
        <v>61.329999999999927</v>
      </c>
      <c r="N1571" s="18">
        <f>Table1[[#This Row],[Defective_Units]]/Table1[[#This Row],[Quantity]]</f>
        <v>3.0581039755351682E-3</v>
      </c>
      <c r="O1571" s="26">
        <f>(Table1[[#This Row],[Unit_Cost]]-Table1[[#This Row],[Negotiated_Cost]])/Table1[[#This Row],[Unit_Cost]]</f>
        <v>4.7769633997211498E-3</v>
      </c>
    </row>
    <row r="1572" spans="1:15" x14ac:dyDescent="0.25">
      <c r="A1572" t="s">
        <v>1607</v>
      </c>
      <c r="B1572" t="s">
        <v>27</v>
      </c>
      <c r="C1572" s="14" t="s">
        <v>42</v>
      </c>
      <c r="D1572" s="1">
        <v>45489</v>
      </c>
      <c r="E1572" s="14" t="s">
        <v>2057</v>
      </c>
      <c r="F1572" s="14" t="s">
        <v>33</v>
      </c>
      <c r="G1572">
        <v>353</v>
      </c>
      <c r="H1572">
        <v>11779.82</v>
      </c>
      <c r="I1572">
        <v>11213.26</v>
      </c>
      <c r="J1572">
        <v>2</v>
      </c>
      <c r="K1572" s="14" t="s">
        <v>15</v>
      </c>
      <c r="L1572" s="14" t="str">
        <f>IF(OR(Table1[[#This Row],[Order_Status]]="Delivered",Table1[[#This Row],[Delivery_Date]]&lt;&gt;"Not Yet Delivered"),Table1[[#This Row],[Delivery_Date]]-Table1[[#This Row],[Order_Date]],"Not Applicable")</f>
        <v>Not Applicable</v>
      </c>
      <c r="M1572" s="14">
        <f>Table1[[#This Row],[Unit_Cost]]-Table1[[#This Row],[Negotiated_Cost]]</f>
        <v>566.55999999999949</v>
      </c>
      <c r="N1572" s="18">
        <f>Table1[[#This Row],[Defective_Units]]/Table1[[#This Row],[Quantity]]</f>
        <v>5.6657223796033997E-3</v>
      </c>
      <c r="O1572" s="26">
        <f>(Table1[[#This Row],[Unit_Cost]]-Table1[[#This Row],[Negotiated_Cost]])/Table1[[#This Row],[Unit_Cost]]</f>
        <v>4.809581131120845E-2</v>
      </c>
    </row>
    <row r="1573" spans="1:15" x14ac:dyDescent="0.25">
      <c r="A1573" t="s">
        <v>1608</v>
      </c>
      <c r="B1573" t="s">
        <v>40</v>
      </c>
      <c r="C1573" s="14" t="s">
        <v>50</v>
      </c>
      <c r="D1573" s="1">
        <v>45163</v>
      </c>
      <c r="E1573" s="13">
        <v>45167</v>
      </c>
      <c r="F1573" s="14" t="s">
        <v>14</v>
      </c>
      <c r="G1573">
        <v>291</v>
      </c>
      <c r="H1573">
        <v>56695.6</v>
      </c>
      <c r="I1573">
        <v>54133.58</v>
      </c>
      <c r="J1573">
        <v>6</v>
      </c>
      <c r="K1573" s="14" t="s">
        <v>15</v>
      </c>
      <c r="L1573" s="14">
        <f>IF(OR(Table1[[#This Row],[Order_Status]]="Delivered",Table1[[#This Row],[Delivery_Date]]&lt;&gt;"Not Yet Delivered"),Table1[[#This Row],[Delivery_Date]]-Table1[[#This Row],[Order_Date]],"Not Applicable")</f>
        <v>4</v>
      </c>
      <c r="M1573" s="14">
        <f>Table1[[#This Row],[Unit_Cost]]-Table1[[#This Row],[Negotiated_Cost]]</f>
        <v>2562.0199999999968</v>
      </c>
      <c r="N1573" s="18">
        <f>Table1[[#This Row],[Defective_Units]]/Table1[[#This Row],[Quantity]]</f>
        <v>2.0618556701030927E-2</v>
      </c>
      <c r="O1573" s="26">
        <f>(Table1[[#This Row],[Unit_Cost]]-Table1[[#This Row],[Negotiated_Cost]])/Table1[[#This Row],[Unit_Cost]]</f>
        <v>4.5189044652495021E-2</v>
      </c>
    </row>
    <row r="1574" spans="1:15" x14ac:dyDescent="0.25">
      <c r="A1574" t="s">
        <v>1609</v>
      </c>
      <c r="B1574" t="s">
        <v>12</v>
      </c>
      <c r="C1574" s="14" t="s">
        <v>36</v>
      </c>
      <c r="D1574" s="1">
        <v>45402</v>
      </c>
      <c r="E1574" s="13">
        <v>45420</v>
      </c>
      <c r="F1574" s="14" t="s">
        <v>14</v>
      </c>
      <c r="G1574">
        <v>257</v>
      </c>
      <c r="H1574">
        <v>594.6</v>
      </c>
      <c r="I1574">
        <v>562.84</v>
      </c>
      <c r="J1574">
        <v>0</v>
      </c>
      <c r="K1574" s="14" t="s">
        <v>15</v>
      </c>
      <c r="L1574" s="14">
        <f>IF(OR(Table1[[#This Row],[Order_Status]]="Delivered",Table1[[#This Row],[Delivery_Date]]&lt;&gt;"Not Yet Delivered"),Table1[[#This Row],[Delivery_Date]]-Table1[[#This Row],[Order_Date]],"Not Applicable")</f>
        <v>18</v>
      </c>
      <c r="M1574" s="14">
        <f>Table1[[#This Row],[Unit_Cost]]-Table1[[#This Row],[Negotiated_Cost]]</f>
        <v>31.759999999999991</v>
      </c>
      <c r="N1574" s="18">
        <f>Table1[[#This Row],[Defective_Units]]/Table1[[#This Row],[Quantity]]</f>
        <v>0</v>
      </c>
      <c r="O1574" s="26">
        <f>(Table1[[#This Row],[Unit_Cost]]-Table1[[#This Row],[Negotiated_Cost]])/Table1[[#This Row],[Unit_Cost]]</f>
        <v>5.3414059872182965E-2</v>
      </c>
    </row>
    <row r="1575" spans="1:15" x14ac:dyDescent="0.25">
      <c r="A1575" t="s">
        <v>1610</v>
      </c>
      <c r="B1575" t="s">
        <v>35</v>
      </c>
      <c r="C1575" s="14" t="s">
        <v>44</v>
      </c>
      <c r="D1575" s="1">
        <v>45538</v>
      </c>
      <c r="E1575" s="13">
        <v>45565</v>
      </c>
      <c r="F1575" s="14" t="s">
        <v>14</v>
      </c>
      <c r="G1575">
        <v>218</v>
      </c>
      <c r="H1575">
        <v>8881.18</v>
      </c>
      <c r="I1575">
        <v>8768.99</v>
      </c>
      <c r="J1575">
        <v>1</v>
      </c>
      <c r="K1575" s="14" t="s">
        <v>15</v>
      </c>
      <c r="L1575" s="14">
        <f>IF(OR(Table1[[#This Row],[Order_Status]]="Delivered",Table1[[#This Row],[Delivery_Date]]&lt;&gt;"Not Yet Delivered"),Table1[[#This Row],[Delivery_Date]]-Table1[[#This Row],[Order_Date]],"Not Applicable")</f>
        <v>27</v>
      </c>
      <c r="M1575" s="14">
        <f>Table1[[#This Row],[Unit_Cost]]-Table1[[#This Row],[Negotiated_Cost]]</f>
        <v>112.19000000000051</v>
      </c>
      <c r="N1575" s="18">
        <f>Table1[[#This Row],[Defective_Units]]/Table1[[#This Row],[Quantity]]</f>
        <v>4.5871559633027525E-3</v>
      </c>
      <c r="O1575" s="26">
        <f>(Table1[[#This Row],[Unit_Cost]]-Table1[[#This Row],[Negotiated_Cost]])/Table1[[#This Row],[Unit_Cost]]</f>
        <v>1.263233038852951E-2</v>
      </c>
    </row>
    <row r="1576" spans="1:15" x14ac:dyDescent="0.25">
      <c r="A1576" t="s">
        <v>1611</v>
      </c>
      <c r="B1576" t="s">
        <v>17</v>
      </c>
      <c r="C1576" s="14" t="s">
        <v>48</v>
      </c>
      <c r="D1576" s="1">
        <v>45620</v>
      </c>
      <c r="E1576" s="14" t="s">
        <v>2057</v>
      </c>
      <c r="F1576" s="14" t="s">
        <v>33</v>
      </c>
      <c r="G1576">
        <v>25</v>
      </c>
      <c r="H1576">
        <v>6429.73</v>
      </c>
      <c r="I1576">
        <v>6392.21</v>
      </c>
      <c r="J1576">
        <v>2</v>
      </c>
      <c r="K1576" s="14" t="s">
        <v>15</v>
      </c>
      <c r="L1576" s="14" t="str">
        <f>IF(OR(Table1[[#This Row],[Order_Status]]="Delivered",Table1[[#This Row],[Delivery_Date]]&lt;&gt;"Not Yet Delivered"),Table1[[#This Row],[Delivery_Date]]-Table1[[#This Row],[Order_Date]],"Not Applicable")</f>
        <v>Not Applicable</v>
      </c>
      <c r="M1576" s="14">
        <f>Table1[[#This Row],[Unit_Cost]]-Table1[[#This Row],[Negotiated_Cost]]</f>
        <v>37.519999999999527</v>
      </c>
      <c r="N1576" s="18">
        <f>Table1[[#This Row],[Defective_Units]]/Table1[[#This Row],[Quantity]]</f>
        <v>0.08</v>
      </c>
      <c r="O1576" s="26">
        <f>(Table1[[#This Row],[Unit_Cost]]-Table1[[#This Row],[Negotiated_Cost]])/Table1[[#This Row],[Unit_Cost]]</f>
        <v>5.8353927769905622E-3</v>
      </c>
    </row>
    <row r="1577" spans="1:15" x14ac:dyDescent="0.25">
      <c r="A1577" t="s">
        <v>1612</v>
      </c>
      <c r="B1577" t="s">
        <v>17</v>
      </c>
      <c r="C1577" s="14" t="s">
        <v>44</v>
      </c>
      <c r="D1577" s="1">
        <v>45656</v>
      </c>
      <c r="E1577" s="13">
        <v>45672</v>
      </c>
      <c r="F1577" s="14" t="s">
        <v>14</v>
      </c>
      <c r="G1577">
        <v>97</v>
      </c>
      <c r="H1577">
        <v>8170.53</v>
      </c>
      <c r="I1577">
        <v>7931.66</v>
      </c>
      <c r="J1577">
        <v>1</v>
      </c>
      <c r="K1577" s="14" t="s">
        <v>15</v>
      </c>
      <c r="L1577" s="14">
        <f>IF(OR(Table1[[#This Row],[Order_Status]]="Delivered",Table1[[#This Row],[Delivery_Date]]&lt;&gt;"Not Yet Delivered"),Table1[[#This Row],[Delivery_Date]]-Table1[[#This Row],[Order_Date]],"Not Applicable")</f>
        <v>16</v>
      </c>
      <c r="M1577" s="14">
        <f>Table1[[#This Row],[Unit_Cost]]-Table1[[#This Row],[Negotiated_Cost]]</f>
        <v>238.86999999999989</v>
      </c>
      <c r="N1577" s="18">
        <f>Table1[[#This Row],[Defective_Units]]/Table1[[#This Row],[Quantity]]</f>
        <v>1.0309278350515464E-2</v>
      </c>
      <c r="O1577" s="26">
        <f>(Table1[[#This Row],[Unit_Cost]]-Table1[[#This Row],[Negotiated_Cost]])/Table1[[#This Row],[Unit_Cost]]</f>
        <v>2.9235557546450464E-2</v>
      </c>
    </row>
    <row r="1578" spans="1:15" x14ac:dyDescent="0.25">
      <c r="A1578" t="s">
        <v>1613</v>
      </c>
      <c r="B1578" t="s">
        <v>12</v>
      </c>
      <c r="C1578" s="14" t="s">
        <v>28</v>
      </c>
      <c r="D1578" s="1">
        <v>45262</v>
      </c>
      <c r="E1578" s="13">
        <v>45291</v>
      </c>
      <c r="F1578" s="14" t="s">
        <v>14</v>
      </c>
      <c r="G1578">
        <v>23</v>
      </c>
      <c r="H1578">
        <v>50519.4</v>
      </c>
      <c r="I1578">
        <v>49554.87</v>
      </c>
      <c r="J1578">
        <v>0</v>
      </c>
      <c r="K1578" s="14" t="s">
        <v>15</v>
      </c>
      <c r="L1578" s="14">
        <f>IF(OR(Table1[[#This Row],[Order_Status]]="Delivered",Table1[[#This Row],[Delivery_Date]]&lt;&gt;"Not Yet Delivered"),Table1[[#This Row],[Delivery_Date]]-Table1[[#This Row],[Order_Date]],"Not Applicable")</f>
        <v>29</v>
      </c>
      <c r="M1578" s="14">
        <f>Table1[[#This Row],[Unit_Cost]]-Table1[[#This Row],[Negotiated_Cost]]</f>
        <v>964.52999999999884</v>
      </c>
      <c r="N1578" s="18">
        <f>Table1[[#This Row],[Defective_Units]]/Table1[[#This Row],[Quantity]]</f>
        <v>0</v>
      </c>
      <c r="O1578" s="26">
        <f>(Table1[[#This Row],[Unit_Cost]]-Table1[[#This Row],[Negotiated_Cost]])/Table1[[#This Row],[Unit_Cost]]</f>
        <v>1.9092269504388391E-2</v>
      </c>
    </row>
    <row r="1579" spans="1:15" x14ac:dyDescent="0.25">
      <c r="A1579" t="s">
        <v>1614</v>
      </c>
      <c r="B1579" t="s">
        <v>12</v>
      </c>
      <c r="C1579" s="14" t="s">
        <v>18</v>
      </c>
      <c r="D1579" s="1">
        <v>44955</v>
      </c>
      <c r="E1579" s="14" t="s">
        <v>2057</v>
      </c>
      <c r="F1579" s="14" t="s">
        <v>33</v>
      </c>
      <c r="G1579">
        <v>448</v>
      </c>
      <c r="H1579">
        <v>5390.64</v>
      </c>
      <c r="I1579">
        <v>5132.47</v>
      </c>
      <c r="J1579">
        <v>2</v>
      </c>
      <c r="K1579" s="14" t="s">
        <v>15</v>
      </c>
      <c r="L1579" s="14" t="str">
        <f>IF(OR(Table1[[#This Row],[Order_Status]]="Delivered",Table1[[#This Row],[Delivery_Date]]&lt;&gt;"Not Yet Delivered"),Table1[[#This Row],[Delivery_Date]]-Table1[[#This Row],[Order_Date]],"Not Applicable")</f>
        <v>Not Applicable</v>
      </c>
      <c r="M1579" s="14">
        <f>Table1[[#This Row],[Unit_Cost]]-Table1[[#This Row],[Negotiated_Cost]]</f>
        <v>258.17000000000007</v>
      </c>
      <c r="N1579" s="18">
        <f>Table1[[#This Row],[Defective_Units]]/Table1[[#This Row],[Quantity]]</f>
        <v>4.464285714285714E-3</v>
      </c>
      <c r="O1579" s="26">
        <f>(Table1[[#This Row],[Unit_Cost]]-Table1[[#This Row],[Negotiated_Cost]])/Table1[[#This Row],[Unit_Cost]]</f>
        <v>4.7892272531647462E-2</v>
      </c>
    </row>
    <row r="1580" spans="1:15" x14ac:dyDescent="0.25">
      <c r="A1580" t="s">
        <v>1615</v>
      </c>
      <c r="B1580" t="s">
        <v>46</v>
      </c>
      <c r="C1580" s="14" t="s">
        <v>55</v>
      </c>
      <c r="D1580" s="1">
        <v>45250</v>
      </c>
      <c r="E1580" s="13">
        <v>45263</v>
      </c>
      <c r="F1580" s="14" t="s">
        <v>14</v>
      </c>
      <c r="G1580">
        <v>210</v>
      </c>
      <c r="H1580">
        <v>13856.44</v>
      </c>
      <c r="I1580">
        <v>13456.15</v>
      </c>
      <c r="J1580">
        <v>3</v>
      </c>
      <c r="K1580" s="14" t="s">
        <v>15</v>
      </c>
      <c r="L1580" s="14">
        <f>IF(OR(Table1[[#This Row],[Order_Status]]="Delivered",Table1[[#This Row],[Delivery_Date]]&lt;&gt;"Not Yet Delivered"),Table1[[#This Row],[Delivery_Date]]-Table1[[#This Row],[Order_Date]],"Not Applicable")</f>
        <v>13</v>
      </c>
      <c r="M1580" s="14">
        <f>Table1[[#This Row],[Unit_Cost]]-Table1[[#This Row],[Negotiated_Cost]]</f>
        <v>400.29000000000087</v>
      </c>
      <c r="N1580" s="18">
        <f>Table1[[#This Row],[Defective_Units]]/Table1[[#This Row],[Quantity]]</f>
        <v>1.4285714285714285E-2</v>
      </c>
      <c r="O1580" s="26">
        <f>(Table1[[#This Row],[Unit_Cost]]-Table1[[#This Row],[Negotiated_Cost]])/Table1[[#This Row],[Unit_Cost]]</f>
        <v>2.8888372482398138E-2</v>
      </c>
    </row>
    <row r="1581" spans="1:15" x14ac:dyDescent="0.25">
      <c r="A1581" t="s">
        <v>1616</v>
      </c>
      <c r="B1581" t="s">
        <v>40</v>
      </c>
      <c r="C1581" s="14" t="s">
        <v>13</v>
      </c>
      <c r="D1581" s="1">
        <v>45575</v>
      </c>
      <c r="E1581" s="13">
        <v>45598</v>
      </c>
      <c r="F1581" s="14" t="s">
        <v>14</v>
      </c>
      <c r="G1581">
        <v>263</v>
      </c>
      <c r="H1581">
        <v>4767.91</v>
      </c>
      <c r="I1581">
        <v>4710.18</v>
      </c>
      <c r="J1581">
        <v>4</v>
      </c>
      <c r="K1581" s="14" t="s">
        <v>15</v>
      </c>
      <c r="L1581" s="14">
        <f>IF(OR(Table1[[#This Row],[Order_Status]]="Delivered",Table1[[#This Row],[Delivery_Date]]&lt;&gt;"Not Yet Delivered"),Table1[[#This Row],[Delivery_Date]]-Table1[[#This Row],[Order_Date]],"Not Applicable")</f>
        <v>23</v>
      </c>
      <c r="M1581" s="14">
        <f>Table1[[#This Row],[Unit_Cost]]-Table1[[#This Row],[Negotiated_Cost]]</f>
        <v>57.729999999999563</v>
      </c>
      <c r="N1581" s="18">
        <f>Table1[[#This Row],[Defective_Units]]/Table1[[#This Row],[Quantity]]</f>
        <v>1.5209125475285171E-2</v>
      </c>
      <c r="O1581" s="26">
        <f>(Table1[[#This Row],[Unit_Cost]]-Table1[[#This Row],[Negotiated_Cost]])/Table1[[#This Row],[Unit_Cost]]</f>
        <v>1.2108030562657341E-2</v>
      </c>
    </row>
    <row r="1582" spans="1:15" x14ac:dyDescent="0.25">
      <c r="A1582" t="s">
        <v>1617</v>
      </c>
      <c r="B1582" t="s">
        <v>27</v>
      </c>
      <c r="C1582" s="14" t="s">
        <v>44</v>
      </c>
      <c r="D1582" s="1">
        <v>45007</v>
      </c>
      <c r="E1582" s="13">
        <v>45021</v>
      </c>
      <c r="F1582" s="14" t="s">
        <v>37</v>
      </c>
      <c r="G1582">
        <v>388</v>
      </c>
      <c r="H1582">
        <v>8204.15</v>
      </c>
      <c r="I1582">
        <v>7974.88</v>
      </c>
      <c r="J1582">
        <v>2</v>
      </c>
      <c r="K1582" s="14" t="s">
        <v>25</v>
      </c>
      <c r="L1582" s="14">
        <f>IF(OR(Table1[[#This Row],[Order_Status]]="Delivered",Table1[[#This Row],[Delivery_Date]]&lt;&gt;"Not Yet Delivered"),Table1[[#This Row],[Delivery_Date]]-Table1[[#This Row],[Order_Date]],"Not Applicable")</f>
        <v>14</v>
      </c>
      <c r="M1582" s="14">
        <f>Table1[[#This Row],[Unit_Cost]]-Table1[[#This Row],[Negotiated_Cost]]</f>
        <v>229.26999999999953</v>
      </c>
      <c r="N1582" s="18">
        <f>Table1[[#This Row],[Defective_Units]]/Table1[[#This Row],[Quantity]]</f>
        <v>5.1546391752577319E-3</v>
      </c>
      <c r="O1582" s="26">
        <f>(Table1[[#This Row],[Unit_Cost]]-Table1[[#This Row],[Negotiated_Cost]])/Table1[[#This Row],[Unit_Cost]]</f>
        <v>2.7945612891036798E-2</v>
      </c>
    </row>
    <row r="1583" spans="1:15" x14ac:dyDescent="0.25">
      <c r="A1583" t="s">
        <v>1618</v>
      </c>
      <c r="B1583" t="s">
        <v>27</v>
      </c>
      <c r="C1583" s="14" t="s">
        <v>18</v>
      </c>
      <c r="D1583" s="1">
        <v>45389</v>
      </c>
      <c r="E1583" s="13">
        <v>45405</v>
      </c>
      <c r="F1583" s="14" t="s">
        <v>14</v>
      </c>
      <c r="G1583">
        <v>61</v>
      </c>
      <c r="H1583">
        <v>5271.24</v>
      </c>
      <c r="I1583">
        <v>5069.95</v>
      </c>
      <c r="J1583">
        <v>0</v>
      </c>
      <c r="K1583" s="14" t="s">
        <v>25</v>
      </c>
      <c r="L1583" s="14">
        <f>IF(OR(Table1[[#This Row],[Order_Status]]="Delivered",Table1[[#This Row],[Delivery_Date]]&lt;&gt;"Not Yet Delivered"),Table1[[#This Row],[Delivery_Date]]-Table1[[#This Row],[Order_Date]],"Not Applicable")</f>
        <v>16</v>
      </c>
      <c r="M1583" s="14">
        <f>Table1[[#This Row],[Unit_Cost]]-Table1[[#This Row],[Negotiated_Cost]]</f>
        <v>201.28999999999996</v>
      </c>
      <c r="N1583" s="18">
        <f>Table1[[#This Row],[Defective_Units]]/Table1[[#This Row],[Quantity]]</f>
        <v>0</v>
      </c>
      <c r="O1583" s="26">
        <f>(Table1[[#This Row],[Unit_Cost]]-Table1[[#This Row],[Negotiated_Cost]])/Table1[[#This Row],[Unit_Cost]]</f>
        <v>3.8186460870686965E-2</v>
      </c>
    </row>
    <row r="1584" spans="1:15" x14ac:dyDescent="0.25">
      <c r="A1584" t="s">
        <v>1619</v>
      </c>
      <c r="B1584" t="s">
        <v>46</v>
      </c>
      <c r="C1584" s="14" t="s">
        <v>50</v>
      </c>
      <c r="D1584" s="1">
        <v>45219</v>
      </c>
      <c r="E1584" s="13">
        <v>45248</v>
      </c>
      <c r="F1584" s="14" t="s">
        <v>37</v>
      </c>
      <c r="G1584">
        <v>339</v>
      </c>
      <c r="H1584">
        <v>53060.68</v>
      </c>
      <c r="I1584">
        <v>50109.39</v>
      </c>
      <c r="J1584">
        <v>3</v>
      </c>
      <c r="K1584" s="14" t="s">
        <v>15</v>
      </c>
      <c r="L1584" s="14">
        <f>IF(OR(Table1[[#This Row],[Order_Status]]="Delivered",Table1[[#This Row],[Delivery_Date]]&lt;&gt;"Not Yet Delivered"),Table1[[#This Row],[Delivery_Date]]-Table1[[#This Row],[Order_Date]],"Not Applicable")</f>
        <v>29</v>
      </c>
      <c r="M1584" s="14">
        <f>Table1[[#This Row],[Unit_Cost]]-Table1[[#This Row],[Negotiated_Cost]]</f>
        <v>2951.2900000000009</v>
      </c>
      <c r="N1584" s="18">
        <f>Table1[[#This Row],[Defective_Units]]/Table1[[#This Row],[Quantity]]</f>
        <v>8.8495575221238937E-3</v>
      </c>
      <c r="O1584" s="26">
        <f>(Table1[[#This Row],[Unit_Cost]]-Table1[[#This Row],[Negotiated_Cost]])/Table1[[#This Row],[Unit_Cost]]</f>
        <v>5.5621036142017043E-2</v>
      </c>
    </row>
    <row r="1585" spans="1:15" x14ac:dyDescent="0.25">
      <c r="A1585" t="s">
        <v>1620</v>
      </c>
      <c r="B1585" t="s">
        <v>32</v>
      </c>
      <c r="C1585" s="14" t="s">
        <v>13</v>
      </c>
      <c r="D1585" s="1">
        <v>45511</v>
      </c>
      <c r="E1585" s="14" t="s">
        <v>2057</v>
      </c>
      <c r="F1585" s="14" t="s">
        <v>33</v>
      </c>
      <c r="G1585">
        <v>435</v>
      </c>
      <c r="H1585">
        <v>4001.52</v>
      </c>
      <c r="I1585">
        <v>3860.58</v>
      </c>
      <c r="J1585">
        <v>2</v>
      </c>
      <c r="K1585" s="14" t="s">
        <v>15</v>
      </c>
      <c r="L1585" s="14" t="str">
        <f>IF(OR(Table1[[#This Row],[Order_Status]]="Delivered",Table1[[#This Row],[Delivery_Date]]&lt;&gt;"Not Yet Delivered"),Table1[[#This Row],[Delivery_Date]]-Table1[[#This Row],[Order_Date]],"Not Applicable")</f>
        <v>Not Applicable</v>
      </c>
      <c r="M1585" s="14">
        <f>Table1[[#This Row],[Unit_Cost]]-Table1[[#This Row],[Negotiated_Cost]]</f>
        <v>140.94000000000005</v>
      </c>
      <c r="N1585" s="18">
        <f>Table1[[#This Row],[Defective_Units]]/Table1[[#This Row],[Quantity]]</f>
        <v>4.5977011494252873E-3</v>
      </c>
      <c r="O1585" s="26">
        <f>(Table1[[#This Row],[Unit_Cost]]-Table1[[#This Row],[Negotiated_Cost]])/Table1[[#This Row],[Unit_Cost]]</f>
        <v>3.5221615786001331E-2</v>
      </c>
    </row>
    <row r="1586" spans="1:15" x14ac:dyDescent="0.25">
      <c r="A1586" t="s">
        <v>1621</v>
      </c>
      <c r="B1586" t="s">
        <v>20</v>
      </c>
      <c r="C1586" s="14" t="s">
        <v>48</v>
      </c>
      <c r="D1586" s="1">
        <v>44985</v>
      </c>
      <c r="E1586" s="13">
        <v>45006</v>
      </c>
      <c r="F1586" s="14" t="s">
        <v>14</v>
      </c>
      <c r="G1586">
        <v>362</v>
      </c>
      <c r="H1586">
        <v>6102.98</v>
      </c>
      <c r="I1586">
        <v>5814.97</v>
      </c>
      <c r="J1586">
        <v>1</v>
      </c>
      <c r="K1586" s="14" t="s">
        <v>15</v>
      </c>
      <c r="L1586" s="14">
        <f>IF(OR(Table1[[#This Row],[Order_Status]]="Delivered",Table1[[#This Row],[Delivery_Date]]&lt;&gt;"Not Yet Delivered"),Table1[[#This Row],[Delivery_Date]]-Table1[[#This Row],[Order_Date]],"Not Applicable")</f>
        <v>21</v>
      </c>
      <c r="M1586" s="14">
        <f>Table1[[#This Row],[Unit_Cost]]-Table1[[#This Row],[Negotiated_Cost]]</f>
        <v>288.00999999999931</v>
      </c>
      <c r="N1586" s="18">
        <f>Table1[[#This Row],[Defective_Units]]/Table1[[#This Row],[Quantity]]</f>
        <v>2.7624309392265192E-3</v>
      </c>
      <c r="O1586" s="26">
        <f>(Table1[[#This Row],[Unit_Cost]]-Table1[[#This Row],[Negotiated_Cost]])/Table1[[#This Row],[Unit_Cost]]</f>
        <v>4.7191699792560243E-2</v>
      </c>
    </row>
    <row r="1587" spans="1:15" x14ac:dyDescent="0.25">
      <c r="A1587" t="s">
        <v>1622</v>
      </c>
      <c r="B1587" t="s">
        <v>12</v>
      </c>
      <c r="C1587" s="14" t="s">
        <v>55</v>
      </c>
      <c r="D1587" s="1">
        <v>45026</v>
      </c>
      <c r="E1587" s="13">
        <v>45043</v>
      </c>
      <c r="F1587" s="14" t="s">
        <v>37</v>
      </c>
      <c r="G1587">
        <v>217</v>
      </c>
      <c r="H1587">
        <v>16054.74</v>
      </c>
      <c r="I1587">
        <v>16045.56</v>
      </c>
      <c r="J1587">
        <v>1</v>
      </c>
      <c r="K1587" s="14" t="s">
        <v>15</v>
      </c>
      <c r="L1587" s="14">
        <f>IF(OR(Table1[[#This Row],[Order_Status]]="Delivered",Table1[[#This Row],[Delivery_Date]]&lt;&gt;"Not Yet Delivered"),Table1[[#This Row],[Delivery_Date]]-Table1[[#This Row],[Order_Date]],"Not Applicable")</f>
        <v>17</v>
      </c>
      <c r="M1587" s="14">
        <f>Table1[[#This Row],[Unit_Cost]]-Table1[[#This Row],[Negotiated_Cost]]</f>
        <v>9.180000000000291</v>
      </c>
      <c r="N1587" s="18">
        <f>Table1[[#This Row],[Defective_Units]]/Table1[[#This Row],[Quantity]]</f>
        <v>4.608294930875576E-3</v>
      </c>
      <c r="O1587" s="26">
        <f>(Table1[[#This Row],[Unit_Cost]]-Table1[[#This Row],[Negotiated_Cost]])/Table1[[#This Row],[Unit_Cost]]</f>
        <v>5.7179375063067298E-4</v>
      </c>
    </row>
    <row r="1588" spans="1:15" x14ac:dyDescent="0.25">
      <c r="A1588" t="s">
        <v>1623</v>
      </c>
      <c r="B1588" t="s">
        <v>32</v>
      </c>
      <c r="C1588" s="14" t="s">
        <v>24</v>
      </c>
      <c r="D1588" s="1">
        <v>45089</v>
      </c>
      <c r="E1588" s="13">
        <v>45094</v>
      </c>
      <c r="F1588" s="14" t="s">
        <v>14</v>
      </c>
      <c r="G1588">
        <v>85</v>
      </c>
      <c r="H1588">
        <v>11809.13</v>
      </c>
      <c r="I1588">
        <v>11232.35</v>
      </c>
      <c r="J1588">
        <v>0</v>
      </c>
      <c r="K1588" s="14" t="s">
        <v>15</v>
      </c>
      <c r="L1588" s="14">
        <f>IF(OR(Table1[[#This Row],[Order_Status]]="Delivered",Table1[[#This Row],[Delivery_Date]]&lt;&gt;"Not Yet Delivered"),Table1[[#This Row],[Delivery_Date]]-Table1[[#This Row],[Order_Date]],"Not Applicable")</f>
        <v>5</v>
      </c>
      <c r="M1588" s="14">
        <f>Table1[[#This Row],[Unit_Cost]]-Table1[[#This Row],[Negotiated_Cost]]</f>
        <v>576.77999999999884</v>
      </c>
      <c r="N1588" s="18">
        <f>Table1[[#This Row],[Defective_Units]]/Table1[[#This Row],[Quantity]]</f>
        <v>0</v>
      </c>
      <c r="O1588" s="26">
        <f>(Table1[[#This Row],[Unit_Cost]]-Table1[[#This Row],[Negotiated_Cost]])/Table1[[#This Row],[Unit_Cost]]</f>
        <v>4.8841870654315674E-2</v>
      </c>
    </row>
    <row r="1589" spans="1:15" x14ac:dyDescent="0.25">
      <c r="A1589" t="s">
        <v>1624</v>
      </c>
      <c r="B1589" t="s">
        <v>46</v>
      </c>
      <c r="C1589" s="14" t="s">
        <v>13</v>
      </c>
      <c r="D1589" s="1">
        <v>45405</v>
      </c>
      <c r="E1589" s="13">
        <v>45413</v>
      </c>
      <c r="F1589" s="14" t="s">
        <v>14</v>
      </c>
      <c r="G1589">
        <v>425</v>
      </c>
      <c r="H1589">
        <v>4247.84</v>
      </c>
      <c r="I1589">
        <v>4232.13</v>
      </c>
      <c r="J1589">
        <v>10</v>
      </c>
      <c r="K1589" s="14" t="s">
        <v>15</v>
      </c>
      <c r="L1589" s="14">
        <f>IF(OR(Table1[[#This Row],[Order_Status]]="Delivered",Table1[[#This Row],[Delivery_Date]]&lt;&gt;"Not Yet Delivered"),Table1[[#This Row],[Delivery_Date]]-Table1[[#This Row],[Order_Date]],"Not Applicable")</f>
        <v>8</v>
      </c>
      <c r="M1589" s="14">
        <f>Table1[[#This Row],[Unit_Cost]]-Table1[[#This Row],[Negotiated_Cost]]</f>
        <v>15.710000000000036</v>
      </c>
      <c r="N1589" s="18">
        <f>Table1[[#This Row],[Defective_Units]]/Table1[[#This Row],[Quantity]]</f>
        <v>2.3529411764705882E-2</v>
      </c>
      <c r="O1589" s="26">
        <f>(Table1[[#This Row],[Unit_Cost]]-Table1[[#This Row],[Negotiated_Cost]])/Table1[[#This Row],[Unit_Cost]]</f>
        <v>3.6983502203472907E-3</v>
      </c>
    </row>
    <row r="1590" spans="1:15" x14ac:dyDescent="0.25">
      <c r="A1590" t="s">
        <v>1625</v>
      </c>
      <c r="B1590" t="s">
        <v>27</v>
      </c>
      <c r="C1590" s="14" t="s">
        <v>42</v>
      </c>
      <c r="D1590" s="1">
        <v>45024</v>
      </c>
      <c r="E1590" s="13">
        <v>45036</v>
      </c>
      <c r="F1590" s="14" t="s">
        <v>14</v>
      </c>
      <c r="G1590">
        <v>372</v>
      </c>
      <c r="H1590">
        <v>12499.08</v>
      </c>
      <c r="I1590">
        <v>12321.72</v>
      </c>
      <c r="J1590">
        <v>3</v>
      </c>
      <c r="K1590" s="14" t="s">
        <v>15</v>
      </c>
      <c r="L1590" s="14">
        <f>IF(OR(Table1[[#This Row],[Order_Status]]="Delivered",Table1[[#This Row],[Delivery_Date]]&lt;&gt;"Not Yet Delivered"),Table1[[#This Row],[Delivery_Date]]-Table1[[#This Row],[Order_Date]],"Not Applicable")</f>
        <v>12</v>
      </c>
      <c r="M1590" s="14">
        <f>Table1[[#This Row],[Unit_Cost]]-Table1[[#This Row],[Negotiated_Cost]]</f>
        <v>177.36000000000058</v>
      </c>
      <c r="N1590" s="18">
        <f>Table1[[#This Row],[Defective_Units]]/Table1[[#This Row],[Quantity]]</f>
        <v>8.0645161290322578E-3</v>
      </c>
      <c r="O1590" s="26">
        <f>(Table1[[#This Row],[Unit_Cost]]-Table1[[#This Row],[Negotiated_Cost]])/Table1[[#This Row],[Unit_Cost]]</f>
        <v>1.4189844372545866E-2</v>
      </c>
    </row>
    <row r="1591" spans="1:15" x14ac:dyDescent="0.25">
      <c r="A1591" t="s">
        <v>1626</v>
      </c>
      <c r="B1591" t="s">
        <v>40</v>
      </c>
      <c r="C1591" s="14" t="s">
        <v>44</v>
      </c>
      <c r="D1591" s="1">
        <v>45051</v>
      </c>
      <c r="E1591" s="13">
        <v>45069</v>
      </c>
      <c r="F1591" s="14" t="s">
        <v>14</v>
      </c>
      <c r="G1591">
        <v>165</v>
      </c>
      <c r="H1591">
        <v>9159.82</v>
      </c>
      <c r="I1591">
        <v>8640.92</v>
      </c>
      <c r="J1591">
        <v>2</v>
      </c>
      <c r="K1591" s="14" t="s">
        <v>15</v>
      </c>
      <c r="L1591" s="14">
        <f>IF(OR(Table1[[#This Row],[Order_Status]]="Delivered",Table1[[#This Row],[Delivery_Date]]&lt;&gt;"Not Yet Delivered"),Table1[[#This Row],[Delivery_Date]]-Table1[[#This Row],[Order_Date]],"Not Applicable")</f>
        <v>18</v>
      </c>
      <c r="M1591" s="14">
        <f>Table1[[#This Row],[Unit_Cost]]-Table1[[#This Row],[Negotiated_Cost]]</f>
        <v>518.89999999999964</v>
      </c>
      <c r="N1591" s="18">
        <f>Table1[[#This Row],[Defective_Units]]/Table1[[#This Row],[Quantity]]</f>
        <v>1.2121212121212121E-2</v>
      </c>
      <c r="O1591" s="26">
        <f>(Table1[[#This Row],[Unit_Cost]]-Table1[[#This Row],[Negotiated_Cost]])/Table1[[#This Row],[Unit_Cost]]</f>
        <v>5.6649584817168856E-2</v>
      </c>
    </row>
    <row r="1592" spans="1:15" x14ac:dyDescent="0.25">
      <c r="A1592" t="s">
        <v>1627</v>
      </c>
      <c r="B1592" t="s">
        <v>12</v>
      </c>
      <c r="C1592" s="14" t="s">
        <v>36</v>
      </c>
      <c r="D1592" s="1">
        <v>45061</v>
      </c>
      <c r="E1592" s="13">
        <v>45072</v>
      </c>
      <c r="F1592" s="14" t="s">
        <v>14</v>
      </c>
      <c r="G1592">
        <v>497</v>
      </c>
      <c r="H1592">
        <v>582.23</v>
      </c>
      <c r="I1592">
        <v>575.74</v>
      </c>
      <c r="J1592">
        <v>2</v>
      </c>
      <c r="K1592" s="14" t="s">
        <v>15</v>
      </c>
      <c r="L1592" s="14">
        <f>IF(OR(Table1[[#This Row],[Order_Status]]="Delivered",Table1[[#This Row],[Delivery_Date]]&lt;&gt;"Not Yet Delivered"),Table1[[#This Row],[Delivery_Date]]-Table1[[#This Row],[Order_Date]],"Not Applicable")</f>
        <v>11</v>
      </c>
      <c r="M1592" s="14">
        <f>Table1[[#This Row],[Unit_Cost]]-Table1[[#This Row],[Negotiated_Cost]]</f>
        <v>6.4900000000000091</v>
      </c>
      <c r="N1592" s="18">
        <f>Table1[[#This Row],[Defective_Units]]/Table1[[#This Row],[Quantity]]</f>
        <v>4.0241448692152921E-3</v>
      </c>
      <c r="O1592" s="26">
        <f>(Table1[[#This Row],[Unit_Cost]]-Table1[[#This Row],[Negotiated_Cost]])/Table1[[#This Row],[Unit_Cost]]</f>
        <v>1.1146797657283219E-2</v>
      </c>
    </row>
    <row r="1593" spans="1:15" x14ac:dyDescent="0.25">
      <c r="A1593" t="s">
        <v>1628</v>
      </c>
      <c r="B1593" t="s">
        <v>35</v>
      </c>
      <c r="C1593" s="14" t="s">
        <v>18</v>
      </c>
      <c r="D1593" s="1">
        <v>45138</v>
      </c>
      <c r="E1593" s="13">
        <v>45145</v>
      </c>
      <c r="F1593" s="14" t="s">
        <v>14</v>
      </c>
      <c r="G1593">
        <v>439</v>
      </c>
      <c r="H1593">
        <v>5017.42</v>
      </c>
      <c r="I1593">
        <v>4995.1899999999996</v>
      </c>
      <c r="J1593">
        <v>2</v>
      </c>
      <c r="K1593" s="14" t="s">
        <v>15</v>
      </c>
      <c r="L1593" s="14">
        <f>IF(OR(Table1[[#This Row],[Order_Status]]="Delivered",Table1[[#This Row],[Delivery_Date]]&lt;&gt;"Not Yet Delivered"),Table1[[#This Row],[Delivery_Date]]-Table1[[#This Row],[Order_Date]],"Not Applicable")</f>
        <v>7</v>
      </c>
      <c r="M1593" s="14">
        <f>Table1[[#This Row],[Unit_Cost]]-Table1[[#This Row],[Negotiated_Cost]]</f>
        <v>22.230000000000473</v>
      </c>
      <c r="N1593" s="18">
        <f>Table1[[#This Row],[Defective_Units]]/Table1[[#This Row],[Quantity]]</f>
        <v>4.5558086560364463E-3</v>
      </c>
      <c r="O1593" s="26">
        <f>(Table1[[#This Row],[Unit_Cost]]-Table1[[#This Row],[Negotiated_Cost]])/Table1[[#This Row],[Unit_Cost]]</f>
        <v>4.4305639153191228E-3</v>
      </c>
    </row>
    <row r="1594" spans="1:15" x14ac:dyDescent="0.25">
      <c r="A1594" t="s">
        <v>1629</v>
      </c>
      <c r="B1594" t="s">
        <v>20</v>
      </c>
      <c r="C1594" s="14" t="s">
        <v>50</v>
      </c>
      <c r="D1594" s="1">
        <v>45015</v>
      </c>
      <c r="E1594" s="13">
        <v>45033</v>
      </c>
      <c r="F1594" s="14" t="s">
        <v>14</v>
      </c>
      <c r="G1594">
        <v>489</v>
      </c>
      <c r="H1594">
        <v>52492.82</v>
      </c>
      <c r="I1594">
        <v>51726.23</v>
      </c>
      <c r="J1594">
        <v>3</v>
      </c>
      <c r="K1594" s="14" t="s">
        <v>15</v>
      </c>
      <c r="L1594" s="14">
        <f>IF(OR(Table1[[#This Row],[Order_Status]]="Delivered",Table1[[#This Row],[Delivery_Date]]&lt;&gt;"Not Yet Delivered"),Table1[[#This Row],[Delivery_Date]]-Table1[[#This Row],[Order_Date]],"Not Applicable")</f>
        <v>18</v>
      </c>
      <c r="M1594" s="14">
        <f>Table1[[#This Row],[Unit_Cost]]-Table1[[#This Row],[Negotiated_Cost]]</f>
        <v>766.58999999999651</v>
      </c>
      <c r="N1594" s="18">
        <f>Table1[[#This Row],[Defective_Units]]/Table1[[#This Row],[Quantity]]</f>
        <v>6.1349693251533744E-3</v>
      </c>
      <c r="O1594" s="26">
        <f>(Table1[[#This Row],[Unit_Cost]]-Table1[[#This Row],[Negotiated_Cost]])/Table1[[#This Row],[Unit_Cost]]</f>
        <v>1.4603711517117894E-2</v>
      </c>
    </row>
    <row r="1595" spans="1:15" x14ac:dyDescent="0.25">
      <c r="A1595" t="s">
        <v>1630</v>
      </c>
      <c r="B1595" t="s">
        <v>46</v>
      </c>
      <c r="C1595" s="14" t="s">
        <v>21</v>
      </c>
      <c r="D1595" s="1">
        <v>45552</v>
      </c>
      <c r="E1595" s="13">
        <v>45555</v>
      </c>
      <c r="F1595" s="14" t="s">
        <v>14</v>
      </c>
      <c r="G1595">
        <v>256</v>
      </c>
      <c r="H1595">
        <v>119.96</v>
      </c>
      <c r="I1595">
        <v>119.3</v>
      </c>
      <c r="J1595">
        <v>0</v>
      </c>
      <c r="K1595" s="14" t="s">
        <v>15</v>
      </c>
      <c r="L1595" s="14">
        <f>IF(OR(Table1[[#This Row],[Order_Status]]="Delivered",Table1[[#This Row],[Delivery_Date]]&lt;&gt;"Not Yet Delivered"),Table1[[#This Row],[Delivery_Date]]-Table1[[#This Row],[Order_Date]],"Not Applicable")</f>
        <v>3</v>
      </c>
      <c r="M1595" s="14">
        <f>Table1[[#This Row],[Unit_Cost]]-Table1[[#This Row],[Negotiated_Cost]]</f>
        <v>0.65999999999999659</v>
      </c>
      <c r="N1595" s="18">
        <f>Table1[[#This Row],[Defective_Units]]/Table1[[#This Row],[Quantity]]</f>
        <v>0</v>
      </c>
      <c r="O1595" s="26">
        <f>(Table1[[#This Row],[Unit_Cost]]-Table1[[#This Row],[Negotiated_Cost]])/Table1[[#This Row],[Unit_Cost]]</f>
        <v>5.501833944648188E-3</v>
      </c>
    </row>
    <row r="1596" spans="1:15" x14ac:dyDescent="0.25">
      <c r="A1596" t="s">
        <v>1631</v>
      </c>
      <c r="B1596" t="s">
        <v>32</v>
      </c>
      <c r="C1596" s="14" t="s">
        <v>21</v>
      </c>
      <c r="D1596" s="1">
        <v>45319</v>
      </c>
      <c r="E1596" s="13">
        <v>45336</v>
      </c>
      <c r="F1596" s="14" t="s">
        <v>14</v>
      </c>
      <c r="G1596">
        <v>254</v>
      </c>
      <c r="H1596">
        <v>115.56</v>
      </c>
      <c r="I1596">
        <v>110.72</v>
      </c>
      <c r="J1596">
        <v>2</v>
      </c>
      <c r="K1596" s="14" t="s">
        <v>15</v>
      </c>
      <c r="L1596" s="14">
        <f>IF(OR(Table1[[#This Row],[Order_Status]]="Delivered",Table1[[#This Row],[Delivery_Date]]&lt;&gt;"Not Yet Delivered"),Table1[[#This Row],[Delivery_Date]]-Table1[[#This Row],[Order_Date]],"Not Applicable")</f>
        <v>17</v>
      </c>
      <c r="M1596" s="14">
        <f>Table1[[#This Row],[Unit_Cost]]-Table1[[#This Row],[Negotiated_Cost]]</f>
        <v>4.8400000000000034</v>
      </c>
      <c r="N1596" s="18">
        <f>Table1[[#This Row],[Defective_Units]]/Table1[[#This Row],[Quantity]]</f>
        <v>7.874015748031496E-3</v>
      </c>
      <c r="O1596" s="26">
        <f>(Table1[[#This Row],[Unit_Cost]]-Table1[[#This Row],[Negotiated_Cost]])/Table1[[#This Row],[Unit_Cost]]</f>
        <v>4.1883004499826959E-2</v>
      </c>
    </row>
    <row r="1597" spans="1:15" x14ac:dyDescent="0.25">
      <c r="A1597" t="s">
        <v>1632</v>
      </c>
      <c r="B1597" t="s">
        <v>32</v>
      </c>
      <c r="C1597" s="14" t="s">
        <v>24</v>
      </c>
      <c r="D1597" s="1">
        <v>45543</v>
      </c>
      <c r="E1597" s="13">
        <v>45548</v>
      </c>
      <c r="F1597" s="14" t="s">
        <v>14</v>
      </c>
      <c r="G1597">
        <v>404</v>
      </c>
      <c r="H1597">
        <v>11240.53</v>
      </c>
      <c r="I1597">
        <v>11117.42</v>
      </c>
      <c r="J1597">
        <v>3</v>
      </c>
      <c r="K1597" s="14" t="s">
        <v>15</v>
      </c>
      <c r="L1597" s="14">
        <f>IF(OR(Table1[[#This Row],[Order_Status]]="Delivered",Table1[[#This Row],[Delivery_Date]]&lt;&gt;"Not Yet Delivered"),Table1[[#This Row],[Delivery_Date]]-Table1[[#This Row],[Order_Date]],"Not Applicable")</f>
        <v>5</v>
      </c>
      <c r="M1597" s="14">
        <f>Table1[[#This Row],[Unit_Cost]]-Table1[[#This Row],[Negotiated_Cost]]</f>
        <v>123.11000000000058</v>
      </c>
      <c r="N1597" s="18">
        <f>Table1[[#This Row],[Defective_Units]]/Table1[[#This Row],[Quantity]]</f>
        <v>7.4257425742574254E-3</v>
      </c>
      <c r="O1597" s="26">
        <f>(Table1[[#This Row],[Unit_Cost]]-Table1[[#This Row],[Negotiated_Cost]])/Table1[[#This Row],[Unit_Cost]]</f>
        <v>1.0952330539574253E-2</v>
      </c>
    </row>
    <row r="1598" spans="1:15" x14ac:dyDescent="0.25">
      <c r="A1598" t="s">
        <v>1633</v>
      </c>
      <c r="B1598" t="s">
        <v>12</v>
      </c>
      <c r="C1598" s="14" t="s">
        <v>48</v>
      </c>
      <c r="D1598" s="1">
        <v>44955</v>
      </c>
      <c r="E1598" s="13">
        <v>44980</v>
      </c>
      <c r="F1598" s="14" t="s">
        <v>14</v>
      </c>
      <c r="G1598">
        <v>148</v>
      </c>
      <c r="H1598">
        <v>6740.77</v>
      </c>
      <c r="I1598">
        <v>6578.58</v>
      </c>
      <c r="J1598">
        <v>0</v>
      </c>
      <c r="K1598" s="14" t="s">
        <v>15</v>
      </c>
      <c r="L1598" s="14">
        <f>IF(OR(Table1[[#This Row],[Order_Status]]="Delivered",Table1[[#This Row],[Delivery_Date]]&lt;&gt;"Not Yet Delivered"),Table1[[#This Row],[Delivery_Date]]-Table1[[#This Row],[Order_Date]],"Not Applicable")</f>
        <v>25</v>
      </c>
      <c r="M1598" s="14">
        <f>Table1[[#This Row],[Unit_Cost]]-Table1[[#This Row],[Negotiated_Cost]]</f>
        <v>162.19000000000051</v>
      </c>
      <c r="N1598" s="18">
        <f>Table1[[#This Row],[Defective_Units]]/Table1[[#This Row],[Quantity]]</f>
        <v>0</v>
      </c>
      <c r="O1598" s="26">
        <f>(Table1[[#This Row],[Unit_Cost]]-Table1[[#This Row],[Negotiated_Cost]])/Table1[[#This Row],[Unit_Cost]]</f>
        <v>2.4061049405335072E-2</v>
      </c>
    </row>
    <row r="1599" spans="1:15" x14ac:dyDescent="0.25">
      <c r="A1599" t="s">
        <v>1634</v>
      </c>
      <c r="B1599" t="s">
        <v>32</v>
      </c>
      <c r="C1599" s="14" t="s">
        <v>30</v>
      </c>
      <c r="D1599" s="1">
        <v>45469</v>
      </c>
      <c r="E1599" s="13">
        <v>45484</v>
      </c>
      <c r="F1599" s="14" t="s">
        <v>14</v>
      </c>
      <c r="G1599">
        <v>165</v>
      </c>
      <c r="H1599">
        <v>829.68</v>
      </c>
      <c r="I1599">
        <v>807.74</v>
      </c>
      <c r="J1599">
        <v>5</v>
      </c>
      <c r="K1599" s="14" t="s">
        <v>15</v>
      </c>
      <c r="L1599" s="14">
        <f>IF(OR(Table1[[#This Row],[Order_Status]]="Delivered",Table1[[#This Row],[Delivery_Date]]&lt;&gt;"Not Yet Delivered"),Table1[[#This Row],[Delivery_Date]]-Table1[[#This Row],[Order_Date]],"Not Applicable")</f>
        <v>15</v>
      </c>
      <c r="M1599" s="14">
        <f>Table1[[#This Row],[Unit_Cost]]-Table1[[#This Row],[Negotiated_Cost]]</f>
        <v>21.939999999999941</v>
      </c>
      <c r="N1599" s="18">
        <f>Table1[[#This Row],[Defective_Units]]/Table1[[#This Row],[Quantity]]</f>
        <v>3.0303030303030304E-2</v>
      </c>
      <c r="O1599" s="26">
        <f>(Table1[[#This Row],[Unit_Cost]]-Table1[[#This Row],[Negotiated_Cost]])/Table1[[#This Row],[Unit_Cost]]</f>
        <v>2.6443930189952683E-2</v>
      </c>
    </row>
    <row r="1600" spans="1:15" x14ac:dyDescent="0.25">
      <c r="A1600" t="s">
        <v>1635</v>
      </c>
      <c r="B1600" t="s">
        <v>35</v>
      </c>
      <c r="C1600" s="14" t="s">
        <v>24</v>
      </c>
      <c r="D1600" s="1">
        <v>45047</v>
      </c>
      <c r="E1600" s="13">
        <v>45065</v>
      </c>
      <c r="F1600" s="14" t="s">
        <v>14</v>
      </c>
      <c r="G1600">
        <v>7</v>
      </c>
      <c r="H1600">
        <v>11942.2</v>
      </c>
      <c r="I1600">
        <v>11592.61</v>
      </c>
      <c r="J1600">
        <v>0</v>
      </c>
      <c r="K1600" s="14" t="s">
        <v>15</v>
      </c>
      <c r="L1600" s="14">
        <f>IF(OR(Table1[[#This Row],[Order_Status]]="Delivered",Table1[[#This Row],[Delivery_Date]]&lt;&gt;"Not Yet Delivered"),Table1[[#This Row],[Delivery_Date]]-Table1[[#This Row],[Order_Date]],"Not Applicable")</f>
        <v>18</v>
      </c>
      <c r="M1600" s="14">
        <f>Table1[[#This Row],[Unit_Cost]]-Table1[[#This Row],[Negotiated_Cost]]</f>
        <v>349.59000000000015</v>
      </c>
      <c r="N1600" s="18">
        <f>Table1[[#This Row],[Defective_Units]]/Table1[[#This Row],[Quantity]]</f>
        <v>0</v>
      </c>
      <c r="O1600" s="26">
        <f>(Table1[[#This Row],[Unit_Cost]]-Table1[[#This Row],[Negotiated_Cost]])/Table1[[#This Row],[Unit_Cost]]</f>
        <v>2.9273500695014328E-2</v>
      </c>
    </row>
    <row r="1601" spans="1:15" x14ac:dyDescent="0.25">
      <c r="A1601" t="s">
        <v>1636</v>
      </c>
      <c r="B1601" t="s">
        <v>46</v>
      </c>
      <c r="C1601" s="14" t="s">
        <v>18</v>
      </c>
      <c r="D1601" s="1">
        <v>45550</v>
      </c>
      <c r="E1601" s="13">
        <v>45556</v>
      </c>
      <c r="F1601" s="14" t="s">
        <v>14</v>
      </c>
      <c r="G1601">
        <v>52</v>
      </c>
      <c r="H1601">
        <v>5347.06</v>
      </c>
      <c r="I1601">
        <v>5322.01</v>
      </c>
      <c r="J1601">
        <v>0</v>
      </c>
      <c r="K1601" s="14" t="s">
        <v>15</v>
      </c>
      <c r="L1601" s="14">
        <f>IF(OR(Table1[[#This Row],[Order_Status]]="Delivered",Table1[[#This Row],[Delivery_Date]]&lt;&gt;"Not Yet Delivered"),Table1[[#This Row],[Delivery_Date]]-Table1[[#This Row],[Order_Date]],"Not Applicable")</f>
        <v>6</v>
      </c>
      <c r="M1601" s="14">
        <f>Table1[[#This Row],[Unit_Cost]]-Table1[[#This Row],[Negotiated_Cost]]</f>
        <v>25.050000000000182</v>
      </c>
      <c r="N1601" s="18">
        <f>Table1[[#This Row],[Defective_Units]]/Table1[[#This Row],[Quantity]]</f>
        <v>0</v>
      </c>
      <c r="O1601" s="26">
        <f>(Table1[[#This Row],[Unit_Cost]]-Table1[[#This Row],[Negotiated_Cost]])/Table1[[#This Row],[Unit_Cost]]</f>
        <v>4.6848174510853028E-3</v>
      </c>
    </row>
    <row r="1602" spans="1:15" x14ac:dyDescent="0.25">
      <c r="A1602" t="s">
        <v>1637</v>
      </c>
      <c r="B1602" t="s">
        <v>12</v>
      </c>
      <c r="C1602" s="14" t="s">
        <v>50</v>
      </c>
      <c r="D1602" s="1">
        <v>45094</v>
      </c>
      <c r="E1602" s="13">
        <v>45114</v>
      </c>
      <c r="F1602" s="14" t="s">
        <v>14</v>
      </c>
      <c r="G1602">
        <v>487</v>
      </c>
      <c r="H1602">
        <v>54662.33</v>
      </c>
      <c r="I1602">
        <v>53057.9</v>
      </c>
      <c r="J1602">
        <v>2</v>
      </c>
      <c r="K1602" s="14" t="s">
        <v>15</v>
      </c>
      <c r="L1602" s="14">
        <f>IF(OR(Table1[[#This Row],[Order_Status]]="Delivered",Table1[[#This Row],[Delivery_Date]]&lt;&gt;"Not Yet Delivered"),Table1[[#This Row],[Delivery_Date]]-Table1[[#This Row],[Order_Date]],"Not Applicable")</f>
        <v>20</v>
      </c>
      <c r="M1602" s="14">
        <f>Table1[[#This Row],[Unit_Cost]]-Table1[[#This Row],[Negotiated_Cost]]</f>
        <v>1604.4300000000003</v>
      </c>
      <c r="N1602" s="18">
        <f>Table1[[#This Row],[Defective_Units]]/Table1[[#This Row],[Quantity]]</f>
        <v>4.1067761806981521E-3</v>
      </c>
      <c r="O1602" s="26">
        <f>(Table1[[#This Row],[Unit_Cost]]-Table1[[#This Row],[Negotiated_Cost]])/Table1[[#This Row],[Unit_Cost]]</f>
        <v>2.9351657713822303E-2</v>
      </c>
    </row>
    <row r="1603" spans="1:15" x14ac:dyDescent="0.25">
      <c r="A1603" t="s">
        <v>1638</v>
      </c>
      <c r="B1603" t="s">
        <v>35</v>
      </c>
      <c r="C1603" s="14" t="s">
        <v>13</v>
      </c>
      <c r="D1603" s="1">
        <v>45147</v>
      </c>
      <c r="E1603" s="13">
        <v>45175</v>
      </c>
      <c r="F1603" s="14" t="s">
        <v>14</v>
      </c>
      <c r="G1603">
        <v>265</v>
      </c>
      <c r="H1603">
        <v>3955.19</v>
      </c>
      <c r="I1603">
        <v>3932.38</v>
      </c>
      <c r="J1603">
        <v>3</v>
      </c>
      <c r="K1603" s="14" t="s">
        <v>15</v>
      </c>
      <c r="L1603" s="14">
        <f>IF(OR(Table1[[#This Row],[Order_Status]]="Delivered",Table1[[#This Row],[Delivery_Date]]&lt;&gt;"Not Yet Delivered"),Table1[[#This Row],[Delivery_Date]]-Table1[[#This Row],[Order_Date]],"Not Applicable")</f>
        <v>28</v>
      </c>
      <c r="M1603" s="14">
        <f>Table1[[#This Row],[Unit_Cost]]-Table1[[#This Row],[Negotiated_Cost]]</f>
        <v>22.809999999999945</v>
      </c>
      <c r="N1603" s="18">
        <f>Table1[[#This Row],[Defective_Units]]/Table1[[#This Row],[Quantity]]</f>
        <v>1.1320754716981131E-2</v>
      </c>
      <c r="O1603" s="26">
        <f>(Table1[[#This Row],[Unit_Cost]]-Table1[[#This Row],[Negotiated_Cost]])/Table1[[#This Row],[Unit_Cost]]</f>
        <v>5.767106005021237E-3</v>
      </c>
    </row>
    <row r="1604" spans="1:15" x14ac:dyDescent="0.25">
      <c r="A1604" t="s">
        <v>1639</v>
      </c>
      <c r="B1604" t="s">
        <v>46</v>
      </c>
      <c r="C1604" s="14" t="s">
        <v>42</v>
      </c>
      <c r="D1604" s="1">
        <v>45235</v>
      </c>
      <c r="E1604" s="14" t="s">
        <v>2057</v>
      </c>
      <c r="F1604" s="14" t="s">
        <v>22</v>
      </c>
      <c r="G1604">
        <v>56</v>
      </c>
      <c r="H1604">
        <v>11902.88</v>
      </c>
      <c r="I1604">
        <v>11435.79</v>
      </c>
      <c r="J1604">
        <v>2</v>
      </c>
      <c r="K1604" s="14" t="s">
        <v>15</v>
      </c>
      <c r="L1604" s="14" t="str">
        <f>IF(OR(Table1[[#This Row],[Order_Status]]="Delivered",Table1[[#This Row],[Delivery_Date]]&lt;&gt;"Not Yet Delivered"),Table1[[#This Row],[Delivery_Date]]-Table1[[#This Row],[Order_Date]],"Not Applicable")</f>
        <v>Not Applicable</v>
      </c>
      <c r="M1604" s="14">
        <f>Table1[[#This Row],[Unit_Cost]]-Table1[[#This Row],[Negotiated_Cost]]</f>
        <v>467.08999999999833</v>
      </c>
      <c r="N1604" s="18">
        <f>Table1[[#This Row],[Defective_Units]]/Table1[[#This Row],[Quantity]]</f>
        <v>3.5714285714285712E-2</v>
      </c>
      <c r="O1604" s="26">
        <f>(Table1[[#This Row],[Unit_Cost]]-Table1[[#This Row],[Negotiated_Cost]])/Table1[[#This Row],[Unit_Cost]]</f>
        <v>3.9241763337948328E-2</v>
      </c>
    </row>
    <row r="1605" spans="1:15" x14ac:dyDescent="0.25">
      <c r="A1605" t="s">
        <v>1640</v>
      </c>
      <c r="B1605" t="s">
        <v>32</v>
      </c>
      <c r="C1605" s="14" t="s">
        <v>21</v>
      </c>
      <c r="D1605" s="1">
        <v>45594</v>
      </c>
      <c r="E1605" s="13">
        <v>45617</v>
      </c>
      <c r="F1605" s="14" t="s">
        <v>14</v>
      </c>
      <c r="G1605">
        <v>419</v>
      </c>
      <c r="H1605">
        <v>105.15</v>
      </c>
      <c r="I1605">
        <v>100.44</v>
      </c>
      <c r="J1605">
        <v>1</v>
      </c>
      <c r="K1605" s="14" t="s">
        <v>15</v>
      </c>
      <c r="L1605" s="14">
        <f>IF(OR(Table1[[#This Row],[Order_Status]]="Delivered",Table1[[#This Row],[Delivery_Date]]&lt;&gt;"Not Yet Delivered"),Table1[[#This Row],[Delivery_Date]]-Table1[[#This Row],[Order_Date]],"Not Applicable")</f>
        <v>23</v>
      </c>
      <c r="M1605" s="14">
        <f>Table1[[#This Row],[Unit_Cost]]-Table1[[#This Row],[Negotiated_Cost]]</f>
        <v>4.710000000000008</v>
      </c>
      <c r="N1605" s="18">
        <f>Table1[[#This Row],[Defective_Units]]/Table1[[#This Row],[Quantity]]</f>
        <v>2.3866348448687352E-3</v>
      </c>
      <c r="O1605" s="26">
        <f>(Table1[[#This Row],[Unit_Cost]]-Table1[[#This Row],[Negotiated_Cost]])/Table1[[#This Row],[Unit_Cost]]</f>
        <v>4.4793152639087092E-2</v>
      </c>
    </row>
    <row r="1606" spans="1:15" x14ac:dyDescent="0.25">
      <c r="A1606" t="s">
        <v>1641</v>
      </c>
      <c r="B1606" t="s">
        <v>46</v>
      </c>
      <c r="C1606" s="14" t="s">
        <v>44</v>
      </c>
      <c r="D1606" s="1">
        <v>45295</v>
      </c>
      <c r="E1606" s="13">
        <v>45298</v>
      </c>
      <c r="F1606" s="14" t="s">
        <v>37</v>
      </c>
      <c r="G1606">
        <v>450</v>
      </c>
      <c r="H1606">
        <v>8205.14</v>
      </c>
      <c r="I1606">
        <v>8171.18</v>
      </c>
      <c r="J1606">
        <v>0</v>
      </c>
      <c r="K1606" s="14" t="s">
        <v>15</v>
      </c>
      <c r="L1606" s="14">
        <f>IF(OR(Table1[[#This Row],[Order_Status]]="Delivered",Table1[[#This Row],[Delivery_Date]]&lt;&gt;"Not Yet Delivered"),Table1[[#This Row],[Delivery_Date]]-Table1[[#This Row],[Order_Date]],"Not Applicable")</f>
        <v>3</v>
      </c>
      <c r="M1606" s="14">
        <f>Table1[[#This Row],[Unit_Cost]]-Table1[[#This Row],[Negotiated_Cost]]</f>
        <v>33.959999999999127</v>
      </c>
      <c r="N1606" s="18">
        <f>Table1[[#This Row],[Defective_Units]]/Table1[[#This Row],[Quantity]]</f>
        <v>0</v>
      </c>
      <c r="O1606" s="26">
        <f>(Table1[[#This Row],[Unit_Cost]]-Table1[[#This Row],[Negotiated_Cost]])/Table1[[#This Row],[Unit_Cost]]</f>
        <v>4.1388690503756341E-3</v>
      </c>
    </row>
    <row r="1607" spans="1:15" x14ac:dyDescent="0.25">
      <c r="A1607" t="s">
        <v>1642</v>
      </c>
      <c r="B1607" t="s">
        <v>40</v>
      </c>
      <c r="C1607" s="14" t="s">
        <v>28</v>
      </c>
      <c r="D1607" s="1">
        <v>45354</v>
      </c>
      <c r="E1607" s="13">
        <v>45384</v>
      </c>
      <c r="F1607" s="14" t="s">
        <v>14</v>
      </c>
      <c r="G1607">
        <v>225</v>
      </c>
      <c r="H1607">
        <v>53791.02</v>
      </c>
      <c r="I1607">
        <v>52560.06</v>
      </c>
      <c r="J1607">
        <v>2</v>
      </c>
      <c r="K1607" s="14" t="s">
        <v>15</v>
      </c>
      <c r="L1607" s="14">
        <f>IF(OR(Table1[[#This Row],[Order_Status]]="Delivered",Table1[[#This Row],[Delivery_Date]]&lt;&gt;"Not Yet Delivered"),Table1[[#This Row],[Delivery_Date]]-Table1[[#This Row],[Order_Date]],"Not Applicable")</f>
        <v>30</v>
      </c>
      <c r="M1607" s="14">
        <f>Table1[[#This Row],[Unit_Cost]]-Table1[[#This Row],[Negotiated_Cost]]</f>
        <v>1230.9599999999991</v>
      </c>
      <c r="N1607" s="18">
        <f>Table1[[#This Row],[Defective_Units]]/Table1[[#This Row],[Quantity]]</f>
        <v>8.8888888888888889E-3</v>
      </c>
      <c r="O1607" s="26">
        <f>(Table1[[#This Row],[Unit_Cost]]-Table1[[#This Row],[Negotiated_Cost]])/Table1[[#This Row],[Unit_Cost]]</f>
        <v>2.2884117088688767E-2</v>
      </c>
    </row>
    <row r="1608" spans="1:15" x14ac:dyDescent="0.25">
      <c r="A1608" t="s">
        <v>1643</v>
      </c>
      <c r="B1608" t="s">
        <v>35</v>
      </c>
      <c r="C1608" s="14" t="s">
        <v>24</v>
      </c>
      <c r="D1608" s="1">
        <v>44991</v>
      </c>
      <c r="E1608" s="13">
        <v>45012</v>
      </c>
      <c r="F1608" s="14" t="s">
        <v>14</v>
      </c>
      <c r="G1608">
        <v>194</v>
      </c>
      <c r="H1608">
        <v>12623.3</v>
      </c>
      <c r="I1608">
        <v>12015.95</v>
      </c>
      <c r="J1608">
        <v>3</v>
      </c>
      <c r="K1608" s="14" t="s">
        <v>15</v>
      </c>
      <c r="L1608" s="14">
        <f>IF(OR(Table1[[#This Row],[Order_Status]]="Delivered",Table1[[#This Row],[Delivery_Date]]&lt;&gt;"Not Yet Delivered"),Table1[[#This Row],[Delivery_Date]]-Table1[[#This Row],[Order_Date]],"Not Applicable")</f>
        <v>21</v>
      </c>
      <c r="M1608" s="14">
        <f>Table1[[#This Row],[Unit_Cost]]-Table1[[#This Row],[Negotiated_Cost]]</f>
        <v>607.34999999999854</v>
      </c>
      <c r="N1608" s="18">
        <f>Table1[[#This Row],[Defective_Units]]/Table1[[#This Row],[Quantity]]</f>
        <v>1.5463917525773196E-2</v>
      </c>
      <c r="O1608" s="26">
        <f>(Table1[[#This Row],[Unit_Cost]]-Table1[[#This Row],[Negotiated_Cost]])/Table1[[#This Row],[Unit_Cost]]</f>
        <v>4.8113409330365162E-2</v>
      </c>
    </row>
    <row r="1609" spans="1:15" x14ac:dyDescent="0.25">
      <c r="A1609" t="s">
        <v>1644</v>
      </c>
      <c r="B1609" t="s">
        <v>46</v>
      </c>
      <c r="C1609" s="14" t="s">
        <v>36</v>
      </c>
      <c r="D1609" s="1">
        <v>44979</v>
      </c>
      <c r="E1609" s="13">
        <v>44982</v>
      </c>
      <c r="F1609" s="14" t="s">
        <v>14</v>
      </c>
      <c r="G1609">
        <v>116</v>
      </c>
      <c r="H1609">
        <v>525.75</v>
      </c>
      <c r="I1609">
        <v>497.48</v>
      </c>
      <c r="J1609">
        <v>0</v>
      </c>
      <c r="K1609" s="14" t="s">
        <v>15</v>
      </c>
      <c r="L1609" s="14">
        <f>IF(OR(Table1[[#This Row],[Order_Status]]="Delivered",Table1[[#This Row],[Delivery_Date]]&lt;&gt;"Not Yet Delivered"),Table1[[#This Row],[Delivery_Date]]-Table1[[#This Row],[Order_Date]],"Not Applicable")</f>
        <v>3</v>
      </c>
      <c r="M1609" s="14">
        <f>Table1[[#This Row],[Unit_Cost]]-Table1[[#This Row],[Negotiated_Cost]]</f>
        <v>28.269999999999982</v>
      </c>
      <c r="N1609" s="18">
        <f>Table1[[#This Row],[Defective_Units]]/Table1[[#This Row],[Quantity]]</f>
        <v>0</v>
      </c>
      <c r="O1609" s="26">
        <f>(Table1[[#This Row],[Unit_Cost]]-Table1[[#This Row],[Negotiated_Cost]])/Table1[[#This Row],[Unit_Cost]]</f>
        <v>5.3770803613884893E-2</v>
      </c>
    </row>
    <row r="1610" spans="1:15" x14ac:dyDescent="0.25">
      <c r="A1610" t="s">
        <v>1645</v>
      </c>
      <c r="B1610" t="s">
        <v>12</v>
      </c>
      <c r="C1610" s="14" t="s">
        <v>36</v>
      </c>
      <c r="D1610" s="1">
        <v>45210</v>
      </c>
      <c r="E1610" s="13">
        <v>45227</v>
      </c>
      <c r="F1610" s="14" t="s">
        <v>14</v>
      </c>
      <c r="G1610">
        <v>163</v>
      </c>
      <c r="H1610">
        <v>583.84</v>
      </c>
      <c r="I1610">
        <v>561.35</v>
      </c>
      <c r="J1610">
        <v>1</v>
      </c>
      <c r="K1610" s="14" t="s">
        <v>15</v>
      </c>
      <c r="L1610" s="14">
        <f>IF(OR(Table1[[#This Row],[Order_Status]]="Delivered",Table1[[#This Row],[Delivery_Date]]&lt;&gt;"Not Yet Delivered"),Table1[[#This Row],[Delivery_Date]]-Table1[[#This Row],[Order_Date]],"Not Applicable")</f>
        <v>17</v>
      </c>
      <c r="M1610" s="14">
        <f>Table1[[#This Row],[Unit_Cost]]-Table1[[#This Row],[Negotiated_Cost]]</f>
        <v>22.490000000000009</v>
      </c>
      <c r="N1610" s="18">
        <f>Table1[[#This Row],[Defective_Units]]/Table1[[#This Row],[Quantity]]</f>
        <v>6.1349693251533744E-3</v>
      </c>
      <c r="O1610" s="26">
        <f>(Table1[[#This Row],[Unit_Cost]]-Table1[[#This Row],[Negotiated_Cost]])/Table1[[#This Row],[Unit_Cost]]</f>
        <v>3.852082762400659E-2</v>
      </c>
    </row>
    <row r="1611" spans="1:15" x14ac:dyDescent="0.25">
      <c r="A1611" t="s">
        <v>1646</v>
      </c>
      <c r="B1611" t="s">
        <v>17</v>
      </c>
      <c r="C1611" s="14" t="s">
        <v>18</v>
      </c>
      <c r="D1611" s="1">
        <v>45015</v>
      </c>
      <c r="E1611" s="13">
        <v>45043</v>
      </c>
      <c r="F1611" s="14" t="s">
        <v>14</v>
      </c>
      <c r="G1611">
        <v>104</v>
      </c>
      <c r="H1611">
        <v>4846.5600000000004</v>
      </c>
      <c r="I1611">
        <v>4806.32</v>
      </c>
      <c r="J1611">
        <v>1</v>
      </c>
      <c r="K1611" s="14" t="s">
        <v>15</v>
      </c>
      <c r="L1611" s="14">
        <f>IF(OR(Table1[[#This Row],[Order_Status]]="Delivered",Table1[[#This Row],[Delivery_Date]]&lt;&gt;"Not Yet Delivered"),Table1[[#This Row],[Delivery_Date]]-Table1[[#This Row],[Order_Date]],"Not Applicable")</f>
        <v>28</v>
      </c>
      <c r="M1611" s="14">
        <f>Table1[[#This Row],[Unit_Cost]]-Table1[[#This Row],[Negotiated_Cost]]</f>
        <v>40.240000000000691</v>
      </c>
      <c r="N1611" s="18">
        <f>Table1[[#This Row],[Defective_Units]]/Table1[[#This Row],[Quantity]]</f>
        <v>9.6153846153846159E-3</v>
      </c>
      <c r="O1611" s="26">
        <f>(Table1[[#This Row],[Unit_Cost]]-Table1[[#This Row],[Negotiated_Cost]])/Table1[[#This Row],[Unit_Cost]]</f>
        <v>8.3027962100955498E-3</v>
      </c>
    </row>
    <row r="1612" spans="1:15" x14ac:dyDescent="0.25">
      <c r="A1612" t="s">
        <v>1647</v>
      </c>
      <c r="B1612" t="s">
        <v>32</v>
      </c>
      <c r="C1612" s="14" t="s">
        <v>28</v>
      </c>
      <c r="D1612" s="1">
        <v>45579</v>
      </c>
      <c r="E1612" s="14" t="s">
        <v>2057</v>
      </c>
      <c r="F1612" s="14" t="s">
        <v>33</v>
      </c>
      <c r="G1612">
        <v>292</v>
      </c>
      <c r="H1612">
        <v>46592.160000000003</v>
      </c>
      <c r="I1612">
        <v>44759.53</v>
      </c>
      <c r="J1612">
        <v>2</v>
      </c>
      <c r="K1612" s="14" t="s">
        <v>25</v>
      </c>
      <c r="L1612" s="14" t="str">
        <f>IF(OR(Table1[[#This Row],[Order_Status]]="Delivered",Table1[[#This Row],[Delivery_Date]]&lt;&gt;"Not Yet Delivered"),Table1[[#This Row],[Delivery_Date]]-Table1[[#This Row],[Order_Date]],"Not Applicable")</f>
        <v>Not Applicable</v>
      </c>
      <c r="M1612" s="14">
        <f>Table1[[#This Row],[Unit_Cost]]-Table1[[#This Row],[Negotiated_Cost]]</f>
        <v>1832.6300000000047</v>
      </c>
      <c r="N1612" s="18">
        <f>Table1[[#This Row],[Defective_Units]]/Table1[[#This Row],[Quantity]]</f>
        <v>6.8493150684931503E-3</v>
      </c>
      <c r="O1612" s="26">
        <f>(Table1[[#This Row],[Unit_Cost]]-Table1[[#This Row],[Negotiated_Cost]])/Table1[[#This Row],[Unit_Cost]]</f>
        <v>3.9333441506038881E-2</v>
      </c>
    </row>
    <row r="1613" spans="1:15" x14ac:dyDescent="0.25">
      <c r="A1613" t="s">
        <v>1648</v>
      </c>
      <c r="B1613" t="s">
        <v>17</v>
      </c>
      <c r="C1613" s="14" t="s">
        <v>24</v>
      </c>
      <c r="D1613" s="1">
        <v>45498</v>
      </c>
      <c r="E1613" s="14" t="s">
        <v>2057</v>
      </c>
      <c r="F1613" s="14" t="s">
        <v>33</v>
      </c>
      <c r="G1613">
        <v>37</v>
      </c>
      <c r="H1613">
        <v>12154.81</v>
      </c>
      <c r="I1613">
        <v>12127.97</v>
      </c>
      <c r="J1613">
        <v>2</v>
      </c>
      <c r="K1613" s="14" t="s">
        <v>15</v>
      </c>
      <c r="L1613" s="14" t="str">
        <f>IF(OR(Table1[[#This Row],[Order_Status]]="Delivered",Table1[[#This Row],[Delivery_Date]]&lt;&gt;"Not Yet Delivered"),Table1[[#This Row],[Delivery_Date]]-Table1[[#This Row],[Order_Date]],"Not Applicable")</f>
        <v>Not Applicable</v>
      </c>
      <c r="M1613" s="14">
        <f>Table1[[#This Row],[Unit_Cost]]-Table1[[#This Row],[Negotiated_Cost]]</f>
        <v>26.840000000000146</v>
      </c>
      <c r="N1613" s="18">
        <f>Table1[[#This Row],[Defective_Units]]/Table1[[#This Row],[Quantity]]</f>
        <v>5.4054054054054057E-2</v>
      </c>
      <c r="O1613" s="26">
        <f>(Table1[[#This Row],[Unit_Cost]]-Table1[[#This Row],[Negotiated_Cost]])/Table1[[#This Row],[Unit_Cost]]</f>
        <v>2.208179313374717E-3</v>
      </c>
    </row>
    <row r="1614" spans="1:15" x14ac:dyDescent="0.25">
      <c r="A1614" t="s">
        <v>1649</v>
      </c>
      <c r="B1614" t="s">
        <v>46</v>
      </c>
      <c r="C1614" s="14" t="s">
        <v>48</v>
      </c>
      <c r="D1614" s="1">
        <v>45527</v>
      </c>
      <c r="E1614" s="14" t="s">
        <v>2057</v>
      </c>
      <c r="F1614" s="14" t="s">
        <v>33</v>
      </c>
      <c r="G1614">
        <v>46</v>
      </c>
      <c r="H1614">
        <v>6440.02</v>
      </c>
      <c r="I1614">
        <v>6193.1</v>
      </c>
      <c r="J1614">
        <v>2</v>
      </c>
      <c r="K1614" s="14" t="s">
        <v>15</v>
      </c>
      <c r="L1614" s="14" t="str">
        <f>IF(OR(Table1[[#This Row],[Order_Status]]="Delivered",Table1[[#This Row],[Delivery_Date]]&lt;&gt;"Not Yet Delivered"),Table1[[#This Row],[Delivery_Date]]-Table1[[#This Row],[Order_Date]],"Not Applicable")</f>
        <v>Not Applicable</v>
      </c>
      <c r="M1614" s="14">
        <f>Table1[[#This Row],[Unit_Cost]]-Table1[[#This Row],[Negotiated_Cost]]</f>
        <v>246.92000000000007</v>
      </c>
      <c r="N1614" s="18">
        <f>Table1[[#This Row],[Defective_Units]]/Table1[[#This Row],[Quantity]]</f>
        <v>4.3478260869565216E-2</v>
      </c>
      <c r="O1614" s="26">
        <f>(Table1[[#This Row],[Unit_Cost]]-Table1[[#This Row],[Negotiated_Cost]])/Table1[[#This Row],[Unit_Cost]]</f>
        <v>3.8341495833863877E-2</v>
      </c>
    </row>
    <row r="1615" spans="1:15" x14ac:dyDescent="0.25">
      <c r="A1615" t="s">
        <v>1650</v>
      </c>
      <c r="B1615" t="s">
        <v>35</v>
      </c>
      <c r="C1615" s="14" t="s">
        <v>21</v>
      </c>
      <c r="D1615" s="1">
        <v>45384</v>
      </c>
      <c r="E1615" s="13">
        <v>45390</v>
      </c>
      <c r="F1615" s="14" t="s">
        <v>14</v>
      </c>
      <c r="G1615">
        <v>200</v>
      </c>
      <c r="H1615">
        <v>122.21</v>
      </c>
      <c r="I1615">
        <v>119.9</v>
      </c>
      <c r="J1615">
        <v>1</v>
      </c>
      <c r="K1615" s="14" t="s">
        <v>15</v>
      </c>
      <c r="L1615" s="14">
        <f>IF(OR(Table1[[#This Row],[Order_Status]]="Delivered",Table1[[#This Row],[Delivery_Date]]&lt;&gt;"Not Yet Delivered"),Table1[[#This Row],[Delivery_Date]]-Table1[[#This Row],[Order_Date]],"Not Applicable")</f>
        <v>6</v>
      </c>
      <c r="M1615" s="14">
        <f>Table1[[#This Row],[Unit_Cost]]-Table1[[#This Row],[Negotiated_Cost]]</f>
        <v>2.3099999999999881</v>
      </c>
      <c r="N1615" s="18">
        <f>Table1[[#This Row],[Defective_Units]]/Table1[[#This Row],[Quantity]]</f>
        <v>5.0000000000000001E-3</v>
      </c>
      <c r="O1615" s="26">
        <f>(Table1[[#This Row],[Unit_Cost]]-Table1[[#This Row],[Negotiated_Cost]])/Table1[[#This Row],[Unit_Cost]]</f>
        <v>1.8901890189018805E-2</v>
      </c>
    </row>
    <row r="1616" spans="1:15" x14ac:dyDescent="0.25">
      <c r="A1616" t="s">
        <v>1651</v>
      </c>
      <c r="B1616" t="s">
        <v>27</v>
      </c>
      <c r="C1616" s="14" t="s">
        <v>30</v>
      </c>
      <c r="D1616" s="1">
        <v>45159</v>
      </c>
      <c r="E1616" s="13">
        <v>45161</v>
      </c>
      <c r="F1616" s="14" t="s">
        <v>14</v>
      </c>
      <c r="G1616">
        <v>375</v>
      </c>
      <c r="H1616">
        <v>884.43</v>
      </c>
      <c r="I1616">
        <v>863.19</v>
      </c>
      <c r="J1616">
        <v>3</v>
      </c>
      <c r="K1616" s="14" t="s">
        <v>15</v>
      </c>
      <c r="L1616" s="14">
        <f>IF(OR(Table1[[#This Row],[Order_Status]]="Delivered",Table1[[#This Row],[Delivery_Date]]&lt;&gt;"Not Yet Delivered"),Table1[[#This Row],[Delivery_Date]]-Table1[[#This Row],[Order_Date]],"Not Applicable")</f>
        <v>2</v>
      </c>
      <c r="M1616" s="14">
        <f>Table1[[#This Row],[Unit_Cost]]-Table1[[#This Row],[Negotiated_Cost]]</f>
        <v>21.239999999999895</v>
      </c>
      <c r="N1616" s="18">
        <f>Table1[[#This Row],[Defective_Units]]/Table1[[#This Row],[Quantity]]</f>
        <v>8.0000000000000002E-3</v>
      </c>
      <c r="O1616" s="26">
        <f>(Table1[[#This Row],[Unit_Cost]]-Table1[[#This Row],[Negotiated_Cost]])/Table1[[#This Row],[Unit_Cost]]</f>
        <v>2.4015467589294685E-2</v>
      </c>
    </row>
    <row r="1617" spans="1:15" x14ac:dyDescent="0.25">
      <c r="A1617" t="s">
        <v>1652</v>
      </c>
      <c r="B1617" t="s">
        <v>35</v>
      </c>
      <c r="C1617" s="14" t="s">
        <v>36</v>
      </c>
      <c r="D1617" s="1">
        <v>45638</v>
      </c>
      <c r="E1617" s="13">
        <v>45646</v>
      </c>
      <c r="F1617" s="14" t="s">
        <v>14</v>
      </c>
      <c r="G1617">
        <v>356</v>
      </c>
      <c r="H1617">
        <v>553.32000000000005</v>
      </c>
      <c r="I1617">
        <v>543.05999999999995</v>
      </c>
      <c r="J1617">
        <v>1</v>
      </c>
      <c r="K1617" s="14" t="s">
        <v>15</v>
      </c>
      <c r="L1617" s="14">
        <f>IF(OR(Table1[[#This Row],[Order_Status]]="Delivered",Table1[[#This Row],[Delivery_Date]]&lt;&gt;"Not Yet Delivered"),Table1[[#This Row],[Delivery_Date]]-Table1[[#This Row],[Order_Date]],"Not Applicable")</f>
        <v>8</v>
      </c>
      <c r="M1617" s="14">
        <f>Table1[[#This Row],[Unit_Cost]]-Table1[[#This Row],[Negotiated_Cost]]</f>
        <v>10.260000000000105</v>
      </c>
      <c r="N1617" s="18">
        <f>Table1[[#This Row],[Defective_Units]]/Table1[[#This Row],[Quantity]]</f>
        <v>2.8089887640449437E-3</v>
      </c>
      <c r="O1617" s="26">
        <f>(Table1[[#This Row],[Unit_Cost]]-Table1[[#This Row],[Negotiated_Cost]])/Table1[[#This Row],[Unit_Cost]]</f>
        <v>1.8542615484710662E-2</v>
      </c>
    </row>
    <row r="1618" spans="1:15" x14ac:dyDescent="0.25">
      <c r="A1618" t="s">
        <v>1653</v>
      </c>
      <c r="B1618" t="s">
        <v>46</v>
      </c>
      <c r="C1618" s="14" t="s">
        <v>24</v>
      </c>
      <c r="D1618" s="1">
        <v>45530</v>
      </c>
      <c r="E1618" s="13">
        <v>45534</v>
      </c>
      <c r="F1618" s="14" t="s">
        <v>14</v>
      </c>
      <c r="G1618">
        <v>426</v>
      </c>
      <c r="H1618">
        <v>11913.68</v>
      </c>
      <c r="I1618">
        <v>11457.08</v>
      </c>
      <c r="J1618">
        <v>8</v>
      </c>
      <c r="K1618" s="14" t="s">
        <v>15</v>
      </c>
      <c r="L1618" s="14">
        <f>IF(OR(Table1[[#This Row],[Order_Status]]="Delivered",Table1[[#This Row],[Delivery_Date]]&lt;&gt;"Not Yet Delivered"),Table1[[#This Row],[Delivery_Date]]-Table1[[#This Row],[Order_Date]],"Not Applicable")</f>
        <v>4</v>
      </c>
      <c r="M1618" s="14">
        <f>Table1[[#This Row],[Unit_Cost]]-Table1[[#This Row],[Negotiated_Cost]]</f>
        <v>456.60000000000036</v>
      </c>
      <c r="N1618" s="18">
        <f>Table1[[#This Row],[Defective_Units]]/Table1[[#This Row],[Quantity]]</f>
        <v>1.8779342723004695E-2</v>
      </c>
      <c r="O1618" s="26">
        <f>(Table1[[#This Row],[Unit_Cost]]-Table1[[#This Row],[Negotiated_Cost]])/Table1[[#This Row],[Unit_Cost]]</f>
        <v>3.8325689459512119E-2</v>
      </c>
    </row>
    <row r="1619" spans="1:15" x14ac:dyDescent="0.25">
      <c r="A1619" t="s">
        <v>1654</v>
      </c>
      <c r="B1619" t="s">
        <v>35</v>
      </c>
      <c r="C1619" s="14" t="s">
        <v>21</v>
      </c>
      <c r="D1619" s="1">
        <v>45556</v>
      </c>
      <c r="E1619" s="13">
        <v>45580</v>
      </c>
      <c r="F1619" s="14" t="s">
        <v>14</v>
      </c>
      <c r="G1619">
        <v>254</v>
      </c>
      <c r="H1619">
        <v>114.09</v>
      </c>
      <c r="I1619">
        <v>111.71</v>
      </c>
      <c r="J1619">
        <v>0</v>
      </c>
      <c r="K1619" s="14" t="s">
        <v>25</v>
      </c>
      <c r="L1619" s="14">
        <f>IF(OR(Table1[[#This Row],[Order_Status]]="Delivered",Table1[[#This Row],[Delivery_Date]]&lt;&gt;"Not Yet Delivered"),Table1[[#This Row],[Delivery_Date]]-Table1[[#This Row],[Order_Date]],"Not Applicable")</f>
        <v>24</v>
      </c>
      <c r="M1619" s="14">
        <f>Table1[[#This Row],[Unit_Cost]]-Table1[[#This Row],[Negotiated_Cost]]</f>
        <v>2.3800000000000097</v>
      </c>
      <c r="N1619" s="18">
        <f>Table1[[#This Row],[Defective_Units]]/Table1[[#This Row],[Quantity]]</f>
        <v>0</v>
      </c>
      <c r="O1619" s="26">
        <f>(Table1[[#This Row],[Unit_Cost]]-Table1[[#This Row],[Negotiated_Cost]])/Table1[[#This Row],[Unit_Cost]]</f>
        <v>2.0860723989832672E-2</v>
      </c>
    </row>
    <row r="1620" spans="1:15" x14ac:dyDescent="0.25">
      <c r="A1620" t="s">
        <v>1655</v>
      </c>
      <c r="B1620" t="s">
        <v>12</v>
      </c>
      <c r="C1620" s="14" t="s">
        <v>48</v>
      </c>
      <c r="D1620" s="1">
        <v>45409</v>
      </c>
      <c r="E1620" s="13">
        <v>45411</v>
      </c>
      <c r="F1620" s="14" t="s">
        <v>14</v>
      </c>
      <c r="G1620">
        <v>150</v>
      </c>
      <c r="H1620">
        <v>7096.16</v>
      </c>
      <c r="I1620">
        <v>7058.58</v>
      </c>
      <c r="J1620">
        <v>0</v>
      </c>
      <c r="K1620" s="14" t="s">
        <v>15</v>
      </c>
      <c r="L1620" s="14">
        <f>IF(OR(Table1[[#This Row],[Order_Status]]="Delivered",Table1[[#This Row],[Delivery_Date]]&lt;&gt;"Not Yet Delivered"),Table1[[#This Row],[Delivery_Date]]-Table1[[#This Row],[Order_Date]],"Not Applicable")</f>
        <v>2</v>
      </c>
      <c r="M1620" s="14">
        <f>Table1[[#This Row],[Unit_Cost]]-Table1[[#This Row],[Negotiated_Cost]]</f>
        <v>37.579999999999927</v>
      </c>
      <c r="N1620" s="18">
        <f>Table1[[#This Row],[Defective_Units]]/Table1[[#This Row],[Quantity]]</f>
        <v>0</v>
      </c>
      <c r="O1620" s="26">
        <f>(Table1[[#This Row],[Unit_Cost]]-Table1[[#This Row],[Negotiated_Cost]])/Table1[[#This Row],[Unit_Cost]]</f>
        <v>5.2958219656828384E-3</v>
      </c>
    </row>
    <row r="1621" spans="1:15" x14ac:dyDescent="0.25">
      <c r="A1621" t="s">
        <v>1656</v>
      </c>
      <c r="B1621" t="s">
        <v>40</v>
      </c>
      <c r="C1621" s="14" t="s">
        <v>42</v>
      </c>
      <c r="D1621" s="1">
        <v>45597</v>
      </c>
      <c r="E1621" s="13">
        <v>45604</v>
      </c>
      <c r="F1621" s="14" t="s">
        <v>14</v>
      </c>
      <c r="G1621">
        <v>220</v>
      </c>
      <c r="H1621">
        <v>12870.69</v>
      </c>
      <c r="I1621">
        <v>12631.92</v>
      </c>
      <c r="J1621">
        <v>1</v>
      </c>
      <c r="K1621" s="14" t="s">
        <v>15</v>
      </c>
      <c r="L1621" s="14">
        <f>IF(OR(Table1[[#This Row],[Order_Status]]="Delivered",Table1[[#This Row],[Delivery_Date]]&lt;&gt;"Not Yet Delivered"),Table1[[#This Row],[Delivery_Date]]-Table1[[#This Row],[Order_Date]],"Not Applicable")</f>
        <v>7</v>
      </c>
      <c r="M1621" s="14">
        <f>Table1[[#This Row],[Unit_Cost]]-Table1[[#This Row],[Negotiated_Cost]]</f>
        <v>238.77000000000044</v>
      </c>
      <c r="N1621" s="18">
        <f>Table1[[#This Row],[Defective_Units]]/Table1[[#This Row],[Quantity]]</f>
        <v>4.5454545454545452E-3</v>
      </c>
      <c r="O1621" s="26">
        <f>(Table1[[#This Row],[Unit_Cost]]-Table1[[#This Row],[Negotiated_Cost]])/Table1[[#This Row],[Unit_Cost]]</f>
        <v>1.8551452952405848E-2</v>
      </c>
    </row>
    <row r="1622" spans="1:15" x14ac:dyDescent="0.25">
      <c r="A1622" t="s">
        <v>1657</v>
      </c>
      <c r="B1622" t="s">
        <v>40</v>
      </c>
      <c r="C1622" s="14" t="s">
        <v>44</v>
      </c>
      <c r="D1622" s="1">
        <v>45356</v>
      </c>
      <c r="E1622" s="13">
        <v>45367</v>
      </c>
      <c r="F1622" s="14" t="s">
        <v>14</v>
      </c>
      <c r="G1622">
        <v>117</v>
      </c>
      <c r="H1622">
        <v>9139.77</v>
      </c>
      <c r="I1622">
        <v>8923.52</v>
      </c>
      <c r="J1622">
        <v>4</v>
      </c>
      <c r="K1622" s="14" t="s">
        <v>15</v>
      </c>
      <c r="L1622" s="14">
        <f>IF(OR(Table1[[#This Row],[Order_Status]]="Delivered",Table1[[#This Row],[Delivery_Date]]&lt;&gt;"Not Yet Delivered"),Table1[[#This Row],[Delivery_Date]]-Table1[[#This Row],[Order_Date]],"Not Applicable")</f>
        <v>11</v>
      </c>
      <c r="M1622" s="14">
        <f>Table1[[#This Row],[Unit_Cost]]-Table1[[#This Row],[Negotiated_Cost]]</f>
        <v>216.25</v>
      </c>
      <c r="N1622" s="18">
        <f>Table1[[#This Row],[Defective_Units]]/Table1[[#This Row],[Quantity]]</f>
        <v>3.4188034188034191E-2</v>
      </c>
      <c r="O1622" s="26">
        <f>(Table1[[#This Row],[Unit_Cost]]-Table1[[#This Row],[Negotiated_Cost]])/Table1[[#This Row],[Unit_Cost]]</f>
        <v>2.3660332809250121E-2</v>
      </c>
    </row>
    <row r="1623" spans="1:15" x14ac:dyDescent="0.25">
      <c r="A1623" t="s">
        <v>1658</v>
      </c>
      <c r="B1623" t="s">
        <v>32</v>
      </c>
      <c r="C1623" s="14" t="s">
        <v>50</v>
      </c>
      <c r="D1623" s="1">
        <v>45127</v>
      </c>
      <c r="E1623" s="13">
        <v>45130</v>
      </c>
      <c r="F1623" s="14" t="s">
        <v>14</v>
      </c>
      <c r="G1623">
        <v>448</v>
      </c>
      <c r="H1623">
        <v>49925.89</v>
      </c>
      <c r="I1623">
        <v>47407.12</v>
      </c>
      <c r="J1623">
        <v>0</v>
      </c>
      <c r="K1623" s="14" t="s">
        <v>15</v>
      </c>
      <c r="L1623" s="14">
        <f>IF(OR(Table1[[#This Row],[Order_Status]]="Delivered",Table1[[#This Row],[Delivery_Date]]&lt;&gt;"Not Yet Delivered"),Table1[[#This Row],[Delivery_Date]]-Table1[[#This Row],[Order_Date]],"Not Applicable")</f>
        <v>3</v>
      </c>
      <c r="M1623" s="14">
        <f>Table1[[#This Row],[Unit_Cost]]-Table1[[#This Row],[Negotiated_Cost]]</f>
        <v>2518.7699999999968</v>
      </c>
      <c r="N1623" s="18">
        <f>Table1[[#This Row],[Defective_Units]]/Table1[[#This Row],[Quantity]]</f>
        <v>0</v>
      </c>
      <c r="O1623" s="26">
        <f>(Table1[[#This Row],[Unit_Cost]]-Table1[[#This Row],[Negotiated_Cost]])/Table1[[#This Row],[Unit_Cost]]</f>
        <v>5.0450177252723924E-2</v>
      </c>
    </row>
    <row r="1624" spans="1:15" x14ac:dyDescent="0.25">
      <c r="A1624" t="s">
        <v>1659</v>
      </c>
      <c r="B1624" t="s">
        <v>20</v>
      </c>
      <c r="C1624" s="14" t="s">
        <v>42</v>
      </c>
      <c r="D1624" s="1">
        <v>45180</v>
      </c>
      <c r="E1624" s="13">
        <v>45201</v>
      </c>
      <c r="F1624" s="14" t="s">
        <v>14</v>
      </c>
      <c r="G1624">
        <v>455</v>
      </c>
      <c r="H1624">
        <v>11295.85</v>
      </c>
      <c r="I1624">
        <v>10670.88</v>
      </c>
      <c r="J1624">
        <v>7</v>
      </c>
      <c r="K1624" s="14" t="s">
        <v>15</v>
      </c>
      <c r="L1624" s="14">
        <f>IF(OR(Table1[[#This Row],[Order_Status]]="Delivered",Table1[[#This Row],[Delivery_Date]]&lt;&gt;"Not Yet Delivered"),Table1[[#This Row],[Delivery_Date]]-Table1[[#This Row],[Order_Date]],"Not Applicable")</f>
        <v>21</v>
      </c>
      <c r="M1624" s="14">
        <f>Table1[[#This Row],[Unit_Cost]]-Table1[[#This Row],[Negotiated_Cost]]</f>
        <v>624.97000000000116</v>
      </c>
      <c r="N1624" s="18">
        <f>Table1[[#This Row],[Defective_Units]]/Table1[[#This Row],[Quantity]]</f>
        <v>1.5384615384615385E-2</v>
      </c>
      <c r="O1624" s="26">
        <f>(Table1[[#This Row],[Unit_Cost]]-Table1[[#This Row],[Negotiated_Cost]])/Table1[[#This Row],[Unit_Cost]]</f>
        <v>5.5327399000517988E-2</v>
      </c>
    </row>
    <row r="1625" spans="1:15" x14ac:dyDescent="0.25">
      <c r="A1625" t="s">
        <v>1660</v>
      </c>
      <c r="B1625" t="s">
        <v>46</v>
      </c>
      <c r="C1625" s="14" t="s">
        <v>18</v>
      </c>
      <c r="D1625" s="1">
        <v>45535</v>
      </c>
      <c r="E1625" s="13">
        <v>45550</v>
      </c>
      <c r="F1625" s="14" t="s">
        <v>14</v>
      </c>
      <c r="G1625">
        <v>37</v>
      </c>
      <c r="H1625">
        <v>4962.42</v>
      </c>
      <c r="I1625">
        <v>4670.72</v>
      </c>
      <c r="J1625">
        <v>0</v>
      </c>
      <c r="K1625" s="14" t="s">
        <v>25</v>
      </c>
      <c r="L1625" s="14">
        <f>IF(OR(Table1[[#This Row],[Order_Status]]="Delivered",Table1[[#This Row],[Delivery_Date]]&lt;&gt;"Not Yet Delivered"),Table1[[#This Row],[Delivery_Date]]-Table1[[#This Row],[Order_Date]],"Not Applicable")</f>
        <v>15</v>
      </c>
      <c r="M1625" s="14">
        <f>Table1[[#This Row],[Unit_Cost]]-Table1[[#This Row],[Negotiated_Cost]]</f>
        <v>291.69999999999982</v>
      </c>
      <c r="N1625" s="18">
        <f>Table1[[#This Row],[Defective_Units]]/Table1[[#This Row],[Quantity]]</f>
        <v>0</v>
      </c>
      <c r="O1625" s="26">
        <f>(Table1[[#This Row],[Unit_Cost]]-Table1[[#This Row],[Negotiated_Cost]])/Table1[[#This Row],[Unit_Cost]]</f>
        <v>5.8781804039158274E-2</v>
      </c>
    </row>
    <row r="1626" spans="1:15" x14ac:dyDescent="0.25">
      <c r="A1626" t="s">
        <v>1661</v>
      </c>
      <c r="B1626" t="s">
        <v>27</v>
      </c>
      <c r="C1626" s="14" t="s">
        <v>55</v>
      </c>
      <c r="D1626" s="1">
        <v>44986</v>
      </c>
      <c r="E1626" s="14" t="s">
        <v>2057</v>
      </c>
      <c r="F1626" s="14" t="s">
        <v>33</v>
      </c>
      <c r="G1626">
        <v>129</v>
      </c>
      <c r="H1626">
        <v>14700.41</v>
      </c>
      <c r="I1626">
        <v>14303.33</v>
      </c>
      <c r="J1626">
        <v>2</v>
      </c>
      <c r="K1626" s="14" t="s">
        <v>25</v>
      </c>
      <c r="L1626" s="14" t="str">
        <f>IF(OR(Table1[[#This Row],[Order_Status]]="Delivered",Table1[[#This Row],[Delivery_Date]]&lt;&gt;"Not Yet Delivered"),Table1[[#This Row],[Delivery_Date]]-Table1[[#This Row],[Order_Date]],"Not Applicable")</f>
        <v>Not Applicable</v>
      </c>
      <c r="M1626" s="14">
        <f>Table1[[#This Row],[Unit_Cost]]-Table1[[#This Row],[Negotiated_Cost]]</f>
        <v>397.07999999999993</v>
      </c>
      <c r="N1626" s="18">
        <f>Table1[[#This Row],[Defective_Units]]/Table1[[#This Row],[Quantity]]</f>
        <v>1.5503875968992248E-2</v>
      </c>
      <c r="O1626" s="26">
        <f>(Table1[[#This Row],[Unit_Cost]]-Table1[[#This Row],[Negotiated_Cost]])/Table1[[#This Row],[Unit_Cost]]</f>
        <v>2.7011491516223011E-2</v>
      </c>
    </row>
    <row r="1627" spans="1:15" x14ac:dyDescent="0.25">
      <c r="A1627" t="s">
        <v>1662</v>
      </c>
      <c r="B1627" t="s">
        <v>40</v>
      </c>
      <c r="C1627" s="14" t="s">
        <v>48</v>
      </c>
      <c r="D1627" s="1">
        <v>45375</v>
      </c>
      <c r="E1627" s="13">
        <v>45378</v>
      </c>
      <c r="F1627" s="14" t="s">
        <v>14</v>
      </c>
      <c r="G1627">
        <v>186</v>
      </c>
      <c r="H1627">
        <v>7043.46</v>
      </c>
      <c r="I1627">
        <v>6737.18</v>
      </c>
      <c r="J1627">
        <v>0</v>
      </c>
      <c r="K1627" s="14" t="s">
        <v>15</v>
      </c>
      <c r="L1627" s="14">
        <f>IF(OR(Table1[[#This Row],[Order_Status]]="Delivered",Table1[[#This Row],[Delivery_Date]]&lt;&gt;"Not Yet Delivered"),Table1[[#This Row],[Delivery_Date]]-Table1[[#This Row],[Order_Date]],"Not Applicable")</f>
        <v>3</v>
      </c>
      <c r="M1627" s="14">
        <f>Table1[[#This Row],[Unit_Cost]]-Table1[[#This Row],[Negotiated_Cost]]</f>
        <v>306.27999999999975</v>
      </c>
      <c r="N1627" s="18">
        <f>Table1[[#This Row],[Defective_Units]]/Table1[[#This Row],[Quantity]]</f>
        <v>0</v>
      </c>
      <c r="O1627" s="26">
        <f>(Table1[[#This Row],[Unit_Cost]]-Table1[[#This Row],[Negotiated_Cost]])/Table1[[#This Row],[Unit_Cost]]</f>
        <v>4.3484310267964857E-2</v>
      </c>
    </row>
    <row r="1628" spans="1:15" x14ac:dyDescent="0.25">
      <c r="A1628" t="s">
        <v>1663</v>
      </c>
      <c r="B1628" t="s">
        <v>17</v>
      </c>
      <c r="C1628" s="14" t="s">
        <v>48</v>
      </c>
      <c r="D1628" s="1">
        <v>45137</v>
      </c>
      <c r="E1628" s="13">
        <v>45162</v>
      </c>
      <c r="F1628" s="14" t="s">
        <v>14</v>
      </c>
      <c r="G1628">
        <v>150</v>
      </c>
      <c r="H1628">
        <v>6156.18</v>
      </c>
      <c r="I1628">
        <v>5855.95</v>
      </c>
      <c r="J1628">
        <v>4</v>
      </c>
      <c r="K1628" s="14" t="s">
        <v>15</v>
      </c>
      <c r="L1628" s="14">
        <f>IF(OR(Table1[[#This Row],[Order_Status]]="Delivered",Table1[[#This Row],[Delivery_Date]]&lt;&gt;"Not Yet Delivered"),Table1[[#This Row],[Delivery_Date]]-Table1[[#This Row],[Order_Date]],"Not Applicable")</f>
        <v>25</v>
      </c>
      <c r="M1628" s="14">
        <f>Table1[[#This Row],[Unit_Cost]]-Table1[[#This Row],[Negotiated_Cost]]</f>
        <v>300.23000000000047</v>
      </c>
      <c r="N1628" s="18">
        <f>Table1[[#This Row],[Defective_Units]]/Table1[[#This Row],[Quantity]]</f>
        <v>2.6666666666666668E-2</v>
      </c>
      <c r="O1628" s="26">
        <f>(Table1[[#This Row],[Unit_Cost]]-Table1[[#This Row],[Negotiated_Cost]])/Table1[[#This Row],[Unit_Cost]]</f>
        <v>4.8768879402486684E-2</v>
      </c>
    </row>
    <row r="1629" spans="1:15" x14ac:dyDescent="0.25">
      <c r="A1629" t="s">
        <v>1664</v>
      </c>
      <c r="B1629" t="s">
        <v>46</v>
      </c>
      <c r="C1629" s="14" t="s">
        <v>55</v>
      </c>
      <c r="D1629" s="1">
        <v>45515</v>
      </c>
      <c r="E1629" s="14" t="s">
        <v>2057</v>
      </c>
      <c r="F1629" s="14" t="s">
        <v>22</v>
      </c>
      <c r="G1629">
        <v>72</v>
      </c>
      <c r="H1629">
        <v>13681.79</v>
      </c>
      <c r="I1629">
        <v>13007.17</v>
      </c>
      <c r="J1629">
        <v>2</v>
      </c>
      <c r="K1629" s="14" t="s">
        <v>15</v>
      </c>
      <c r="L1629" s="14" t="str">
        <f>IF(OR(Table1[[#This Row],[Order_Status]]="Delivered",Table1[[#This Row],[Delivery_Date]]&lt;&gt;"Not Yet Delivered"),Table1[[#This Row],[Delivery_Date]]-Table1[[#This Row],[Order_Date]],"Not Applicable")</f>
        <v>Not Applicable</v>
      </c>
      <c r="M1629" s="14">
        <f>Table1[[#This Row],[Unit_Cost]]-Table1[[#This Row],[Negotiated_Cost]]</f>
        <v>674.6200000000008</v>
      </c>
      <c r="N1629" s="18">
        <f>Table1[[#This Row],[Defective_Units]]/Table1[[#This Row],[Quantity]]</f>
        <v>2.7777777777777776E-2</v>
      </c>
      <c r="O1629" s="26">
        <f>(Table1[[#This Row],[Unit_Cost]]-Table1[[#This Row],[Negotiated_Cost]])/Table1[[#This Row],[Unit_Cost]]</f>
        <v>4.9307875650773818E-2</v>
      </c>
    </row>
    <row r="1630" spans="1:15" x14ac:dyDescent="0.25">
      <c r="A1630" t="s">
        <v>1665</v>
      </c>
      <c r="B1630" t="s">
        <v>40</v>
      </c>
      <c r="C1630" s="14" t="s">
        <v>28</v>
      </c>
      <c r="D1630" s="1">
        <v>45294</v>
      </c>
      <c r="E1630" s="13">
        <v>45307</v>
      </c>
      <c r="F1630" s="14" t="s">
        <v>14</v>
      </c>
      <c r="G1630">
        <v>428</v>
      </c>
      <c r="H1630">
        <v>53050.62</v>
      </c>
      <c r="I1630">
        <v>52156.73</v>
      </c>
      <c r="J1630">
        <v>8</v>
      </c>
      <c r="K1630" s="14" t="s">
        <v>15</v>
      </c>
      <c r="L1630" s="14">
        <f>IF(OR(Table1[[#This Row],[Order_Status]]="Delivered",Table1[[#This Row],[Delivery_Date]]&lt;&gt;"Not Yet Delivered"),Table1[[#This Row],[Delivery_Date]]-Table1[[#This Row],[Order_Date]],"Not Applicable")</f>
        <v>13</v>
      </c>
      <c r="M1630" s="14">
        <f>Table1[[#This Row],[Unit_Cost]]-Table1[[#This Row],[Negotiated_Cost]]</f>
        <v>893.88999999999942</v>
      </c>
      <c r="N1630" s="18">
        <f>Table1[[#This Row],[Defective_Units]]/Table1[[#This Row],[Quantity]]</f>
        <v>1.8691588785046728E-2</v>
      </c>
      <c r="O1630" s="26">
        <f>(Table1[[#This Row],[Unit_Cost]]-Table1[[#This Row],[Negotiated_Cost]])/Table1[[#This Row],[Unit_Cost]]</f>
        <v>1.6849755950071824E-2</v>
      </c>
    </row>
    <row r="1631" spans="1:15" x14ac:dyDescent="0.25">
      <c r="A1631" t="s">
        <v>1666</v>
      </c>
      <c r="B1631" t="s">
        <v>12</v>
      </c>
      <c r="C1631" s="14" t="s">
        <v>28</v>
      </c>
      <c r="D1631" s="1">
        <v>45569</v>
      </c>
      <c r="E1631" s="13">
        <v>45573</v>
      </c>
      <c r="F1631" s="14" t="s">
        <v>14</v>
      </c>
      <c r="G1631">
        <v>456</v>
      </c>
      <c r="H1631">
        <v>49170.48</v>
      </c>
      <c r="I1631">
        <v>47880.55</v>
      </c>
      <c r="J1631">
        <v>1</v>
      </c>
      <c r="K1631" s="14" t="s">
        <v>15</v>
      </c>
      <c r="L1631" s="14">
        <f>IF(OR(Table1[[#This Row],[Order_Status]]="Delivered",Table1[[#This Row],[Delivery_Date]]&lt;&gt;"Not Yet Delivered"),Table1[[#This Row],[Delivery_Date]]-Table1[[#This Row],[Order_Date]],"Not Applicable")</f>
        <v>4</v>
      </c>
      <c r="M1631" s="14">
        <f>Table1[[#This Row],[Unit_Cost]]-Table1[[#This Row],[Negotiated_Cost]]</f>
        <v>1289.9300000000003</v>
      </c>
      <c r="N1631" s="18">
        <f>Table1[[#This Row],[Defective_Units]]/Table1[[#This Row],[Quantity]]</f>
        <v>2.1929824561403508E-3</v>
      </c>
      <c r="O1631" s="26">
        <f>(Table1[[#This Row],[Unit_Cost]]-Table1[[#This Row],[Negotiated_Cost]])/Table1[[#This Row],[Unit_Cost]]</f>
        <v>2.6233829728731551E-2</v>
      </c>
    </row>
    <row r="1632" spans="1:15" x14ac:dyDescent="0.25">
      <c r="A1632" t="s">
        <v>1667</v>
      </c>
      <c r="B1632" t="s">
        <v>12</v>
      </c>
      <c r="C1632" s="14" t="s">
        <v>36</v>
      </c>
      <c r="D1632" s="1">
        <v>45206</v>
      </c>
      <c r="E1632" s="13">
        <v>45220</v>
      </c>
      <c r="F1632" s="14" t="s">
        <v>14</v>
      </c>
      <c r="G1632">
        <v>186</v>
      </c>
      <c r="H1632">
        <v>607.87</v>
      </c>
      <c r="I1632">
        <v>573.01</v>
      </c>
      <c r="J1632">
        <v>2</v>
      </c>
      <c r="K1632" s="14" t="s">
        <v>15</v>
      </c>
      <c r="L1632" s="14">
        <f>IF(OR(Table1[[#This Row],[Order_Status]]="Delivered",Table1[[#This Row],[Delivery_Date]]&lt;&gt;"Not Yet Delivered"),Table1[[#This Row],[Delivery_Date]]-Table1[[#This Row],[Order_Date]],"Not Applicable")</f>
        <v>14</v>
      </c>
      <c r="M1632" s="14">
        <f>Table1[[#This Row],[Unit_Cost]]-Table1[[#This Row],[Negotiated_Cost]]</f>
        <v>34.860000000000014</v>
      </c>
      <c r="N1632" s="18">
        <f>Table1[[#This Row],[Defective_Units]]/Table1[[#This Row],[Quantity]]</f>
        <v>1.0752688172043012E-2</v>
      </c>
      <c r="O1632" s="26">
        <f>(Table1[[#This Row],[Unit_Cost]]-Table1[[#This Row],[Negotiated_Cost]])/Table1[[#This Row],[Unit_Cost]]</f>
        <v>5.7347788178393429E-2</v>
      </c>
    </row>
    <row r="1633" spans="1:15" x14ac:dyDescent="0.25">
      <c r="A1633" t="s">
        <v>1668</v>
      </c>
      <c r="B1633" t="s">
        <v>40</v>
      </c>
      <c r="C1633" s="14" t="s">
        <v>42</v>
      </c>
      <c r="D1633" s="1">
        <v>45550</v>
      </c>
      <c r="E1633" s="14" t="s">
        <v>2057</v>
      </c>
      <c r="F1633" s="14" t="s">
        <v>22</v>
      </c>
      <c r="G1633">
        <v>295</v>
      </c>
      <c r="H1633">
        <v>13187.08</v>
      </c>
      <c r="I1633">
        <v>12677.73</v>
      </c>
      <c r="J1633">
        <v>2</v>
      </c>
      <c r="K1633" s="14" t="s">
        <v>15</v>
      </c>
      <c r="L1633" s="14" t="str">
        <f>IF(OR(Table1[[#This Row],[Order_Status]]="Delivered",Table1[[#This Row],[Delivery_Date]]&lt;&gt;"Not Yet Delivered"),Table1[[#This Row],[Delivery_Date]]-Table1[[#This Row],[Order_Date]],"Not Applicable")</f>
        <v>Not Applicable</v>
      </c>
      <c r="M1633" s="14">
        <f>Table1[[#This Row],[Unit_Cost]]-Table1[[#This Row],[Negotiated_Cost]]</f>
        <v>509.35000000000036</v>
      </c>
      <c r="N1633" s="18">
        <f>Table1[[#This Row],[Defective_Units]]/Table1[[#This Row],[Quantity]]</f>
        <v>6.7796610169491523E-3</v>
      </c>
      <c r="O1633" s="26">
        <f>(Table1[[#This Row],[Unit_Cost]]-Table1[[#This Row],[Negotiated_Cost]])/Table1[[#This Row],[Unit_Cost]]</f>
        <v>3.8624926822313992E-2</v>
      </c>
    </row>
    <row r="1634" spans="1:15" x14ac:dyDescent="0.25">
      <c r="A1634" t="s">
        <v>1669</v>
      </c>
      <c r="B1634" t="s">
        <v>20</v>
      </c>
      <c r="C1634" s="14" t="s">
        <v>48</v>
      </c>
      <c r="D1634" s="1">
        <v>45197</v>
      </c>
      <c r="E1634" s="13">
        <v>45220</v>
      </c>
      <c r="F1634" s="14" t="s">
        <v>14</v>
      </c>
      <c r="G1634">
        <v>425</v>
      </c>
      <c r="H1634">
        <v>6235.45</v>
      </c>
      <c r="I1634">
        <v>6144.17</v>
      </c>
      <c r="J1634">
        <v>4</v>
      </c>
      <c r="K1634" s="14" t="s">
        <v>15</v>
      </c>
      <c r="L1634" s="14">
        <f>IF(OR(Table1[[#This Row],[Order_Status]]="Delivered",Table1[[#This Row],[Delivery_Date]]&lt;&gt;"Not Yet Delivered"),Table1[[#This Row],[Delivery_Date]]-Table1[[#This Row],[Order_Date]],"Not Applicable")</f>
        <v>23</v>
      </c>
      <c r="M1634" s="14">
        <f>Table1[[#This Row],[Unit_Cost]]-Table1[[#This Row],[Negotiated_Cost]]</f>
        <v>91.279999999999745</v>
      </c>
      <c r="N1634" s="18">
        <f>Table1[[#This Row],[Defective_Units]]/Table1[[#This Row],[Quantity]]</f>
        <v>9.4117647058823521E-3</v>
      </c>
      <c r="O1634" s="26">
        <f>(Table1[[#This Row],[Unit_Cost]]-Table1[[#This Row],[Negotiated_Cost]])/Table1[[#This Row],[Unit_Cost]]</f>
        <v>1.4638879311036052E-2</v>
      </c>
    </row>
    <row r="1635" spans="1:15" x14ac:dyDescent="0.25">
      <c r="A1635" t="s">
        <v>1670</v>
      </c>
      <c r="B1635" t="s">
        <v>35</v>
      </c>
      <c r="C1635" s="14" t="s">
        <v>55</v>
      </c>
      <c r="D1635" s="1">
        <v>45532</v>
      </c>
      <c r="E1635" s="13">
        <v>45536</v>
      </c>
      <c r="F1635" s="14" t="s">
        <v>14</v>
      </c>
      <c r="G1635">
        <v>84</v>
      </c>
      <c r="H1635">
        <v>14078.88</v>
      </c>
      <c r="I1635">
        <v>13363.12</v>
      </c>
      <c r="J1635">
        <v>1</v>
      </c>
      <c r="K1635" s="14" t="s">
        <v>15</v>
      </c>
      <c r="L1635" s="14">
        <f>IF(OR(Table1[[#This Row],[Order_Status]]="Delivered",Table1[[#This Row],[Delivery_Date]]&lt;&gt;"Not Yet Delivered"),Table1[[#This Row],[Delivery_Date]]-Table1[[#This Row],[Order_Date]],"Not Applicable")</f>
        <v>4</v>
      </c>
      <c r="M1635" s="14">
        <f>Table1[[#This Row],[Unit_Cost]]-Table1[[#This Row],[Negotiated_Cost]]</f>
        <v>715.7599999999984</v>
      </c>
      <c r="N1635" s="18">
        <f>Table1[[#This Row],[Defective_Units]]/Table1[[#This Row],[Quantity]]</f>
        <v>1.1904761904761904E-2</v>
      </c>
      <c r="O1635" s="26">
        <f>(Table1[[#This Row],[Unit_Cost]]-Table1[[#This Row],[Negotiated_Cost]])/Table1[[#This Row],[Unit_Cost]]</f>
        <v>5.0839271305671931E-2</v>
      </c>
    </row>
    <row r="1636" spans="1:15" x14ac:dyDescent="0.25">
      <c r="A1636" t="s">
        <v>1671</v>
      </c>
      <c r="B1636" t="s">
        <v>32</v>
      </c>
      <c r="C1636" s="14" t="s">
        <v>42</v>
      </c>
      <c r="D1636" s="1">
        <v>45436</v>
      </c>
      <c r="E1636" s="13">
        <v>45463</v>
      </c>
      <c r="F1636" s="14" t="s">
        <v>14</v>
      </c>
      <c r="G1636">
        <v>212</v>
      </c>
      <c r="H1636">
        <v>11251.97</v>
      </c>
      <c r="I1636">
        <v>10771.93</v>
      </c>
      <c r="J1636">
        <v>0</v>
      </c>
      <c r="K1636" s="14" t="s">
        <v>15</v>
      </c>
      <c r="L1636" s="14">
        <f>IF(OR(Table1[[#This Row],[Order_Status]]="Delivered",Table1[[#This Row],[Delivery_Date]]&lt;&gt;"Not Yet Delivered"),Table1[[#This Row],[Delivery_Date]]-Table1[[#This Row],[Order_Date]],"Not Applicable")</f>
        <v>27</v>
      </c>
      <c r="M1636" s="14">
        <f>Table1[[#This Row],[Unit_Cost]]-Table1[[#This Row],[Negotiated_Cost]]</f>
        <v>480.03999999999905</v>
      </c>
      <c r="N1636" s="18">
        <f>Table1[[#This Row],[Defective_Units]]/Table1[[#This Row],[Quantity]]</f>
        <v>0</v>
      </c>
      <c r="O1636" s="26">
        <f>(Table1[[#This Row],[Unit_Cost]]-Table1[[#This Row],[Negotiated_Cost]])/Table1[[#This Row],[Unit_Cost]]</f>
        <v>4.2662751500403849E-2</v>
      </c>
    </row>
    <row r="1637" spans="1:15" x14ac:dyDescent="0.25">
      <c r="A1637" t="s">
        <v>1672</v>
      </c>
      <c r="B1637" t="s">
        <v>20</v>
      </c>
      <c r="C1637" s="14" t="s">
        <v>44</v>
      </c>
      <c r="D1637" s="1">
        <v>45141</v>
      </c>
      <c r="E1637" s="13">
        <v>45157</v>
      </c>
      <c r="F1637" s="14" t="s">
        <v>14</v>
      </c>
      <c r="G1637">
        <v>392</v>
      </c>
      <c r="H1637">
        <v>7983.87</v>
      </c>
      <c r="I1637">
        <v>7907.46</v>
      </c>
      <c r="J1637">
        <v>2</v>
      </c>
      <c r="K1637" s="14" t="s">
        <v>15</v>
      </c>
      <c r="L1637" s="14">
        <f>IF(OR(Table1[[#This Row],[Order_Status]]="Delivered",Table1[[#This Row],[Delivery_Date]]&lt;&gt;"Not Yet Delivered"),Table1[[#This Row],[Delivery_Date]]-Table1[[#This Row],[Order_Date]],"Not Applicable")</f>
        <v>16</v>
      </c>
      <c r="M1637" s="14">
        <f>Table1[[#This Row],[Unit_Cost]]-Table1[[#This Row],[Negotiated_Cost]]</f>
        <v>76.409999999999854</v>
      </c>
      <c r="N1637" s="18">
        <f>Table1[[#This Row],[Defective_Units]]/Table1[[#This Row],[Quantity]]</f>
        <v>5.1020408163265302E-3</v>
      </c>
      <c r="O1637" s="26">
        <f>(Table1[[#This Row],[Unit_Cost]]-Table1[[#This Row],[Negotiated_Cost]])/Table1[[#This Row],[Unit_Cost]]</f>
        <v>9.5705466146116924E-3</v>
      </c>
    </row>
    <row r="1638" spans="1:15" x14ac:dyDescent="0.25">
      <c r="A1638" t="s">
        <v>1673</v>
      </c>
      <c r="B1638" t="s">
        <v>46</v>
      </c>
      <c r="C1638" s="14" t="s">
        <v>18</v>
      </c>
      <c r="D1638" s="1">
        <v>45600</v>
      </c>
      <c r="E1638" s="14" t="s">
        <v>2057</v>
      </c>
      <c r="F1638" s="14" t="s">
        <v>22</v>
      </c>
      <c r="G1638">
        <v>247</v>
      </c>
      <c r="H1638">
        <v>4882.1000000000004</v>
      </c>
      <c r="I1638">
        <v>4734.57</v>
      </c>
      <c r="J1638">
        <v>2</v>
      </c>
      <c r="K1638" s="14" t="s">
        <v>15</v>
      </c>
      <c r="L1638" s="14" t="str">
        <f>IF(OR(Table1[[#This Row],[Order_Status]]="Delivered",Table1[[#This Row],[Delivery_Date]]&lt;&gt;"Not Yet Delivered"),Table1[[#This Row],[Delivery_Date]]-Table1[[#This Row],[Order_Date]],"Not Applicable")</f>
        <v>Not Applicable</v>
      </c>
      <c r="M1638" s="14">
        <f>Table1[[#This Row],[Unit_Cost]]-Table1[[#This Row],[Negotiated_Cost]]</f>
        <v>147.53000000000065</v>
      </c>
      <c r="N1638" s="18">
        <f>Table1[[#This Row],[Defective_Units]]/Table1[[#This Row],[Quantity]]</f>
        <v>8.0971659919028341E-3</v>
      </c>
      <c r="O1638" s="26">
        <f>(Table1[[#This Row],[Unit_Cost]]-Table1[[#This Row],[Negotiated_Cost]])/Table1[[#This Row],[Unit_Cost]]</f>
        <v>3.0218553491325587E-2</v>
      </c>
    </row>
    <row r="1639" spans="1:15" x14ac:dyDescent="0.25">
      <c r="A1639" t="s">
        <v>1674</v>
      </c>
      <c r="B1639" t="s">
        <v>35</v>
      </c>
      <c r="C1639" s="14" t="s">
        <v>36</v>
      </c>
      <c r="D1639" s="1">
        <v>44995</v>
      </c>
      <c r="E1639" s="13">
        <v>45019</v>
      </c>
      <c r="F1639" s="14" t="s">
        <v>37</v>
      </c>
      <c r="G1639">
        <v>60</v>
      </c>
      <c r="H1639">
        <v>568.1</v>
      </c>
      <c r="I1639">
        <v>535.04999999999995</v>
      </c>
      <c r="J1639">
        <v>0</v>
      </c>
      <c r="K1639" s="14" t="s">
        <v>15</v>
      </c>
      <c r="L1639" s="14">
        <f>IF(OR(Table1[[#This Row],[Order_Status]]="Delivered",Table1[[#This Row],[Delivery_Date]]&lt;&gt;"Not Yet Delivered"),Table1[[#This Row],[Delivery_Date]]-Table1[[#This Row],[Order_Date]],"Not Applicable")</f>
        <v>24</v>
      </c>
      <c r="M1639" s="14">
        <f>Table1[[#This Row],[Unit_Cost]]-Table1[[#This Row],[Negotiated_Cost]]</f>
        <v>33.050000000000068</v>
      </c>
      <c r="N1639" s="18">
        <f>Table1[[#This Row],[Defective_Units]]/Table1[[#This Row],[Quantity]]</f>
        <v>0</v>
      </c>
      <c r="O1639" s="26">
        <f>(Table1[[#This Row],[Unit_Cost]]-Table1[[#This Row],[Negotiated_Cost]])/Table1[[#This Row],[Unit_Cost]]</f>
        <v>5.8176377398345483E-2</v>
      </c>
    </row>
    <row r="1640" spans="1:15" x14ac:dyDescent="0.25">
      <c r="A1640" t="s">
        <v>1675</v>
      </c>
      <c r="B1640" t="s">
        <v>32</v>
      </c>
      <c r="C1640" s="14" t="s">
        <v>48</v>
      </c>
      <c r="D1640" s="1">
        <v>45366</v>
      </c>
      <c r="E1640" s="14" t="s">
        <v>2057</v>
      </c>
      <c r="F1640" s="14" t="s">
        <v>22</v>
      </c>
      <c r="G1640">
        <v>267</v>
      </c>
      <c r="H1640">
        <v>5806.25</v>
      </c>
      <c r="I1640">
        <v>5490.7</v>
      </c>
      <c r="J1640">
        <v>2</v>
      </c>
      <c r="K1640" s="14" t="s">
        <v>15</v>
      </c>
      <c r="L1640" s="14" t="str">
        <f>IF(OR(Table1[[#This Row],[Order_Status]]="Delivered",Table1[[#This Row],[Delivery_Date]]&lt;&gt;"Not Yet Delivered"),Table1[[#This Row],[Delivery_Date]]-Table1[[#This Row],[Order_Date]],"Not Applicable")</f>
        <v>Not Applicable</v>
      </c>
      <c r="M1640" s="14">
        <f>Table1[[#This Row],[Unit_Cost]]-Table1[[#This Row],[Negotiated_Cost]]</f>
        <v>315.55000000000018</v>
      </c>
      <c r="N1640" s="18">
        <f>Table1[[#This Row],[Defective_Units]]/Table1[[#This Row],[Quantity]]</f>
        <v>7.4906367041198503E-3</v>
      </c>
      <c r="O1640" s="26">
        <f>(Table1[[#This Row],[Unit_Cost]]-Table1[[#This Row],[Negotiated_Cost]])/Table1[[#This Row],[Unit_Cost]]</f>
        <v>5.4346609257265907E-2</v>
      </c>
    </row>
    <row r="1641" spans="1:15" x14ac:dyDescent="0.25">
      <c r="A1641" t="s">
        <v>1676</v>
      </c>
      <c r="B1641" t="s">
        <v>32</v>
      </c>
      <c r="C1641" s="14" t="s">
        <v>44</v>
      </c>
      <c r="D1641" s="1">
        <v>45541</v>
      </c>
      <c r="E1641" s="13">
        <v>45546</v>
      </c>
      <c r="F1641" s="14" t="s">
        <v>14</v>
      </c>
      <c r="G1641">
        <v>11</v>
      </c>
      <c r="H1641">
        <v>8094.67</v>
      </c>
      <c r="I1641">
        <v>7722.17</v>
      </c>
      <c r="J1641">
        <v>0</v>
      </c>
      <c r="K1641" s="14" t="s">
        <v>15</v>
      </c>
      <c r="L1641" s="14">
        <f>IF(OR(Table1[[#This Row],[Order_Status]]="Delivered",Table1[[#This Row],[Delivery_Date]]&lt;&gt;"Not Yet Delivered"),Table1[[#This Row],[Delivery_Date]]-Table1[[#This Row],[Order_Date]],"Not Applicable")</f>
        <v>5</v>
      </c>
      <c r="M1641" s="14">
        <f>Table1[[#This Row],[Unit_Cost]]-Table1[[#This Row],[Negotiated_Cost]]</f>
        <v>372.5</v>
      </c>
      <c r="N1641" s="18">
        <f>Table1[[#This Row],[Defective_Units]]/Table1[[#This Row],[Quantity]]</f>
        <v>0</v>
      </c>
      <c r="O1641" s="26">
        <f>(Table1[[#This Row],[Unit_Cost]]-Table1[[#This Row],[Negotiated_Cost]])/Table1[[#This Row],[Unit_Cost]]</f>
        <v>4.6017935258633152E-2</v>
      </c>
    </row>
    <row r="1642" spans="1:15" x14ac:dyDescent="0.25">
      <c r="A1642" t="s">
        <v>1677</v>
      </c>
      <c r="B1642" t="s">
        <v>12</v>
      </c>
      <c r="C1642" s="14" t="s">
        <v>44</v>
      </c>
      <c r="D1642" s="1">
        <v>45097</v>
      </c>
      <c r="E1642" s="13">
        <v>45099</v>
      </c>
      <c r="F1642" s="14" t="s">
        <v>14</v>
      </c>
      <c r="G1642">
        <v>130</v>
      </c>
      <c r="H1642">
        <v>8495.26</v>
      </c>
      <c r="I1642">
        <v>8021.02</v>
      </c>
      <c r="J1642">
        <v>1</v>
      </c>
      <c r="K1642" s="14" t="s">
        <v>15</v>
      </c>
      <c r="L1642" s="14">
        <f>IF(OR(Table1[[#This Row],[Order_Status]]="Delivered",Table1[[#This Row],[Delivery_Date]]&lt;&gt;"Not Yet Delivered"),Table1[[#This Row],[Delivery_Date]]-Table1[[#This Row],[Order_Date]],"Not Applicable")</f>
        <v>2</v>
      </c>
      <c r="M1642" s="14">
        <f>Table1[[#This Row],[Unit_Cost]]-Table1[[#This Row],[Negotiated_Cost]]</f>
        <v>474.23999999999978</v>
      </c>
      <c r="N1642" s="18">
        <f>Table1[[#This Row],[Defective_Units]]/Table1[[#This Row],[Quantity]]</f>
        <v>7.6923076923076927E-3</v>
      </c>
      <c r="O1642" s="26">
        <f>(Table1[[#This Row],[Unit_Cost]]-Table1[[#This Row],[Negotiated_Cost]])/Table1[[#This Row],[Unit_Cost]]</f>
        <v>5.5824071305645706E-2</v>
      </c>
    </row>
    <row r="1643" spans="1:15" x14ac:dyDescent="0.25">
      <c r="A1643" t="s">
        <v>1678</v>
      </c>
      <c r="B1643" t="s">
        <v>12</v>
      </c>
      <c r="C1643" s="14" t="s">
        <v>50</v>
      </c>
      <c r="D1643" s="1">
        <v>45204</v>
      </c>
      <c r="E1643" s="13">
        <v>45223</v>
      </c>
      <c r="F1643" s="14" t="s">
        <v>14</v>
      </c>
      <c r="G1643">
        <v>155</v>
      </c>
      <c r="H1643">
        <v>52876.39</v>
      </c>
      <c r="I1643">
        <v>50831.14</v>
      </c>
      <c r="J1643">
        <v>5</v>
      </c>
      <c r="K1643" s="14" t="s">
        <v>15</v>
      </c>
      <c r="L1643" s="14">
        <f>IF(OR(Table1[[#This Row],[Order_Status]]="Delivered",Table1[[#This Row],[Delivery_Date]]&lt;&gt;"Not Yet Delivered"),Table1[[#This Row],[Delivery_Date]]-Table1[[#This Row],[Order_Date]],"Not Applicable")</f>
        <v>19</v>
      </c>
      <c r="M1643" s="14">
        <f>Table1[[#This Row],[Unit_Cost]]-Table1[[#This Row],[Negotiated_Cost]]</f>
        <v>2045.25</v>
      </c>
      <c r="N1643" s="18">
        <f>Table1[[#This Row],[Defective_Units]]/Table1[[#This Row],[Quantity]]</f>
        <v>3.2258064516129031E-2</v>
      </c>
      <c r="O1643" s="26">
        <f>(Table1[[#This Row],[Unit_Cost]]-Table1[[#This Row],[Negotiated_Cost]])/Table1[[#This Row],[Unit_Cost]]</f>
        <v>3.8679834232253754E-2</v>
      </c>
    </row>
    <row r="1644" spans="1:15" x14ac:dyDescent="0.25">
      <c r="A1644" t="s">
        <v>1679</v>
      </c>
      <c r="B1644" t="s">
        <v>27</v>
      </c>
      <c r="C1644" s="14" t="s">
        <v>13</v>
      </c>
      <c r="D1644" s="1">
        <v>45585</v>
      </c>
      <c r="E1644" s="13">
        <v>45589</v>
      </c>
      <c r="F1644" s="14" t="s">
        <v>14</v>
      </c>
      <c r="G1644">
        <v>434</v>
      </c>
      <c r="H1644">
        <v>4296.59</v>
      </c>
      <c r="I1644">
        <v>4074.11</v>
      </c>
      <c r="J1644">
        <v>2</v>
      </c>
      <c r="K1644" s="14" t="s">
        <v>15</v>
      </c>
      <c r="L1644" s="14">
        <f>IF(OR(Table1[[#This Row],[Order_Status]]="Delivered",Table1[[#This Row],[Delivery_Date]]&lt;&gt;"Not Yet Delivered"),Table1[[#This Row],[Delivery_Date]]-Table1[[#This Row],[Order_Date]],"Not Applicable")</f>
        <v>4</v>
      </c>
      <c r="M1644" s="14">
        <f>Table1[[#This Row],[Unit_Cost]]-Table1[[#This Row],[Negotiated_Cost]]</f>
        <v>222.48000000000002</v>
      </c>
      <c r="N1644" s="18">
        <f>Table1[[#This Row],[Defective_Units]]/Table1[[#This Row],[Quantity]]</f>
        <v>4.608294930875576E-3</v>
      </c>
      <c r="O1644" s="26">
        <f>(Table1[[#This Row],[Unit_Cost]]-Table1[[#This Row],[Negotiated_Cost]])/Table1[[#This Row],[Unit_Cost]]</f>
        <v>5.1780598102215948E-2</v>
      </c>
    </row>
    <row r="1645" spans="1:15" x14ac:dyDescent="0.25">
      <c r="A1645" t="s">
        <v>1680</v>
      </c>
      <c r="B1645" t="s">
        <v>17</v>
      </c>
      <c r="C1645" s="14" t="s">
        <v>21</v>
      </c>
      <c r="D1645" s="1">
        <v>45423</v>
      </c>
      <c r="E1645" s="13">
        <v>45449</v>
      </c>
      <c r="F1645" s="14" t="s">
        <v>14</v>
      </c>
      <c r="G1645">
        <v>59</v>
      </c>
      <c r="H1645">
        <v>113.05</v>
      </c>
      <c r="I1645">
        <v>109.81</v>
      </c>
      <c r="J1645">
        <v>1</v>
      </c>
      <c r="K1645" s="14" t="s">
        <v>15</v>
      </c>
      <c r="L1645" s="14">
        <f>IF(OR(Table1[[#This Row],[Order_Status]]="Delivered",Table1[[#This Row],[Delivery_Date]]&lt;&gt;"Not Yet Delivered"),Table1[[#This Row],[Delivery_Date]]-Table1[[#This Row],[Order_Date]],"Not Applicable")</f>
        <v>26</v>
      </c>
      <c r="M1645" s="14">
        <f>Table1[[#This Row],[Unit_Cost]]-Table1[[#This Row],[Negotiated_Cost]]</f>
        <v>3.2399999999999949</v>
      </c>
      <c r="N1645" s="18">
        <f>Table1[[#This Row],[Defective_Units]]/Table1[[#This Row],[Quantity]]</f>
        <v>1.6949152542372881E-2</v>
      </c>
      <c r="O1645" s="26">
        <f>(Table1[[#This Row],[Unit_Cost]]-Table1[[#This Row],[Negotiated_Cost]])/Table1[[#This Row],[Unit_Cost]]</f>
        <v>2.8659885006634189E-2</v>
      </c>
    </row>
    <row r="1646" spans="1:15" x14ac:dyDescent="0.25">
      <c r="A1646" t="s">
        <v>1681</v>
      </c>
      <c r="B1646" t="s">
        <v>17</v>
      </c>
      <c r="C1646" s="14" t="s">
        <v>18</v>
      </c>
      <c r="D1646" s="1">
        <v>45213</v>
      </c>
      <c r="E1646" s="14" t="s">
        <v>2057</v>
      </c>
      <c r="F1646" s="14" t="s">
        <v>22</v>
      </c>
      <c r="G1646">
        <v>159</v>
      </c>
      <c r="H1646">
        <v>4779.53</v>
      </c>
      <c r="I1646">
        <v>4593.09</v>
      </c>
      <c r="J1646">
        <v>2</v>
      </c>
      <c r="K1646" s="14" t="s">
        <v>25</v>
      </c>
      <c r="L1646" s="14" t="str">
        <f>IF(OR(Table1[[#This Row],[Order_Status]]="Delivered",Table1[[#This Row],[Delivery_Date]]&lt;&gt;"Not Yet Delivered"),Table1[[#This Row],[Delivery_Date]]-Table1[[#This Row],[Order_Date]],"Not Applicable")</f>
        <v>Not Applicable</v>
      </c>
      <c r="M1646" s="14">
        <f>Table1[[#This Row],[Unit_Cost]]-Table1[[#This Row],[Negotiated_Cost]]</f>
        <v>186.4399999999996</v>
      </c>
      <c r="N1646" s="18">
        <f>Table1[[#This Row],[Defective_Units]]/Table1[[#This Row],[Quantity]]</f>
        <v>1.2578616352201259E-2</v>
      </c>
      <c r="O1646" s="26">
        <f>(Table1[[#This Row],[Unit_Cost]]-Table1[[#This Row],[Negotiated_Cost]])/Table1[[#This Row],[Unit_Cost]]</f>
        <v>3.9008019616991546E-2</v>
      </c>
    </row>
    <row r="1647" spans="1:15" x14ac:dyDescent="0.25">
      <c r="A1647" t="s">
        <v>1682</v>
      </c>
      <c r="B1647" t="s">
        <v>17</v>
      </c>
      <c r="C1647" s="14" t="s">
        <v>44</v>
      </c>
      <c r="D1647" s="1">
        <v>44966</v>
      </c>
      <c r="E1647" s="14" t="s">
        <v>2057</v>
      </c>
      <c r="F1647" s="14" t="s">
        <v>22</v>
      </c>
      <c r="G1647">
        <v>314</v>
      </c>
      <c r="H1647">
        <v>7678.83</v>
      </c>
      <c r="I1647">
        <v>7589.55</v>
      </c>
      <c r="J1647">
        <v>2</v>
      </c>
      <c r="K1647" s="14" t="s">
        <v>15</v>
      </c>
      <c r="L1647" s="14" t="str">
        <f>IF(OR(Table1[[#This Row],[Order_Status]]="Delivered",Table1[[#This Row],[Delivery_Date]]&lt;&gt;"Not Yet Delivered"),Table1[[#This Row],[Delivery_Date]]-Table1[[#This Row],[Order_Date]],"Not Applicable")</f>
        <v>Not Applicable</v>
      </c>
      <c r="M1647" s="14">
        <f>Table1[[#This Row],[Unit_Cost]]-Table1[[#This Row],[Negotiated_Cost]]</f>
        <v>89.279999999999745</v>
      </c>
      <c r="N1647" s="18">
        <f>Table1[[#This Row],[Defective_Units]]/Table1[[#This Row],[Quantity]]</f>
        <v>6.369426751592357E-3</v>
      </c>
      <c r="O1647" s="26">
        <f>(Table1[[#This Row],[Unit_Cost]]-Table1[[#This Row],[Negotiated_Cost]])/Table1[[#This Row],[Unit_Cost]]</f>
        <v>1.1626771265935011E-2</v>
      </c>
    </row>
    <row r="1648" spans="1:15" x14ac:dyDescent="0.25">
      <c r="A1648" t="s">
        <v>1683</v>
      </c>
      <c r="B1648" t="s">
        <v>17</v>
      </c>
      <c r="C1648" s="14" t="s">
        <v>48</v>
      </c>
      <c r="D1648" s="1">
        <v>45126</v>
      </c>
      <c r="E1648" s="13">
        <v>45134</v>
      </c>
      <c r="F1648" s="14" t="s">
        <v>14</v>
      </c>
      <c r="G1648">
        <v>203</v>
      </c>
      <c r="H1648">
        <v>6066.49</v>
      </c>
      <c r="I1648">
        <v>5948.7</v>
      </c>
      <c r="J1648">
        <v>4</v>
      </c>
      <c r="K1648" s="14" t="s">
        <v>15</v>
      </c>
      <c r="L1648" s="14">
        <f>IF(OR(Table1[[#This Row],[Order_Status]]="Delivered",Table1[[#This Row],[Delivery_Date]]&lt;&gt;"Not Yet Delivered"),Table1[[#This Row],[Delivery_Date]]-Table1[[#This Row],[Order_Date]],"Not Applicable")</f>
        <v>8</v>
      </c>
      <c r="M1648" s="14">
        <f>Table1[[#This Row],[Unit_Cost]]-Table1[[#This Row],[Negotiated_Cost]]</f>
        <v>117.78999999999996</v>
      </c>
      <c r="N1648" s="18">
        <f>Table1[[#This Row],[Defective_Units]]/Table1[[#This Row],[Quantity]]</f>
        <v>1.9704433497536946E-2</v>
      </c>
      <c r="O1648" s="26">
        <f>(Table1[[#This Row],[Unit_Cost]]-Table1[[#This Row],[Negotiated_Cost]])/Table1[[#This Row],[Unit_Cost]]</f>
        <v>1.9416499491468703E-2</v>
      </c>
    </row>
    <row r="1649" spans="1:15" x14ac:dyDescent="0.25">
      <c r="A1649" t="s">
        <v>1684</v>
      </c>
      <c r="B1649" t="s">
        <v>12</v>
      </c>
      <c r="C1649" s="14" t="s">
        <v>18</v>
      </c>
      <c r="D1649" s="1">
        <v>45169</v>
      </c>
      <c r="E1649" s="13">
        <v>45198</v>
      </c>
      <c r="F1649" s="14" t="s">
        <v>14</v>
      </c>
      <c r="G1649">
        <v>371</v>
      </c>
      <c r="H1649">
        <v>5732.56</v>
      </c>
      <c r="I1649">
        <v>5491.05</v>
      </c>
      <c r="J1649">
        <v>3</v>
      </c>
      <c r="K1649" s="14" t="s">
        <v>15</v>
      </c>
      <c r="L1649" s="14">
        <f>IF(OR(Table1[[#This Row],[Order_Status]]="Delivered",Table1[[#This Row],[Delivery_Date]]&lt;&gt;"Not Yet Delivered"),Table1[[#This Row],[Delivery_Date]]-Table1[[#This Row],[Order_Date]],"Not Applicable")</f>
        <v>29</v>
      </c>
      <c r="M1649" s="14">
        <f>Table1[[#This Row],[Unit_Cost]]-Table1[[#This Row],[Negotiated_Cost]]</f>
        <v>241.51000000000022</v>
      </c>
      <c r="N1649" s="18">
        <f>Table1[[#This Row],[Defective_Units]]/Table1[[#This Row],[Quantity]]</f>
        <v>8.0862533692722376E-3</v>
      </c>
      <c r="O1649" s="26">
        <f>(Table1[[#This Row],[Unit_Cost]]-Table1[[#This Row],[Negotiated_Cost]])/Table1[[#This Row],[Unit_Cost]]</f>
        <v>4.2129519795693411E-2</v>
      </c>
    </row>
    <row r="1650" spans="1:15" x14ac:dyDescent="0.25">
      <c r="A1650" t="s">
        <v>1685</v>
      </c>
      <c r="B1650" t="s">
        <v>27</v>
      </c>
      <c r="C1650" s="14" t="s">
        <v>42</v>
      </c>
      <c r="D1650" s="1">
        <v>45346</v>
      </c>
      <c r="E1650" s="13">
        <v>45358</v>
      </c>
      <c r="F1650" s="14" t="s">
        <v>37</v>
      </c>
      <c r="G1650">
        <v>53</v>
      </c>
      <c r="H1650">
        <v>12577.36</v>
      </c>
      <c r="I1650">
        <v>11980.76</v>
      </c>
      <c r="J1650">
        <v>0</v>
      </c>
      <c r="K1650" s="14" t="s">
        <v>15</v>
      </c>
      <c r="L1650" s="14">
        <f>IF(OR(Table1[[#This Row],[Order_Status]]="Delivered",Table1[[#This Row],[Delivery_Date]]&lt;&gt;"Not Yet Delivered"),Table1[[#This Row],[Delivery_Date]]-Table1[[#This Row],[Order_Date]],"Not Applicable")</f>
        <v>12</v>
      </c>
      <c r="M1650" s="14">
        <f>Table1[[#This Row],[Unit_Cost]]-Table1[[#This Row],[Negotiated_Cost]]</f>
        <v>596.60000000000036</v>
      </c>
      <c r="N1650" s="18">
        <f>Table1[[#This Row],[Defective_Units]]/Table1[[#This Row],[Quantity]]</f>
        <v>0</v>
      </c>
      <c r="O1650" s="26">
        <f>(Table1[[#This Row],[Unit_Cost]]-Table1[[#This Row],[Negotiated_Cost]])/Table1[[#This Row],[Unit_Cost]]</f>
        <v>4.7434437751642661E-2</v>
      </c>
    </row>
    <row r="1651" spans="1:15" x14ac:dyDescent="0.25">
      <c r="A1651" t="s">
        <v>1686</v>
      </c>
      <c r="B1651" t="s">
        <v>32</v>
      </c>
      <c r="C1651" s="14" t="s">
        <v>21</v>
      </c>
      <c r="D1651" s="1">
        <v>45323</v>
      </c>
      <c r="E1651" s="13">
        <v>45344</v>
      </c>
      <c r="F1651" s="14" t="s">
        <v>14</v>
      </c>
      <c r="G1651">
        <v>385</v>
      </c>
      <c r="H1651">
        <v>114.66</v>
      </c>
      <c r="I1651">
        <v>112.59</v>
      </c>
      <c r="J1651">
        <v>2</v>
      </c>
      <c r="K1651" s="14" t="s">
        <v>15</v>
      </c>
      <c r="L1651" s="14">
        <f>IF(OR(Table1[[#This Row],[Order_Status]]="Delivered",Table1[[#This Row],[Delivery_Date]]&lt;&gt;"Not Yet Delivered"),Table1[[#This Row],[Delivery_Date]]-Table1[[#This Row],[Order_Date]],"Not Applicable")</f>
        <v>21</v>
      </c>
      <c r="M1651" s="14">
        <f>Table1[[#This Row],[Unit_Cost]]-Table1[[#This Row],[Negotiated_Cost]]</f>
        <v>2.0699999999999932</v>
      </c>
      <c r="N1651" s="18">
        <f>Table1[[#This Row],[Defective_Units]]/Table1[[#This Row],[Quantity]]</f>
        <v>5.1948051948051948E-3</v>
      </c>
      <c r="O1651" s="26">
        <f>(Table1[[#This Row],[Unit_Cost]]-Table1[[#This Row],[Negotiated_Cost]])/Table1[[#This Row],[Unit_Cost]]</f>
        <v>1.805337519623228E-2</v>
      </c>
    </row>
    <row r="1652" spans="1:15" x14ac:dyDescent="0.25">
      <c r="A1652" t="s">
        <v>1687</v>
      </c>
      <c r="B1652" t="s">
        <v>20</v>
      </c>
      <c r="C1652" s="14" t="s">
        <v>48</v>
      </c>
      <c r="D1652" s="1">
        <v>45426</v>
      </c>
      <c r="E1652" s="13">
        <v>45451</v>
      </c>
      <c r="F1652" s="14" t="s">
        <v>14</v>
      </c>
      <c r="G1652">
        <v>119</v>
      </c>
      <c r="H1652">
        <v>5886.33</v>
      </c>
      <c r="I1652">
        <v>5582.41</v>
      </c>
      <c r="J1652">
        <v>0</v>
      </c>
      <c r="K1652" s="14" t="s">
        <v>15</v>
      </c>
      <c r="L1652" s="14">
        <f>IF(OR(Table1[[#This Row],[Order_Status]]="Delivered",Table1[[#This Row],[Delivery_Date]]&lt;&gt;"Not Yet Delivered"),Table1[[#This Row],[Delivery_Date]]-Table1[[#This Row],[Order_Date]],"Not Applicable")</f>
        <v>25</v>
      </c>
      <c r="M1652" s="14">
        <f>Table1[[#This Row],[Unit_Cost]]-Table1[[#This Row],[Negotiated_Cost]]</f>
        <v>303.92000000000007</v>
      </c>
      <c r="N1652" s="18">
        <f>Table1[[#This Row],[Defective_Units]]/Table1[[#This Row],[Quantity]]</f>
        <v>0</v>
      </c>
      <c r="O1652" s="26">
        <f>(Table1[[#This Row],[Unit_Cost]]-Table1[[#This Row],[Negotiated_Cost]])/Table1[[#This Row],[Unit_Cost]]</f>
        <v>5.1631491948293771E-2</v>
      </c>
    </row>
    <row r="1653" spans="1:15" x14ac:dyDescent="0.25">
      <c r="A1653" t="s">
        <v>1688</v>
      </c>
      <c r="B1653" t="s">
        <v>20</v>
      </c>
      <c r="C1653" s="14" t="s">
        <v>13</v>
      </c>
      <c r="D1653" s="1">
        <v>45537</v>
      </c>
      <c r="E1653" s="13">
        <v>45564</v>
      </c>
      <c r="F1653" s="14" t="s">
        <v>14</v>
      </c>
      <c r="G1653">
        <v>155</v>
      </c>
      <c r="H1653">
        <v>3796.2</v>
      </c>
      <c r="I1653">
        <v>3617.91</v>
      </c>
      <c r="J1653">
        <v>0</v>
      </c>
      <c r="K1653" s="14" t="s">
        <v>15</v>
      </c>
      <c r="L1653" s="14">
        <f>IF(OR(Table1[[#This Row],[Order_Status]]="Delivered",Table1[[#This Row],[Delivery_Date]]&lt;&gt;"Not Yet Delivered"),Table1[[#This Row],[Delivery_Date]]-Table1[[#This Row],[Order_Date]],"Not Applicable")</f>
        <v>27</v>
      </c>
      <c r="M1653" s="14">
        <f>Table1[[#This Row],[Unit_Cost]]-Table1[[#This Row],[Negotiated_Cost]]</f>
        <v>178.28999999999996</v>
      </c>
      <c r="N1653" s="18">
        <f>Table1[[#This Row],[Defective_Units]]/Table1[[#This Row],[Quantity]]</f>
        <v>0</v>
      </c>
      <c r="O1653" s="26">
        <f>(Table1[[#This Row],[Unit_Cost]]-Table1[[#This Row],[Negotiated_Cost]])/Table1[[#This Row],[Unit_Cost]]</f>
        <v>4.6965386439070639E-2</v>
      </c>
    </row>
    <row r="1654" spans="1:15" x14ac:dyDescent="0.25">
      <c r="A1654" t="s">
        <v>1689</v>
      </c>
      <c r="B1654" t="s">
        <v>20</v>
      </c>
      <c r="C1654" s="14" t="s">
        <v>24</v>
      </c>
      <c r="D1654" s="1">
        <v>44976</v>
      </c>
      <c r="E1654" s="13">
        <v>45002</v>
      </c>
      <c r="F1654" s="14" t="s">
        <v>14</v>
      </c>
      <c r="G1654">
        <v>318</v>
      </c>
      <c r="H1654">
        <v>11341.83</v>
      </c>
      <c r="I1654">
        <v>10952.57</v>
      </c>
      <c r="J1654">
        <v>1</v>
      </c>
      <c r="K1654" s="14" t="s">
        <v>15</v>
      </c>
      <c r="L1654" s="14">
        <f>IF(OR(Table1[[#This Row],[Order_Status]]="Delivered",Table1[[#This Row],[Delivery_Date]]&lt;&gt;"Not Yet Delivered"),Table1[[#This Row],[Delivery_Date]]-Table1[[#This Row],[Order_Date]],"Not Applicable")</f>
        <v>26</v>
      </c>
      <c r="M1654" s="14">
        <f>Table1[[#This Row],[Unit_Cost]]-Table1[[#This Row],[Negotiated_Cost]]</f>
        <v>389.26000000000022</v>
      </c>
      <c r="N1654" s="18">
        <f>Table1[[#This Row],[Defective_Units]]/Table1[[#This Row],[Quantity]]</f>
        <v>3.1446540880503146E-3</v>
      </c>
      <c r="O1654" s="26">
        <f>(Table1[[#This Row],[Unit_Cost]]-Table1[[#This Row],[Negotiated_Cost]])/Table1[[#This Row],[Unit_Cost]]</f>
        <v>3.432074012747504E-2</v>
      </c>
    </row>
    <row r="1655" spans="1:15" x14ac:dyDescent="0.25">
      <c r="A1655" t="s">
        <v>1690</v>
      </c>
      <c r="B1655" t="s">
        <v>17</v>
      </c>
      <c r="C1655" s="14" t="s">
        <v>18</v>
      </c>
      <c r="D1655" s="1">
        <v>45128</v>
      </c>
      <c r="E1655" s="13">
        <v>45138</v>
      </c>
      <c r="F1655" s="14" t="s">
        <v>14</v>
      </c>
      <c r="G1655">
        <v>229</v>
      </c>
      <c r="H1655">
        <v>4992.68</v>
      </c>
      <c r="I1655">
        <v>4938.42</v>
      </c>
      <c r="J1655">
        <v>3</v>
      </c>
      <c r="K1655" s="14" t="s">
        <v>15</v>
      </c>
      <c r="L1655" s="14">
        <f>IF(OR(Table1[[#This Row],[Order_Status]]="Delivered",Table1[[#This Row],[Delivery_Date]]&lt;&gt;"Not Yet Delivered"),Table1[[#This Row],[Delivery_Date]]-Table1[[#This Row],[Order_Date]],"Not Applicable")</f>
        <v>10</v>
      </c>
      <c r="M1655" s="14">
        <f>Table1[[#This Row],[Unit_Cost]]-Table1[[#This Row],[Negotiated_Cost]]</f>
        <v>54.260000000000218</v>
      </c>
      <c r="N1655" s="18">
        <f>Table1[[#This Row],[Defective_Units]]/Table1[[#This Row],[Quantity]]</f>
        <v>1.3100436681222707E-2</v>
      </c>
      <c r="O1655" s="26">
        <f>(Table1[[#This Row],[Unit_Cost]]-Table1[[#This Row],[Negotiated_Cost]])/Table1[[#This Row],[Unit_Cost]]</f>
        <v>1.0867910621149406E-2</v>
      </c>
    </row>
    <row r="1656" spans="1:15" x14ac:dyDescent="0.25">
      <c r="A1656" t="s">
        <v>1691</v>
      </c>
      <c r="B1656" t="s">
        <v>17</v>
      </c>
      <c r="C1656" s="14" t="s">
        <v>30</v>
      </c>
      <c r="D1656" s="1">
        <v>45538</v>
      </c>
      <c r="E1656" s="13">
        <v>45568</v>
      </c>
      <c r="F1656" s="14" t="s">
        <v>37</v>
      </c>
      <c r="G1656">
        <v>120</v>
      </c>
      <c r="H1656">
        <v>884.37</v>
      </c>
      <c r="I1656">
        <v>835.54</v>
      </c>
      <c r="J1656">
        <v>2</v>
      </c>
      <c r="K1656" s="14" t="s">
        <v>15</v>
      </c>
      <c r="L1656" s="14">
        <f>IF(OR(Table1[[#This Row],[Order_Status]]="Delivered",Table1[[#This Row],[Delivery_Date]]&lt;&gt;"Not Yet Delivered"),Table1[[#This Row],[Delivery_Date]]-Table1[[#This Row],[Order_Date]],"Not Applicable")</f>
        <v>30</v>
      </c>
      <c r="M1656" s="14">
        <f>Table1[[#This Row],[Unit_Cost]]-Table1[[#This Row],[Negotiated_Cost]]</f>
        <v>48.830000000000041</v>
      </c>
      <c r="N1656" s="18">
        <f>Table1[[#This Row],[Defective_Units]]/Table1[[#This Row],[Quantity]]</f>
        <v>1.6666666666666666E-2</v>
      </c>
      <c r="O1656" s="26">
        <f>(Table1[[#This Row],[Unit_Cost]]-Table1[[#This Row],[Negotiated_Cost]])/Table1[[#This Row],[Unit_Cost]]</f>
        <v>5.5214446442100072E-2</v>
      </c>
    </row>
    <row r="1657" spans="1:15" x14ac:dyDescent="0.25">
      <c r="A1657" t="s">
        <v>1692</v>
      </c>
      <c r="B1657" t="s">
        <v>35</v>
      </c>
      <c r="C1657" s="14" t="s">
        <v>50</v>
      </c>
      <c r="D1657" s="1">
        <v>45590</v>
      </c>
      <c r="E1657" s="13">
        <v>45609</v>
      </c>
      <c r="F1657" s="14" t="s">
        <v>14</v>
      </c>
      <c r="G1657">
        <v>186</v>
      </c>
      <c r="H1657">
        <v>52581.8</v>
      </c>
      <c r="I1657">
        <v>51127.27</v>
      </c>
      <c r="J1657">
        <v>0</v>
      </c>
      <c r="K1657" s="14" t="s">
        <v>15</v>
      </c>
      <c r="L1657" s="14">
        <f>IF(OR(Table1[[#This Row],[Order_Status]]="Delivered",Table1[[#This Row],[Delivery_Date]]&lt;&gt;"Not Yet Delivered"),Table1[[#This Row],[Delivery_Date]]-Table1[[#This Row],[Order_Date]],"Not Applicable")</f>
        <v>19</v>
      </c>
      <c r="M1657" s="14">
        <f>Table1[[#This Row],[Unit_Cost]]-Table1[[#This Row],[Negotiated_Cost]]</f>
        <v>1454.5300000000061</v>
      </c>
      <c r="N1657" s="18">
        <f>Table1[[#This Row],[Defective_Units]]/Table1[[#This Row],[Quantity]]</f>
        <v>0</v>
      </c>
      <c r="O1657" s="26">
        <f>(Table1[[#This Row],[Unit_Cost]]-Table1[[#This Row],[Negotiated_Cost]])/Table1[[#This Row],[Unit_Cost]]</f>
        <v>2.7662232939914686E-2</v>
      </c>
    </row>
    <row r="1658" spans="1:15" x14ac:dyDescent="0.25">
      <c r="A1658" t="s">
        <v>1693</v>
      </c>
      <c r="B1658" t="s">
        <v>32</v>
      </c>
      <c r="C1658" s="14" t="s">
        <v>55</v>
      </c>
      <c r="D1658" s="1">
        <v>45621</v>
      </c>
      <c r="E1658" s="14" t="s">
        <v>2057</v>
      </c>
      <c r="F1658" s="14" t="s">
        <v>33</v>
      </c>
      <c r="G1658">
        <v>42</v>
      </c>
      <c r="H1658">
        <v>14120.54</v>
      </c>
      <c r="I1658">
        <v>13588.87</v>
      </c>
      <c r="J1658">
        <v>2</v>
      </c>
      <c r="K1658" s="14" t="s">
        <v>15</v>
      </c>
      <c r="L1658" s="14" t="str">
        <f>IF(OR(Table1[[#This Row],[Order_Status]]="Delivered",Table1[[#This Row],[Delivery_Date]]&lt;&gt;"Not Yet Delivered"),Table1[[#This Row],[Delivery_Date]]-Table1[[#This Row],[Order_Date]],"Not Applicable")</f>
        <v>Not Applicable</v>
      </c>
      <c r="M1658" s="14">
        <f>Table1[[#This Row],[Unit_Cost]]-Table1[[#This Row],[Negotiated_Cost]]</f>
        <v>531.67000000000007</v>
      </c>
      <c r="N1658" s="18">
        <f>Table1[[#This Row],[Defective_Units]]/Table1[[#This Row],[Quantity]]</f>
        <v>4.7619047619047616E-2</v>
      </c>
      <c r="O1658" s="26">
        <f>(Table1[[#This Row],[Unit_Cost]]-Table1[[#This Row],[Negotiated_Cost]])/Table1[[#This Row],[Unit_Cost]]</f>
        <v>3.7652242761254173E-2</v>
      </c>
    </row>
    <row r="1659" spans="1:15" x14ac:dyDescent="0.25">
      <c r="A1659" t="s">
        <v>1694</v>
      </c>
      <c r="B1659" t="s">
        <v>35</v>
      </c>
      <c r="C1659" s="14" t="s">
        <v>13</v>
      </c>
      <c r="D1659" s="1">
        <v>45393</v>
      </c>
      <c r="E1659" s="13">
        <v>45414</v>
      </c>
      <c r="F1659" s="14" t="s">
        <v>37</v>
      </c>
      <c r="G1659">
        <v>444</v>
      </c>
      <c r="H1659">
        <v>4445.3500000000004</v>
      </c>
      <c r="I1659">
        <v>4190.6099999999997</v>
      </c>
      <c r="J1659">
        <v>6</v>
      </c>
      <c r="K1659" s="14" t="s">
        <v>15</v>
      </c>
      <c r="L1659" s="14">
        <f>IF(OR(Table1[[#This Row],[Order_Status]]="Delivered",Table1[[#This Row],[Delivery_Date]]&lt;&gt;"Not Yet Delivered"),Table1[[#This Row],[Delivery_Date]]-Table1[[#This Row],[Order_Date]],"Not Applicable")</f>
        <v>21</v>
      </c>
      <c r="M1659" s="14">
        <f>Table1[[#This Row],[Unit_Cost]]-Table1[[#This Row],[Negotiated_Cost]]</f>
        <v>254.74000000000069</v>
      </c>
      <c r="N1659" s="18">
        <f>Table1[[#This Row],[Defective_Units]]/Table1[[#This Row],[Quantity]]</f>
        <v>1.3513513513513514E-2</v>
      </c>
      <c r="O1659" s="26">
        <f>(Table1[[#This Row],[Unit_Cost]]-Table1[[#This Row],[Negotiated_Cost]])/Table1[[#This Row],[Unit_Cost]]</f>
        <v>5.7304824142081205E-2</v>
      </c>
    </row>
    <row r="1660" spans="1:15" x14ac:dyDescent="0.25">
      <c r="A1660" t="s">
        <v>1695</v>
      </c>
      <c r="B1660" t="s">
        <v>40</v>
      </c>
      <c r="C1660" s="14" t="s">
        <v>28</v>
      </c>
      <c r="D1660" s="1">
        <v>45101</v>
      </c>
      <c r="E1660" s="13">
        <v>45126</v>
      </c>
      <c r="F1660" s="14" t="s">
        <v>14</v>
      </c>
      <c r="G1660">
        <v>346</v>
      </c>
      <c r="H1660">
        <v>49302.35</v>
      </c>
      <c r="I1660">
        <v>46508.800000000003</v>
      </c>
      <c r="J1660">
        <v>6</v>
      </c>
      <c r="K1660" s="14" t="s">
        <v>15</v>
      </c>
      <c r="L1660" s="14">
        <f>IF(OR(Table1[[#This Row],[Order_Status]]="Delivered",Table1[[#This Row],[Delivery_Date]]&lt;&gt;"Not Yet Delivered"),Table1[[#This Row],[Delivery_Date]]-Table1[[#This Row],[Order_Date]],"Not Applicable")</f>
        <v>25</v>
      </c>
      <c r="M1660" s="14">
        <f>Table1[[#This Row],[Unit_Cost]]-Table1[[#This Row],[Negotiated_Cost]]</f>
        <v>2793.5499999999956</v>
      </c>
      <c r="N1660" s="18">
        <f>Table1[[#This Row],[Defective_Units]]/Table1[[#This Row],[Quantity]]</f>
        <v>1.7341040462427744E-2</v>
      </c>
      <c r="O1660" s="26">
        <f>(Table1[[#This Row],[Unit_Cost]]-Table1[[#This Row],[Negotiated_Cost]])/Table1[[#This Row],[Unit_Cost]]</f>
        <v>5.6661599294962527E-2</v>
      </c>
    </row>
    <row r="1661" spans="1:15" x14ac:dyDescent="0.25">
      <c r="A1661" t="s">
        <v>1696</v>
      </c>
      <c r="B1661" t="s">
        <v>17</v>
      </c>
      <c r="C1661" s="14" t="s">
        <v>44</v>
      </c>
      <c r="D1661" s="1">
        <v>45373</v>
      </c>
      <c r="E1661" s="14" t="s">
        <v>2057</v>
      </c>
      <c r="F1661" s="14" t="s">
        <v>22</v>
      </c>
      <c r="G1661">
        <v>205</v>
      </c>
      <c r="H1661">
        <v>8268.16</v>
      </c>
      <c r="I1661">
        <v>8099.29</v>
      </c>
      <c r="J1661">
        <v>2</v>
      </c>
      <c r="K1661" s="14" t="s">
        <v>15</v>
      </c>
      <c r="L1661" s="14" t="str">
        <f>IF(OR(Table1[[#This Row],[Order_Status]]="Delivered",Table1[[#This Row],[Delivery_Date]]&lt;&gt;"Not Yet Delivered"),Table1[[#This Row],[Delivery_Date]]-Table1[[#This Row],[Order_Date]],"Not Applicable")</f>
        <v>Not Applicable</v>
      </c>
      <c r="M1661" s="14">
        <f>Table1[[#This Row],[Unit_Cost]]-Table1[[#This Row],[Negotiated_Cost]]</f>
        <v>168.86999999999989</v>
      </c>
      <c r="N1661" s="18">
        <f>Table1[[#This Row],[Defective_Units]]/Table1[[#This Row],[Quantity]]</f>
        <v>9.7560975609756097E-3</v>
      </c>
      <c r="O1661" s="26">
        <f>(Table1[[#This Row],[Unit_Cost]]-Table1[[#This Row],[Negotiated_Cost]])/Table1[[#This Row],[Unit_Cost]]</f>
        <v>2.0424133059834339E-2</v>
      </c>
    </row>
    <row r="1662" spans="1:15" x14ac:dyDescent="0.25">
      <c r="A1662" t="s">
        <v>1697</v>
      </c>
      <c r="B1662" t="s">
        <v>35</v>
      </c>
      <c r="C1662" s="14" t="s">
        <v>24</v>
      </c>
      <c r="D1662" s="1">
        <v>45149</v>
      </c>
      <c r="E1662" s="13">
        <v>45155</v>
      </c>
      <c r="F1662" s="14" t="s">
        <v>14</v>
      </c>
      <c r="G1662">
        <v>128</v>
      </c>
      <c r="H1662">
        <v>12357.35</v>
      </c>
      <c r="I1662">
        <v>12321</v>
      </c>
      <c r="J1662">
        <v>2</v>
      </c>
      <c r="K1662" s="14" t="s">
        <v>15</v>
      </c>
      <c r="L1662" s="14">
        <f>IF(OR(Table1[[#This Row],[Order_Status]]="Delivered",Table1[[#This Row],[Delivery_Date]]&lt;&gt;"Not Yet Delivered"),Table1[[#This Row],[Delivery_Date]]-Table1[[#This Row],[Order_Date]],"Not Applicable")</f>
        <v>6</v>
      </c>
      <c r="M1662" s="14">
        <f>Table1[[#This Row],[Unit_Cost]]-Table1[[#This Row],[Negotiated_Cost]]</f>
        <v>36.350000000000364</v>
      </c>
      <c r="N1662" s="18">
        <f>Table1[[#This Row],[Defective_Units]]/Table1[[#This Row],[Quantity]]</f>
        <v>1.5625E-2</v>
      </c>
      <c r="O1662" s="26">
        <f>(Table1[[#This Row],[Unit_Cost]]-Table1[[#This Row],[Negotiated_Cost]])/Table1[[#This Row],[Unit_Cost]]</f>
        <v>2.9415691875685616E-3</v>
      </c>
    </row>
    <row r="1663" spans="1:15" x14ac:dyDescent="0.25">
      <c r="A1663" t="s">
        <v>1698</v>
      </c>
      <c r="B1663" t="s">
        <v>17</v>
      </c>
      <c r="C1663" s="14" t="s">
        <v>28</v>
      </c>
      <c r="D1663" s="1">
        <v>45369</v>
      </c>
      <c r="E1663" s="13">
        <v>45389</v>
      </c>
      <c r="F1663" s="14" t="s">
        <v>14</v>
      </c>
      <c r="G1663">
        <v>408</v>
      </c>
      <c r="H1663">
        <v>45078.91</v>
      </c>
      <c r="I1663">
        <v>42878.26</v>
      </c>
      <c r="J1663">
        <v>1</v>
      </c>
      <c r="K1663" s="14" t="s">
        <v>15</v>
      </c>
      <c r="L1663" s="14">
        <f>IF(OR(Table1[[#This Row],[Order_Status]]="Delivered",Table1[[#This Row],[Delivery_Date]]&lt;&gt;"Not Yet Delivered"),Table1[[#This Row],[Delivery_Date]]-Table1[[#This Row],[Order_Date]],"Not Applicable")</f>
        <v>20</v>
      </c>
      <c r="M1663" s="14">
        <f>Table1[[#This Row],[Unit_Cost]]-Table1[[#This Row],[Negotiated_Cost]]</f>
        <v>2200.6500000000015</v>
      </c>
      <c r="N1663" s="18">
        <f>Table1[[#This Row],[Defective_Units]]/Table1[[#This Row],[Quantity]]</f>
        <v>2.4509803921568627E-3</v>
      </c>
      <c r="O1663" s="26">
        <f>(Table1[[#This Row],[Unit_Cost]]-Table1[[#This Row],[Negotiated_Cost]])/Table1[[#This Row],[Unit_Cost]]</f>
        <v>4.8817728733902423E-2</v>
      </c>
    </row>
    <row r="1664" spans="1:15" x14ac:dyDescent="0.25">
      <c r="A1664" t="s">
        <v>1699</v>
      </c>
      <c r="B1664" t="s">
        <v>40</v>
      </c>
      <c r="C1664" s="14" t="s">
        <v>48</v>
      </c>
      <c r="D1664" s="1">
        <v>44937</v>
      </c>
      <c r="E1664" s="13">
        <v>44960</v>
      </c>
      <c r="F1664" s="14" t="s">
        <v>37</v>
      </c>
      <c r="G1664">
        <v>205</v>
      </c>
      <c r="H1664">
        <v>7142.22</v>
      </c>
      <c r="I1664">
        <v>6870.54</v>
      </c>
      <c r="J1664">
        <v>4</v>
      </c>
      <c r="K1664" s="14" t="s">
        <v>15</v>
      </c>
      <c r="L1664" s="14">
        <f>IF(OR(Table1[[#This Row],[Order_Status]]="Delivered",Table1[[#This Row],[Delivery_Date]]&lt;&gt;"Not Yet Delivered"),Table1[[#This Row],[Delivery_Date]]-Table1[[#This Row],[Order_Date]],"Not Applicable")</f>
        <v>23</v>
      </c>
      <c r="M1664" s="14">
        <f>Table1[[#This Row],[Unit_Cost]]-Table1[[#This Row],[Negotiated_Cost]]</f>
        <v>271.68000000000029</v>
      </c>
      <c r="N1664" s="18">
        <f>Table1[[#This Row],[Defective_Units]]/Table1[[#This Row],[Quantity]]</f>
        <v>1.9512195121951219E-2</v>
      </c>
      <c r="O1664" s="26">
        <f>(Table1[[#This Row],[Unit_Cost]]-Table1[[#This Row],[Negotiated_Cost]])/Table1[[#This Row],[Unit_Cost]]</f>
        <v>3.803859304249943E-2</v>
      </c>
    </row>
    <row r="1665" spans="1:15" x14ac:dyDescent="0.25">
      <c r="A1665" t="s">
        <v>1700</v>
      </c>
      <c r="B1665" t="s">
        <v>20</v>
      </c>
      <c r="C1665" s="14" t="s">
        <v>30</v>
      </c>
      <c r="D1665" s="1">
        <v>45035</v>
      </c>
      <c r="E1665" s="13">
        <v>45056</v>
      </c>
      <c r="F1665" s="14" t="s">
        <v>37</v>
      </c>
      <c r="G1665">
        <v>295</v>
      </c>
      <c r="H1665">
        <v>824.28</v>
      </c>
      <c r="I1665">
        <v>804.78</v>
      </c>
      <c r="J1665">
        <v>0</v>
      </c>
      <c r="K1665" s="14" t="s">
        <v>15</v>
      </c>
      <c r="L1665" s="14">
        <f>IF(OR(Table1[[#This Row],[Order_Status]]="Delivered",Table1[[#This Row],[Delivery_Date]]&lt;&gt;"Not Yet Delivered"),Table1[[#This Row],[Delivery_Date]]-Table1[[#This Row],[Order_Date]],"Not Applicable")</f>
        <v>21</v>
      </c>
      <c r="M1665" s="14">
        <f>Table1[[#This Row],[Unit_Cost]]-Table1[[#This Row],[Negotiated_Cost]]</f>
        <v>19.5</v>
      </c>
      <c r="N1665" s="18">
        <f>Table1[[#This Row],[Defective_Units]]/Table1[[#This Row],[Quantity]]</f>
        <v>0</v>
      </c>
      <c r="O1665" s="26">
        <f>(Table1[[#This Row],[Unit_Cost]]-Table1[[#This Row],[Negotiated_Cost]])/Table1[[#This Row],[Unit_Cost]]</f>
        <v>2.36570097539671E-2</v>
      </c>
    </row>
    <row r="1666" spans="1:15" x14ac:dyDescent="0.25">
      <c r="A1666" t="s">
        <v>1701</v>
      </c>
      <c r="B1666" t="s">
        <v>27</v>
      </c>
      <c r="C1666" s="14" t="s">
        <v>50</v>
      </c>
      <c r="D1666" s="1">
        <v>45572</v>
      </c>
      <c r="E1666" s="13">
        <v>45591</v>
      </c>
      <c r="F1666" s="14" t="s">
        <v>14</v>
      </c>
      <c r="G1666">
        <v>496</v>
      </c>
      <c r="H1666">
        <v>53228.160000000003</v>
      </c>
      <c r="I1666">
        <v>50127.21</v>
      </c>
      <c r="J1666">
        <v>2</v>
      </c>
      <c r="K1666" s="14" t="s">
        <v>15</v>
      </c>
      <c r="L1666" s="14">
        <f>IF(OR(Table1[[#This Row],[Order_Status]]="Delivered",Table1[[#This Row],[Delivery_Date]]&lt;&gt;"Not Yet Delivered"),Table1[[#This Row],[Delivery_Date]]-Table1[[#This Row],[Order_Date]],"Not Applicable")</f>
        <v>19</v>
      </c>
      <c r="M1666" s="14">
        <f>Table1[[#This Row],[Unit_Cost]]-Table1[[#This Row],[Negotiated_Cost]]</f>
        <v>3100.9500000000044</v>
      </c>
      <c r="N1666" s="18">
        <f>Table1[[#This Row],[Defective_Units]]/Table1[[#This Row],[Quantity]]</f>
        <v>4.0322580645161289E-3</v>
      </c>
      <c r="O1666" s="26">
        <f>(Table1[[#This Row],[Unit_Cost]]-Table1[[#This Row],[Negotiated_Cost]])/Table1[[#This Row],[Unit_Cost]]</f>
        <v>5.8257696677848796E-2</v>
      </c>
    </row>
    <row r="1667" spans="1:15" x14ac:dyDescent="0.25">
      <c r="A1667" t="s">
        <v>1702</v>
      </c>
      <c r="B1667" t="s">
        <v>20</v>
      </c>
      <c r="C1667" s="14" t="s">
        <v>21</v>
      </c>
      <c r="D1667" s="1">
        <v>45426</v>
      </c>
      <c r="E1667" s="13">
        <v>45446</v>
      </c>
      <c r="F1667" s="14" t="s">
        <v>14</v>
      </c>
      <c r="G1667">
        <v>33</v>
      </c>
      <c r="H1667">
        <v>111.4</v>
      </c>
      <c r="I1667">
        <v>108.81</v>
      </c>
      <c r="J1667">
        <v>0</v>
      </c>
      <c r="K1667" s="14" t="s">
        <v>15</v>
      </c>
      <c r="L1667" s="14">
        <f>IF(OR(Table1[[#This Row],[Order_Status]]="Delivered",Table1[[#This Row],[Delivery_Date]]&lt;&gt;"Not Yet Delivered"),Table1[[#This Row],[Delivery_Date]]-Table1[[#This Row],[Order_Date]],"Not Applicable")</f>
        <v>20</v>
      </c>
      <c r="M1667" s="14">
        <f>Table1[[#This Row],[Unit_Cost]]-Table1[[#This Row],[Negotiated_Cost]]</f>
        <v>2.5900000000000034</v>
      </c>
      <c r="N1667" s="18">
        <f>Table1[[#This Row],[Defective_Units]]/Table1[[#This Row],[Quantity]]</f>
        <v>0</v>
      </c>
      <c r="O1667" s="26">
        <f>(Table1[[#This Row],[Unit_Cost]]-Table1[[#This Row],[Negotiated_Cost]])/Table1[[#This Row],[Unit_Cost]]</f>
        <v>2.3249551166965917E-2</v>
      </c>
    </row>
    <row r="1668" spans="1:15" x14ac:dyDescent="0.25">
      <c r="A1668" t="s">
        <v>1703</v>
      </c>
      <c r="B1668" t="s">
        <v>20</v>
      </c>
      <c r="C1668" s="14" t="s">
        <v>13</v>
      </c>
      <c r="D1668" s="1">
        <v>45527</v>
      </c>
      <c r="E1668" s="13">
        <v>45554</v>
      </c>
      <c r="F1668" s="14" t="s">
        <v>14</v>
      </c>
      <c r="G1668">
        <v>498</v>
      </c>
      <c r="H1668">
        <v>3929.16</v>
      </c>
      <c r="I1668">
        <v>3809.61</v>
      </c>
      <c r="J1668">
        <v>9</v>
      </c>
      <c r="K1668" s="14" t="s">
        <v>15</v>
      </c>
      <c r="L1668" s="14">
        <f>IF(OR(Table1[[#This Row],[Order_Status]]="Delivered",Table1[[#This Row],[Delivery_Date]]&lt;&gt;"Not Yet Delivered"),Table1[[#This Row],[Delivery_Date]]-Table1[[#This Row],[Order_Date]],"Not Applicable")</f>
        <v>27</v>
      </c>
      <c r="M1668" s="14">
        <f>Table1[[#This Row],[Unit_Cost]]-Table1[[#This Row],[Negotiated_Cost]]</f>
        <v>119.54999999999973</v>
      </c>
      <c r="N1668" s="18">
        <f>Table1[[#This Row],[Defective_Units]]/Table1[[#This Row],[Quantity]]</f>
        <v>1.8072289156626505E-2</v>
      </c>
      <c r="O1668" s="26">
        <f>(Table1[[#This Row],[Unit_Cost]]-Table1[[#This Row],[Negotiated_Cost]])/Table1[[#This Row],[Unit_Cost]]</f>
        <v>3.0426350670372224E-2</v>
      </c>
    </row>
    <row r="1669" spans="1:15" x14ac:dyDescent="0.25">
      <c r="A1669" t="s">
        <v>1704</v>
      </c>
      <c r="B1669" t="s">
        <v>35</v>
      </c>
      <c r="C1669" s="14" t="s">
        <v>21</v>
      </c>
      <c r="D1669" s="1">
        <v>45515</v>
      </c>
      <c r="E1669" s="13">
        <v>45528</v>
      </c>
      <c r="F1669" s="14" t="s">
        <v>14</v>
      </c>
      <c r="G1669">
        <v>236</v>
      </c>
      <c r="H1669">
        <v>127.14</v>
      </c>
      <c r="I1669">
        <v>126.36</v>
      </c>
      <c r="J1669">
        <v>0</v>
      </c>
      <c r="K1669" s="14" t="s">
        <v>15</v>
      </c>
      <c r="L1669" s="14">
        <f>IF(OR(Table1[[#This Row],[Order_Status]]="Delivered",Table1[[#This Row],[Delivery_Date]]&lt;&gt;"Not Yet Delivered"),Table1[[#This Row],[Delivery_Date]]-Table1[[#This Row],[Order_Date]],"Not Applicable")</f>
        <v>13</v>
      </c>
      <c r="M1669" s="14">
        <f>Table1[[#This Row],[Unit_Cost]]-Table1[[#This Row],[Negotiated_Cost]]</f>
        <v>0.78000000000000114</v>
      </c>
      <c r="N1669" s="18">
        <f>Table1[[#This Row],[Defective_Units]]/Table1[[#This Row],[Quantity]]</f>
        <v>0</v>
      </c>
      <c r="O1669" s="26">
        <f>(Table1[[#This Row],[Unit_Cost]]-Table1[[#This Row],[Negotiated_Cost]])/Table1[[#This Row],[Unit_Cost]]</f>
        <v>6.1349693251533831E-3</v>
      </c>
    </row>
    <row r="1670" spans="1:15" x14ac:dyDescent="0.25">
      <c r="A1670" t="s">
        <v>1705</v>
      </c>
      <c r="B1670" t="s">
        <v>40</v>
      </c>
      <c r="C1670" s="14" t="s">
        <v>24</v>
      </c>
      <c r="D1670" s="1">
        <v>45168</v>
      </c>
      <c r="E1670" s="13">
        <v>45182</v>
      </c>
      <c r="F1670" s="14" t="s">
        <v>14</v>
      </c>
      <c r="G1670">
        <v>495</v>
      </c>
      <c r="H1670">
        <v>13241.31</v>
      </c>
      <c r="I1670">
        <v>12703.1</v>
      </c>
      <c r="J1670">
        <v>8</v>
      </c>
      <c r="K1670" s="14" t="s">
        <v>15</v>
      </c>
      <c r="L1670" s="14">
        <f>IF(OR(Table1[[#This Row],[Order_Status]]="Delivered",Table1[[#This Row],[Delivery_Date]]&lt;&gt;"Not Yet Delivered"),Table1[[#This Row],[Delivery_Date]]-Table1[[#This Row],[Order_Date]],"Not Applicable")</f>
        <v>14</v>
      </c>
      <c r="M1670" s="14">
        <f>Table1[[#This Row],[Unit_Cost]]-Table1[[#This Row],[Negotiated_Cost]]</f>
        <v>538.20999999999913</v>
      </c>
      <c r="N1670" s="18">
        <f>Table1[[#This Row],[Defective_Units]]/Table1[[#This Row],[Quantity]]</f>
        <v>1.6161616161616162E-2</v>
      </c>
      <c r="O1670" s="26">
        <f>(Table1[[#This Row],[Unit_Cost]]-Table1[[#This Row],[Negotiated_Cost]])/Table1[[#This Row],[Unit_Cost]]</f>
        <v>4.0646280466207586E-2</v>
      </c>
    </row>
    <row r="1671" spans="1:15" x14ac:dyDescent="0.25">
      <c r="A1671" t="s">
        <v>1706</v>
      </c>
      <c r="B1671" t="s">
        <v>35</v>
      </c>
      <c r="C1671" s="14" t="s">
        <v>24</v>
      </c>
      <c r="D1671" s="1">
        <v>45400</v>
      </c>
      <c r="E1671" s="14" t="s">
        <v>2057</v>
      </c>
      <c r="F1671" s="14" t="s">
        <v>33</v>
      </c>
      <c r="G1671">
        <v>236</v>
      </c>
      <c r="H1671">
        <v>13241.38</v>
      </c>
      <c r="I1671">
        <v>12580.52</v>
      </c>
      <c r="J1671">
        <v>2</v>
      </c>
      <c r="K1671" s="14" t="s">
        <v>15</v>
      </c>
      <c r="L1671" s="14" t="str">
        <f>IF(OR(Table1[[#This Row],[Order_Status]]="Delivered",Table1[[#This Row],[Delivery_Date]]&lt;&gt;"Not Yet Delivered"),Table1[[#This Row],[Delivery_Date]]-Table1[[#This Row],[Order_Date]],"Not Applicable")</f>
        <v>Not Applicable</v>
      </c>
      <c r="M1671" s="14">
        <f>Table1[[#This Row],[Unit_Cost]]-Table1[[#This Row],[Negotiated_Cost]]</f>
        <v>660.85999999999876</v>
      </c>
      <c r="N1671" s="18">
        <f>Table1[[#This Row],[Defective_Units]]/Table1[[#This Row],[Quantity]]</f>
        <v>8.4745762711864406E-3</v>
      </c>
      <c r="O1671" s="26">
        <f>(Table1[[#This Row],[Unit_Cost]]-Table1[[#This Row],[Negotiated_Cost]])/Table1[[#This Row],[Unit_Cost]]</f>
        <v>4.9908695317255364E-2</v>
      </c>
    </row>
    <row r="1672" spans="1:15" x14ac:dyDescent="0.25">
      <c r="A1672" t="s">
        <v>1707</v>
      </c>
      <c r="B1672" t="s">
        <v>17</v>
      </c>
      <c r="C1672" s="14" t="s">
        <v>55</v>
      </c>
      <c r="D1672" s="1">
        <v>45589</v>
      </c>
      <c r="E1672" s="13">
        <v>45592</v>
      </c>
      <c r="F1672" s="14" t="s">
        <v>14</v>
      </c>
      <c r="G1672">
        <v>307</v>
      </c>
      <c r="H1672">
        <v>13421.24</v>
      </c>
      <c r="I1672">
        <v>12915.18</v>
      </c>
      <c r="J1672">
        <v>1</v>
      </c>
      <c r="K1672" s="14" t="s">
        <v>25</v>
      </c>
      <c r="L1672" s="14">
        <f>IF(OR(Table1[[#This Row],[Order_Status]]="Delivered",Table1[[#This Row],[Delivery_Date]]&lt;&gt;"Not Yet Delivered"),Table1[[#This Row],[Delivery_Date]]-Table1[[#This Row],[Order_Date]],"Not Applicable")</f>
        <v>3</v>
      </c>
      <c r="M1672" s="14">
        <f>Table1[[#This Row],[Unit_Cost]]-Table1[[#This Row],[Negotiated_Cost]]</f>
        <v>506.05999999999949</v>
      </c>
      <c r="N1672" s="18">
        <f>Table1[[#This Row],[Defective_Units]]/Table1[[#This Row],[Quantity]]</f>
        <v>3.2573289902280132E-3</v>
      </c>
      <c r="O1672" s="26">
        <f>(Table1[[#This Row],[Unit_Cost]]-Table1[[#This Row],[Negotiated_Cost]])/Table1[[#This Row],[Unit_Cost]]</f>
        <v>3.7705904968542363E-2</v>
      </c>
    </row>
    <row r="1673" spans="1:15" x14ac:dyDescent="0.25">
      <c r="A1673" t="s">
        <v>1708</v>
      </c>
      <c r="B1673" t="s">
        <v>27</v>
      </c>
      <c r="C1673" s="14" t="s">
        <v>18</v>
      </c>
      <c r="D1673" s="1">
        <v>45511</v>
      </c>
      <c r="E1673" s="13">
        <v>45528</v>
      </c>
      <c r="F1673" s="14" t="s">
        <v>14</v>
      </c>
      <c r="G1673">
        <v>331</v>
      </c>
      <c r="H1673">
        <v>5528.25</v>
      </c>
      <c r="I1673">
        <v>5525.93</v>
      </c>
      <c r="J1673">
        <v>4</v>
      </c>
      <c r="K1673" s="14" t="s">
        <v>15</v>
      </c>
      <c r="L1673" s="14">
        <f>IF(OR(Table1[[#This Row],[Order_Status]]="Delivered",Table1[[#This Row],[Delivery_Date]]&lt;&gt;"Not Yet Delivered"),Table1[[#This Row],[Delivery_Date]]-Table1[[#This Row],[Order_Date]],"Not Applicable")</f>
        <v>17</v>
      </c>
      <c r="M1673" s="14">
        <f>Table1[[#This Row],[Unit_Cost]]-Table1[[#This Row],[Negotiated_Cost]]</f>
        <v>2.319999999999709</v>
      </c>
      <c r="N1673" s="18">
        <f>Table1[[#This Row],[Defective_Units]]/Table1[[#This Row],[Quantity]]</f>
        <v>1.2084592145015106E-2</v>
      </c>
      <c r="O1673" s="26">
        <f>(Table1[[#This Row],[Unit_Cost]]-Table1[[#This Row],[Negotiated_Cost]])/Table1[[#This Row],[Unit_Cost]]</f>
        <v>4.1966264188481148E-4</v>
      </c>
    </row>
    <row r="1674" spans="1:15" x14ac:dyDescent="0.25">
      <c r="A1674" t="s">
        <v>1709</v>
      </c>
      <c r="B1674" t="s">
        <v>32</v>
      </c>
      <c r="C1674" s="14" t="s">
        <v>55</v>
      </c>
      <c r="D1674" s="1">
        <v>45521</v>
      </c>
      <c r="E1674" s="13">
        <v>45550</v>
      </c>
      <c r="F1674" s="14" t="s">
        <v>14</v>
      </c>
      <c r="G1674">
        <v>423</v>
      </c>
      <c r="H1674">
        <v>12618.98</v>
      </c>
      <c r="I1674">
        <v>12273.7</v>
      </c>
      <c r="J1674">
        <v>8</v>
      </c>
      <c r="K1674" s="14" t="s">
        <v>25</v>
      </c>
      <c r="L1674" s="14">
        <f>IF(OR(Table1[[#This Row],[Order_Status]]="Delivered",Table1[[#This Row],[Delivery_Date]]&lt;&gt;"Not Yet Delivered"),Table1[[#This Row],[Delivery_Date]]-Table1[[#This Row],[Order_Date]],"Not Applicable")</f>
        <v>29</v>
      </c>
      <c r="M1674" s="14">
        <f>Table1[[#This Row],[Unit_Cost]]-Table1[[#This Row],[Negotiated_Cost]]</f>
        <v>345.27999999999884</v>
      </c>
      <c r="N1674" s="18">
        <f>Table1[[#This Row],[Defective_Units]]/Table1[[#This Row],[Quantity]]</f>
        <v>1.8912529550827423E-2</v>
      </c>
      <c r="O1674" s="26">
        <f>(Table1[[#This Row],[Unit_Cost]]-Table1[[#This Row],[Negotiated_Cost]])/Table1[[#This Row],[Unit_Cost]]</f>
        <v>2.7361957939548112E-2</v>
      </c>
    </row>
    <row r="1675" spans="1:15" x14ac:dyDescent="0.25">
      <c r="A1675" t="s">
        <v>1710</v>
      </c>
      <c r="B1675" t="s">
        <v>35</v>
      </c>
      <c r="C1675" s="14" t="s">
        <v>21</v>
      </c>
      <c r="D1675" s="1">
        <v>45618</v>
      </c>
      <c r="E1675" s="13">
        <v>45624</v>
      </c>
      <c r="F1675" s="14" t="s">
        <v>14</v>
      </c>
      <c r="G1675">
        <v>27</v>
      </c>
      <c r="H1675">
        <v>113.86</v>
      </c>
      <c r="J1675">
        <v>0</v>
      </c>
      <c r="K1675" s="14" t="s">
        <v>15</v>
      </c>
      <c r="L1675" s="14">
        <f>IF(OR(Table1[[#This Row],[Order_Status]]="Delivered",Table1[[#This Row],[Delivery_Date]]&lt;&gt;"Not Yet Delivered"),Table1[[#This Row],[Delivery_Date]]-Table1[[#This Row],[Order_Date]],"Not Applicable")</f>
        <v>6</v>
      </c>
      <c r="M1675" s="14">
        <f>Table1[[#This Row],[Unit_Cost]]-Table1[[#This Row],[Negotiated_Cost]]</f>
        <v>113.86</v>
      </c>
      <c r="N1675" s="18">
        <f>Table1[[#This Row],[Defective_Units]]/Table1[[#This Row],[Quantity]]</f>
        <v>0</v>
      </c>
      <c r="O1675" s="26">
        <f>(Table1[[#This Row],[Unit_Cost]]-Table1[[#This Row],[Negotiated_Cost]])/Table1[[#This Row],[Unit_Cost]]</f>
        <v>1</v>
      </c>
    </row>
    <row r="1676" spans="1:15" x14ac:dyDescent="0.25">
      <c r="A1676" t="s">
        <v>1711</v>
      </c>
      <c r="B1676" t="s">
        <v>35</v>
      </c>
      <c r="C1676" s="14" t="s">
        <v>21</v>
      </c>
      <c r="D1676" s="1">
        <v>45414</v>
      </c>
      <c r="E1676" s="13">
        <v>45420</v>
      </c>
      <c r="F1676" s="14" t="s">
        <v>14</v>
      </c>
      <c r="G1676">
        <v>358</v>
      </c>
      <c r="H1676">
        <v>113.84</v>
      </c>
      <c r="I1676">
        <v>111.9</v>
      </c>
      <c r="J1676">
        <v>8</v>
      </c>
      <c r="K1676" s="14" t="s">
        <v>15</v>
      </c>
      <c r="L1676" s="14">
        <f>IF(OR(Table1[[#This Row],[Order_Status]]="Delivered",Table1[[#This Row],[Delivery_Date]]&lt;&gt;"Not Yet Delivered"),Table1[[#This Row],[Delivery_Date]]-Table1[[#This Row],[Order_Date]],"Not Applicable")</f>
        <v>6</v>
      </c>
      <c r="M1676" s="14">
        <f>Table1[[#This Row],[Unit_Cost]]-Table1[[#This Row],[Negotiated_Cost]]</f>
        <v>1.9399999999999977</v>
      </c>
      <c r="N1676" s="18">
        <f>Table1[[#This Row],[Defective_Units]]/Table1[[#This Row],[Quantity]]</f>
        <v>2.23463687150838E-2</v>
      </c>
      <c r="O1676" s="26">
        <f>(Table1[[#This Row],[Unit_Cost]]-Table1[[#This Row],[Negotiated_Cost]])/Table1[[#This Row],[Unit_Cost]]</f>
        <v>1.7041461700632445E-2</v>
      </c>
    </row>
    <row r="1677" spans="1:15" x14ac:dyDescent="0.25">
      <c r="A1677" t="s">
        <v>1712</v>
      </c>
      <c r="B1677" t="s">
        <v>27</v>
      </c>
      <c r="C1677" s="14" t="s">
        <v>13</v>
      </c>
      <c r="D1677" s="1">
        <v>45110</v>
      </c>
      <c r="E1677" s="13">
        <v>45136</v>
      </c>
      <c r="F1677" s="14" t="s">
        <v>14</v>
      </c>
      <c r="G1677">
        <v>409</v>
      </c>
      <c r="H1677">
        <v>4052.54</v>
      </c>
      <c r="I1677">
        <v>3936.83</v>
      </c>
      <c r="J1677">
        <v>12</v>
      </c>
      <c r="K1677" s="14" t="s">
        <v>15</v>
      </c>
      <c r="L1677" s="14">
        <f>IF(OR(Table1[[#This Row],[Order_Status]]="Delivered",Table1[[#This Row],[Delivery_Date]]&lt;&gt;"Not Yet Delivered"),Table1[[#This Row],[Delivery_Date]]-Table1[[#This Row],[Order_Date]],"Not Applicable")</f>
        <v>26</v>
      </c>
      <c r="M1677" s="14">
        <f>Table1[[#This Row],[Unit_Cost]]-Table1[[#This Row],[Negotiated_Cost]]</f>
        <v>115.71000000000004</v>
      </c>
      <c r="N1677" s="18">
        <f>Table1[[#This Row],[Defective_Units]]/Table1[[#This Row],[Quantity]]</f>
        <v>2.9339853300733496E-2</v>
      </c>
      <c r="O1677" s="26">
        <f>(Table1[[#This Row],[Unit_Cost]]-Table1[[#This Row],[Negotiated_Cost]])/Table1[[#This Row],[Unit_Cost]]</f>
        <v>2.8552463393328637E-2</v>
      </c>
    </row>
    <row r="1678" spans="1:15" x14ac:dyDescent="0.25">
      <c r="A1678" t="s">
        <v>1713</v>
      </c>
      <c r="B1678" t="s">
        <v>17</v>
      </c>
      <c r="C1678" s="14" t="s">
        <v>50</v>
      </c>
      <c r="D1678" s="1">
        <v>45293</v>
      </c>
      <c r="E1678" s="13">
        <v>45312</v>
      </c>
      <c r="F1678" s="14" t="s">
        <v>14</v>
      </c>
      <c r="G1678">
        <v>493</v>
      </c>
      <c r="H1678">
        <v>50891.64</v>
      </c>
      <c r="I1678">
        <v>48388.67</v>
      </c>
      <c r="J1678">
        <v>6</v>
      </c>
      <c r="K1678" s="14" t="s">
        <v>15</v>
      </c>
      <c r="L1678" s="14">
        <f>IF(OR(Table1[[#This Row],[Order_Status]]="Delivered",Table1[[#This Row],[Delivery_Date]]&lt;&gt;"Not Yet Delivered"),Table1[[#This Row],[Delivery_Date]]-Table1[[#This Row],[Order_Date]],"Not Applicable")</f>
        <v>19</v>
      </c>
      <c r="M1678" s="14">
        <f>Table1[[#This Row],[Unit_Cost]]-Table1[[#This Row],[Negotiated_Cost]]</f>
        <v>2502.9700000000012</v>
      </c>
      <c r="N1678" s="18">
        <f>Table1[[#This Row],[Defective_Units]]/Table1[[#This Row],[Quantity]]</f>
        <v>1.2170385395537525E-2</v>
      </c>
      <c r="O1678" s="26">
        <f>(Table1[[#This Row],[Unit_Cost]]-Table1[[#This Row],[Negotiated_Cost]])/Table1[[#This Row],[Unit_Cost]]</f>
        <v>4.9182341146797412E-2</v>
      </c>
    </row>
    <row r="1679" spans="1:15" x14ac:dyDescent="0.25">
      <c r="A1679" t="s">
        <v>1714</v>
      </c>
      <c r="B1679" t="s">
        <v>46</v>
      </c>
      <c r="C1679" s="14" t="s">
        <v>18</v>
      </c>
      <c r="D1679" s="1">
        <v>45438</v>
      </c>
      <c r="E1679" s="14" t="s">
        <v>2057</v>
      </c>
      <c r="F1679" s="14" t="s">
        <v>33</v>
      </c>
      <c r="G1679">
        <v>120</v>
      </c>
      <c r="H1679">
        <v>4846.87</v>
      </c>
      <c r="I1679">
        <v>4767.6000000000004</v>
      </c>
      <c r="J1679">
        <v>2</v>
      </c>
      <c r="K1679" s="14" t="s">
        <v>15</v>
      </c>
      <c r="L1679" s="14" t="str">
        <f>IF(OR(Table1[[#This Row],[Order_Status]]="Delivered",Table1[[#This Row],[Delivery_Date]]&lt;&gt;"Not Yet Delivered"),Table1[[#This Row],[Delivery_Date]]-Table1[[#This Row],[Order_Date]],"Not Applicable")</f>
        <v>Not Applicable</v>
      </c>
      <c r="M1679" s="14">
        <f>Table1[[#This Row],[Unit_Cost]]-Table1[[#This Row],[Negotiated_Cost]]</f>
        <v>79.269999999999527</v>
      </c>
      <c r="N1679" s="18">
        <f>Table1[[#This Row],[Defective_Units]]/Table1[[#This Row],[Quantity]]</f>
        <v>1.6666666666666666E-2</v>
      </c>
      <c r="O1679" s="26">
        <f>(Table1[[#This Row],[Unit_Cost]]-Table1[[#This Row],[Negotiated_Cost]])/Table1[[#This Row],[Unit_Cost]]</f>
        <v>1.6354884698784891E-2</v>
      </c>
    </row>
    <row r="1680" spans="1:15" x14ac:dyDescent="0.25">
      <c r="A1680" t="s">
        <v>1715</v>
      </c>
      <c r="B1680" t="s">
        <v>46</v>
      </c>
      <c r="C1680" s="14" t="s">
        <v>36</v>
      </c>
      <c r="D1680" s="1">
        <v>45300</v>
      </c>
      <c r="E1680" s="13">
        <v>45323</v>
      </c>
      <c r="F1680" s="14" t="s">
        <v>14</v>
      </c>
      <c r="G1680">
        <v>120</v>
      </c>
      <c r="H1680">
        <v>537.96</v>
      </c>
      <c r="I1680">
        <v>517.33000000000004</v>
      </c>
      <c r="J1680">
        <v>1</v>
      </c>
      <c r="K1680" s="14" t="s">
        <v>15</v>
      </c>
      <c r="L1680" s="14">
        <f>IF(OR(Table1[[#This Row],[Order_Status]]="Delivered",Table1[[#This Row],[Delivery_Date]]&lt;&gt;"Not Yet Delivered"),Table1[[#This Row],[Delivery_Date]]-Table1[[#This Row],[Order_Date]],"Not Applicable")</f>
        <v>23</v>
      </c>
      <c r="M1680" s="14">
        <f>Table1[[#This Row],[Unit_Cost]]-Table1[[#This Row],[Negotiated_Cost]]</f>
        <v>20.629999999999995</v>
      </c>
      <c r="N1680" s="18">
        <f>Table1[[#This Row],[Defective_Units]]/Table1[[#This Row],[Quantity]]</f>
        <v>8.3333333333333332E-3</v>
      </c>
      <c r="O1680" s="26">
        <f>(Table1[[#This Row],[Unit_Cost]]-Table1[[#This Row],[Negotiated_Cost]])/Table1[[#This Row],[Unit_Cost]]</f>
        <v>3.8348576102312432E-2</v>
      </c>
    </row>
    <row r="1681" spans="1:15" x14ac:dyDescent="0.25">
      <c r="A1681" t="s">
        <v>1716</v>
      </c>
      <c r="B1681" t="s">
        <v>17</v>
      </c>
      <c r="C1681" s="14" t="s">
        <v>50</v>
      </c>
      <c r="D1681" s="1">
        <v>45131</v>
      </c>
      <c r="E1681" s="13">
        <v>45137</v>
      </c>
      <c r="F1681" s="14" t="s">
        <v>14</v>
      </c>
      <c r="G1681">
        <v>453</v>
      </c>
      <c r="H1681">
        <v>49534.2</v>
      </c>
      <c r="I1681">
        <v>47273.85</v>
      </c>
      <c r="J1681">
        <v>9</v>
      </c>
      <c r="K1681" s="14" t="s">
        <v>15</v>
      </c>
      <c r="L1681" s="14">
        <f>IF(OR(Table1[[#This Row],[Order_Status]]="Delivered",Table1[[#This Row],[Delivery_Date]]&lt;&gt;"Not Yet Delivered"),Table1[[#This Row],[Delivery_Date]]-Table1[[#This Row],[Order_Date]],"Not Applicable")</f>
        <v>6</v>
      </c>
      <c r="M1681" s="14">
        <f>Table1[[#This Row],[Unit_Cost]]-Table1[[#This Row],[Negotiated_Cost]]</f>
        <v>2260.3499999999985</v>
      </c>
      <c r="N1681" s="18">
        <f>Table1[[#This Row],[Defective_Units]]/Table1[[#This Row],[Quantity]]</f>
        <v>1.9867549668874173E-2</v>
      </c>
      <c r="O1681" s="26">
        <f>(Table1[[#This Row],[Unit_Cost]]-Table1[[#This Row],[Negotiated_Cost]])/Table1[[#This Row],[Unit_Cost]]</f>
        <v>4.5632108724880965E-2</v>
      </c>
    </row>
    <row r="1682" spans="1:15" x14ac:dyDescent="0.25">
      <c r="A1682" t="s">
        <v>1717</v>
      </c>
      <c r="B1682" t="s">
        <v>27</v>
      </c>
      <c r="C1682" s="14" t="s">
        <v>55</v>
      </c>
      <c r="D1682" s="1">
        <v>45646</v>
      </c>
      <c r="E1682" s="13">
        <v>45655</v>
      </c>
      <c r="F1682" s="14" t="s">
        <v>14</v>
      </c>
      <c r="G1682">
        <v>105</v>
      </c>
      <c r="H1682">
        <v>15108.88</v>
      </c>
      <c r="I1682">
        <v>14886.35</v>
      </c>
      <c r="J1682">
        <v>0</v>
      </c>
      <c r="K1682" s="14" t="s">
        <v>15</v>
      </c>
      <c r="L1682" s="14">
        <f>IF(OR(Table1[[#This Row],[Order_Status]]="Delivered",Table1[[#This Row],[Delivery_Date]]&lt;&gt;"Not Yet Delivered"),Table1[[#This Row],[Delivery_Date]]-Table1[[#This Row],[Order_Date]],"Not Applicable")</f>
        <v>9</v>
      </c>
      <c r="M1682" s="14">
        <f>Table1[[#This Row],[Unit_Cost]]-Table1[[#This Row],[Negotiated_Cost]]</f>
        <v>222.52999999999884</v>
      </c>
      <c r="N1682" s="18">
        <f>Table1[[#This Row],[Defective_Units]]/Table1[[#This Row],[Quantity]]</f>
        <v>0</v>
      </c>
      <c r="O1682" s="26">
        <f>(Table1[[#This Row],[Unit_Cost]]-Table1[[#This Row],[Negotiated_Cost]])/Table1[[#This Row],[Unit_Cost]]</f>
        <v>1.4728424608574485E-2</v>
      </c>
    </row>
    <row r="1683" spans="1:15" x14ac:dyDescent="0.25">
      <c r="A1683" t="s">
        <v>1718</v>
      </c>
      <c r="B1683" t="s">
        <v>27</v>
      </c>
      <c r="C1683" s="14" t="s">
        <v>21</v>
      </c>
      <c r="D1683" s="1">
        <v>45064</v>
      </c>
      <c r="E1683" s="13">
        <v>45088</v>
      </c>
      <c r="F1683" s="14" t="s">
        <v>14</v>
      </c>
      <c r="G1683">
        <v>438</v>
      </c>
      <c r="H1683">
        <v>121.56</v>
      </c>
      <c r="I1683">
        <v>118.29</v>
      </c>
      <c r="J1683">
        <v>1</v>
      </c>
      <c r="K1683" s="14" t="s">
        <v>15</v>
      </c>
      <c r="L1683" s="14">
        <f>IF(OR(Table1[[#This Row],[Order_Status]]="Delivered",Table1[[#This Row],[Delivery_Date]]&lt;&gt;"Not Yet Delivered"),Table1[[#This Row],[Delivery_Date]]-Table1[[#This Row],[Order_Date]],"Not Applicable")</f>
        <v>24</v>
      </c>
      <c r="M1683" s="14">
        <f>Table1[[#This Row],[Unit_Cost]]-Table1[[#This Row],[Negotiated_Cost]]</f>
        <v>3.269999999999996</v>
      </c>
      <c r="N1683" s="18">
        <f>Table1[[#This Row],[Defective_Units]]/Table1[[#This Row],[Quantity]]</f>
        <v>2.2831050228310501E-3</v>
      </c>
      <c r="O1683" s="26">
        <f>(Table1[[#This Row],[Unit_Cost]]-Table1[[#This Row],[Negotiated_Cost]])/Table1[[#This Row],[Unit_Cost]]</f>
        <v>2.6900296150049324E-2</v>
      </c>
    </row>
    <row r="1684" spans="1:15" x14ac:dyDescent="0.25">
      <c r="A1684" t="s">
        <v>1719</v>
      </c>
      <c r="B1684" t="s">
        <v>20</v>
      </c>
      <c r="C1684" s="14" t="s">
        <v>44</v>
      </c>
      <c r="D1684" s="1">
        <v>45246</v>
      </c>
      <c r="E1684" s="14" t="s">
        <v>2057</v>
      </c>
      <c r="F1684" s="14" t="s">
        <v>33</v>
      </c>
      <c r="G1684">
        <v>226</v>
      </c>
      <c r="H1684">
        <v>7853.54</v>
      </c>
      <c r="I1684">
        <v>7546.2</v>
      </c>
      <c r="J1684">
        <v>2</v>
      </c>
      <c r="K1684" s="14" t="s">
        <v>15</v>
      </c>
      <c r="L1684" s="14" t="str">
        <f>IF(OR(Table1[[#This Row],[Order_Status]]="Delivered",Table1[[#This Row],[Delivery_Date]]&lt;&gt;"Not Yet Delivered"),Table1[[#This Row],[Delivery_Date]]-Table1[[#This Row],[Order_Date]],"Not Applicable")</f>
        <v>Not Applicable</v>
      </c>
      <c r="M1684" s="14">
        <f>Table1[[#This Row],[Unit_Cost]]-Table1[[#This Row],[Negotiated_Cost]]</f>
        <v>307.34000000000015</v>
      </c>
      <c r="N1684" s="18">
        <f>Table1[[#This Row],[Defective_Units]]/Table1[[#This Row],[Quantity]]</f>
        <v>8.8495575221238937E-3</v>
      </c>
      <c r="O1684" s="26">
        <f>(Table1[[#This Row],[Unit_Cost]]-Table1[[#This Row],[Negotiated_Cost]])/Table1[[#This Row],[Unit_Cost]]</f>
        <v>3.9133944692457179E-2</v>
      </c>
    </row>
    <row r="1685" spans="1:15" x14ac:dyDescent="0.25">
      <c r="A1685" t="s">
        <v>1720</v>
      </c>
      <c r="B1685" t="s">
        <v>20</v>
      </c>
      <c r="C1685" s="14" t="s">
        <v>55</v>
      </c>
      <c r="D1685" s="1">
        <v>45390</v>
      </c>
      <c r="E1685" s="13">
        <v>45406</v>
      </c>
      <c r="F1685" s="14" t="s">
        <v>14</v>
      </c>
      <c r="G1685">
        <v>192</v>
      </c>
      <c r="H1685">
        <v>14561.08</v>
      </c>
      <c r="I1685">
        <v>14298.43</v>
      </c>
      <c r="J1685">
        <v>5</v>
      </c>
      <c r="K1685" s="14" t="s">
        <v>15</v>
      </c>
      <c r="L1685" s="14">
        <f>IF(OR(Table1[[#This Row],[Order_Status]]="Delivered",Table1[[#This Row],[Delivery_Date]]&lt;&gt;"Not Yet Delivered"),Table1[[#This Row],[Delivery_Date]]-Table1[[#This Row],[Order_Date]],"Not Applicable")</f>
        <v>16</v>
      </c>
      <c r="M1685" s="14">
        <f>Table1[[#This Row],[Unit_Cost]]-Table1[[#This Row],[Negotiated_Cost]]</f>
        <v>262.64999999999964</v>
      </c>
      <c r="N1685" s="18">
        <f>Table1[[#This Row],[Defective_Units]]/Table1[[#This Row],[Quantity]]</f>
        <v>2.6041666666666668E-2</v>
      </c>
      <c r="O1685" s="26">
        <f>(Table1[[#This Row],[Unit_Cost]]-Table1[[#This Row],[Negotiated_Cost]])/Table1[[#This Row],[Unit_Cost]]</f>
        <v>1.80378103821969E-2</v>
      </c>
    </row>
    <row r="1686" spans="1:15" x14ac:dyDescent="0.25">
      <c r="A1686" t="s">
        <v>1721</v>
      </c>
      <c r="B1686" t="s">
        <v>27</v>
      </c>
      <c r="C1686" s="14" t="s">
        <v>42</v>
      </c>
      <c r="D1686" s="1">
        <v>45200</v>
      </c>
      <c r="E1686" s="13">
        <v>45208</v>
      </c>
      <c r="F1686" s="14" t="s">
        <v>14</v>
      </c>
      <c r="G1686">
        <v>337</v>
      </c>
      <c r="H1686">
        <v>11803.31</v>
      </c>
      <c r="I1686">
        <v>11174.32</v>
      </c>
      <c r="J1686">
        <v>4</v>
      </c>
      <c r="K1686" s="14" t="s">
        <v>25</v>
      </c>
      <c r="L1686" s="14">
        <f>IF(OR(Table1[[#This Row],[Order_Status]]="Delivered",Table1[[#This Row],[Delivery_Date]]&lt;&gt;"Not Yet Delivered"),Table1[[#This Row],[Delivery_Date]]-Table1[[#This Row],[Order_Date]],"Not Applicable")</f>
        <v>8</v>
      </c>
      <c r="M1686" s="14">
        <f>Table1[[#This Row],[Unit_Cost]]-Table1[[#This Row],[Negotiated_Cost]]</f>
        <v>628.98999999999978</v>
      </c>
      <c r="N1686" s="18">
        <f>Table1[[#This Row],[Defective_Units]]/Table1[[#This Row],[Quantity]]</f>
        <v>1.1869436201780416E-2</v>
      </c>
      <c r="O1686" s="26">
        <f>(Table1[[#This Row],[Unit_Cost]]-Table1[[#This Row],[Negotiated_Cost]])/Table1[[#This Row],[Unit_Cost]]</f>
        <v>5.3289289190913379E-2</v>
      </c>
    </row>
    <row r="1687" spans="1:15" x14ac:dyDescent="0.25">
      <c r="A1687" t="s">
        <v>1722</v>
      </c>
      <c r="B1687" t="s">
        <v>20</v>
      </c>
      <c r="C1687" s="14" t="s">
        <v>44</v>
      </c>
      <c r="D1687" s="1">
        <v>45060</v>
      </c>
      <c r="E1687" s="13">
        <v>45069</v>
      </c>
      <c r="F1687" s="14" t="s">
        <v>37</v>
      </c>
      <c r="G1687">
        <v>118</v>
      </c>
      <c r="H1687">
        <v>8500.41</v>
      </c>
      <c r="I1687">
        <v>8292.68</v>
      </c>
      <c r="J1687">
        <v>1</v>
      </c>
      <c r="K1687" s="14" t="s">
        <v>15</v>
      </c>
      <c r="L1687" s="14">
        <f>IF(OR(Table1[[#This Row],[Order_Status]]="Delivered",Table1[[#This Row],[Delivery_Date]]&lt;&gt;"Not Yet Delivered"),Table1[[#This Row],[Delivery_Date]]-Table1[[#This Row],[Order_Date]],"Not Applicable")</f>
        <v>9</v>
      </c>
      <c r="M1687" s="14">
        <f>Table1[[#This Row],[Unit_Cost]]-Table1[[#This Row],[Negotiated_Cost]]</f>
        <v>207.72999999999956</v>
      </c>
      <c r="N1687" s="18">
        <f>Table1[[#This Row],[Defective_Units]]/Table1[[#This Row],[Quantity]]</f>
        <v>8.4745762711864406E-3</v>
      </c>
      <c r="O1687" s="26">
        <f>(Table1[[#This Row],[Unit_Cost]]-Table1[[#This Row],[Negotiated_Cost]])/Table1[[#This Row],[Unit_Cost]]</f>
        <v>2.4437644772428574E-2</v>
      </c>
    </row>
    <row r="1688" spans="1:15" x14ac:dyDescent="0.25">
      <c r="A1688" t="s">
        <v>1723</v>
      </c>
      <c r="B1688" t="s">
        <v>17</v>
      </c>
      <c r="C1688" s="14" t="s">
        <v>28</v>
      </c>
      <c r="D1688" s="1">
        <v>45247</v>
      </c>
      <c r="E1688" s="13">
        <v>45249</v>
      </c>
      <c r="F1688" s="14" t="s">
        <v>14</v>
      </c>
      <c r="G1688">
        <v>97</v>
      </c>
      <c r="H1688">
        <v>43423.02</v>
      </c>
      <c r="I1688">
        <v>41084.47</v>
      </c>
      <c r="J1688">
        <v>0</v>
      </c>
      <c r="K1688" s="14" t="s">
        <v>15</v>
      </c>
      <c r="L1688" s="14">
        <f>IF(OR(Table1[[#This Row],[Order_Status]]="Delivered",Table1[[#This Row],[Delivery_Date]]&lt;&gt;"Not Yet Delivered"),Table1[[#This Row],[Delivery_Date]]-Table1[[#This Row],[Order_Date]],"Not Applicable")</f>
        <v>2</v>
      </c>
      <c r="M1688" s="14">
        <f>Table1[[#This Row],[Unit_Cost]]-Table1[[#This Row],[Negotiated_Cost]]</f>
        <v>2338.5499999999956</v>
      </c>
      <c r="N1688" s="18">
        <f>Table1[[#This Row],[Defective_Units]]/Table1[[#This Row],[Quantity]]</f>
        <v>0</v>
      </c>
      <c r="O1688" s="26">
        <f>(Table1[[#This Row],[Unit_Cost]]-Table1[[#This Row],[Negotiated_Cost]])/Table1[[#This Row],[Unit_Cost]]</f>
        <v>5.3855075027024739E-2</v>
      </c>
    </row>
    <row r="1689" spans="1:15" x14ac:dyDescent="0.25">
      <c r="A1689" t="s">
        <v>1724</v>
      </c>
      <c r="B1689" t="s">
        <v>32</v>
      </c>
      <c r="C1689" s="14" t="s">
        <v>13</v>
      </c>
      <c r="D1689" s="1">
        <v>45596</v>
      </c>
      <c r="E1689" s="14" t="s">
        <v>2057</v>
      </c>
      <c r="F1689" s="14" t="s">
        <v>33</v>
      </c>
      <c r="G1689">
        <v>315</v>
      </c>
      <c r="H1689">
        <v>3900.57</v>
      </c>
      <c r="I1689">
        <v>3788.73</v>
      </c>
      <c r="J1689">
        <v>2</v>
      </c>
      <c r="K1689" s="14" t="s">
        <v>15</v>
      </c>
      <c r="L1689" s="14" t="str">
        <f>IF(OR(Table1[[#This Row],[Order_Status]]="Delivered",Table1[[#This Row],[Delivery_Date]]&lt;&gt;"Not Yet Delivered"),Table1[[#This Row],[Delivery_Date]]-Table1[[#This Row],[Order_Date]],"Not Applicable")</f>
        <v>Not Applicable</v>
      </c>
      <c r="M1689" s="14">
        <f>Table1[[#This Row],[Unit_Cost]]-Table1[[#This Row],[Negotiated_Cost]]</f>
        <v>111.84000000000015</v>
      </c>
      <c r="N1689" s="18">
        <f>Table1[[#This Row],[Defective_Units]]/Table1[[#This Row],[Quantity]]</f>
        <v>6.3492063492063492E-3</v>
      </c>
      <c r="O1689" s="26">
        <f>(Table1[[#This Row],[Unit_Cost]]-Table1[[#This Row],[Negotiated_Cost]])/Table1[[#This Row],[Unit_Cost]]</f>
        <v>2.8672732446796273E-2</v>
      </c>
    </row>
    <row r="1690" spans="1:15" x14ac:dyDescent="0.25">
      <c r="A1690" t="s">
        <v>1725</v>
      </c>
      <c r="B1690" t="s">
        <v>12</v>
      </c>
      <c r="C1690" s="14" t="s">
        <v>21</v>
      </c>
      <c r="D1690" s="1">
        <v>45426</v>
      </c>
      <c r="E1690" s="13">
        <v>45439</v>
      </c>
      <c r="F1690" s="14" t="s">
        <v>14</v>
      </c>
      <c r="G1690">
        <v>312</v>
      </c>
      <c r="H1690">
        <v>131.82</v>
      </c>
      <c r="I1690">
        <v>125.9</v>
      </c>
      <c r="J1690">
        <v>4</v>
      </c>
      <c r="K1690" s="14" t="s">
        <v>15</v>
      </c>
      <c r="L1690" s="14">
        <f>IF(OR(Table1[[#This Row],[Order_Status]]="Delivered",Table1[[#This Row],[Delivery_Date]]&lt;&gt;"Not Yet Delivered"),Table1[[#This Row],[Delivery_Date]]-Table1[[#This Row],[Order_Date]],"Not Applicable")</f>
        <v>13</v>
      </c>
      <c r="M1690" s="14">
        <f>Table1[[#This Row],[Unit_Cost]]-Table1[[#This Row],[Negotiated_Cost]]</f>
        <v>5.9199999999999875</v>
      </c>
      <c r="N1690" s="18">
        <f>Table1[[#This Row],[Defective_Units]]/Table1[[#This Row],[Quantity]]</f>
        <v>1.282051282051282E-2</v>
      </c>
      <c r="O1690" s="26">
        <f>(Table1[[#This Row],[Unit_Cost]]-Table1[[#This Row],[Negotiated_Cost]])/Table1[[#This Row],[Unit_Cost]]</f>
        <v>4.4909725383098072E-2</v>
      </c>
    </row>
    <row r="1691" spans="1:15" x14ac:dyDescent="0.25">
      <c r="A1691" t="s">
        <v>1726</v>
      </c>
      <c r="B1691" t="s">
        <v>17</v>
      </c>
      <c r="C1691" s="14" t="s">
        <v>21</v>
      </c>
      <c r="D1691" s="1">
        <v>45243</v>
      </c>
      <c r="E1691" s="13">
        <v>45269</v>
      </c>
      <c r="F1691" s="14" t="s">
        <v>14</v>
      </c>
      <c r="G1691">
        <v>262</v>
      </c>
      <c r="H1691">
        <v>113.02</v>
      </c>
      <c r="I1691">
        <v>108.5</v>
      </c>
      <c r="J1691">
        <v>2</v>
      </c>
      <c r="K1691" s="14" t="s">
        <v>15</v>
      </c>
      <c r="L1691" s="14">
        <f>IF(OR(Table1[[#This Row],[Order_Status]]="Delivered",Table1[[#This Row],[Delivery_Date]]&lt;&gt;"Not Yet Delivered"),Table1[[#This Row],[Delivery_Date]]-Table1[[#This Row],[Order_Date]],"Not Applicable")</f>
        <v>26</v>
      </c>
      <c r="M1691" s="14">
        <f>Table1[[#This Row],[Unit_Cost]]-Table1[[#This Row],[Negotiated_Cost]]</f>
        <v>4.519999999999996</v>
      </c>
      <c r="N1691" s="18">
        <f>Table1[[#This Row],[Defective_Units]]/Table1[[#This Row],[Quantity]]</f>
        <v>7.6335877862595417E-3</v>
      </c>
      <c r="O1691" s="26">
        <f>(Table1[[#This Row],[Unit_Cost]]-Table1[[#This Row],[Negotiated_Cost]])/Table1[[#This Row],[Unit_Cost]]</f>
        <v>3.9992921606795226E-2</v>
      </c>
    </row>
    <row r="1692" spans="1:15" x14ac:dyDescent="0.25">
      <c r="A1692" t="s">
        <v>1727</v>
      </c>
      <c r="B1692" t="s">
        <v>35</v>
      </c>
      <c r="C1692" s="14" t="s">
        <v>13</v>
      </c>
      <c r="D1692" s="1">
        <v>45579</v>
      </c>
      <c r="E1692" s="14" t="s">
        <v>2057</v>
      </c>
      <c r="F1692" s="14" t="s">
        <v>33</v>
      </c>
      <c r="G1692">
        <v>89</v>
      </c>
      <c r="H1692">
        <v>4251.7299999999996</v>
      </c>
      <c r="I1692">
        <v>4043.7</v>
      </c>
      <c r="J1692">
        <v>2</v>
      </c>
      <c r="K1692" s="14" t="s">
        <v>15</v>
      </c>
      <c r="L1692" s="14" t="str">
        <f>IF(OR(Table1[[#This Row],[Order_Status]]="Delivered",Table1[[#This Row],[Delivery_Date]]&lt;&gt;"Not Yet Delivered"),Table1[[#This Row],[Delivery_Date]]-Table1[[#This Row],[Order_Date]],"Not Applicable")</f>
        <v>Not Applicable</v>
      </c>
      <c r="M1692" s="14">
        <f>Table1[[#This Row],[Unit_Cost]]-Table1[[#This Row],[Negotiated_Cost]]</f>
        <v>208.02999999999975</v>
      </c>
      <c r="N1692" s="18">
        <f>Table1[[#This Row],[Defective_Units]]/Table1[[#This Row],[Quantity]]</f>
        <v>2.247191011235955E-2</v>
      </c>
      <c r="O1692" s="26">
        <f>(Table1[[#This Row],[Unit_Cost]]-Table1[[#This Row],[Negotiated_Cost]])/Table1[[#This Row],[Unit_Cost]]</f>
        <v>4.8928318590314948E-2</v>
      </c>
    </row>
    <row r="1693" spans="1:15" x14ac:dyDescent="0.25">
      <c r="A1693" t="s">
        <v>1728</v>
      </c>
      <c r="B1693" t="s">
        <v>32</v>
      </c>
      <c r="C1693" s="14" t="s">
        <v>21</v>
      </c>
      <c r="D1693" s="1">
        <v>45071</v>
      </c>
      <c r="E1693" s="13">
        <v>45091</v>
      </c>
      <c r="F1693" s="14" t="s">
        <v>14</v>
      </c>
      <c r="G1693">
        <v>284</v>
      </c>
      <c r="H1693">
        <v>104.01</v>
      </c>
      <c r="I1693">
        <v>99.44</v>
      </c>
      <c r="J1693">
        <v>3</v>
      </c>
      <c r="K1693" s="14" t="s">
        <v>15</v>
      </c>
      <c r="L1693" s="14">
        <f>IF(OR(Table1[[#This Row],[Order_Status]]="Delivered",Table1[[#This Row],[Delivery_Date]]&lt;&gt;"Not Yet Delivered"),Table1[[#This Row],[Delivery_Date]]-Table1[[#This Row],[Order_Date]],"Not Applicable")</f>
        <v>20</v>
      </c>
      <c r="M1693" s="14">
        <f>Table1[[#This Row],[Unit_Cost]]-Table1[[#This Row],[Negotiated_Cost]]</f>
        <v>4.5700000000000074</v>
      </c>
      <c r="N1693" s="18">
        <f>Table1[[#This Row],[Defective_Units]]/Table1[[#This Row],[Quantity]]</f>
        <v>1.0563380281690141E-2</v>
      </c>
      <c r="O1693" s="26">
        <f>(Table1[[#This Row],[Unit_Cost]]-Table1[[#This Row],[Negotiated_Cost]])/Table1[[#This Row],[Unit_Cost]]</f>
        <v>4.3938082876646543E-2</v>
      </c>
    </row>
    <row r="1694" spans="1:15" x14ac:dyDescent="0.25">
      <c r="A1694" t="s">
        <v>1729</v>
      </c>
      <c r="B1694" t="s">
        <v>46</v>
      </c>
      <c r="C1694" s="14" t="s">
        <v>44</v>
      </c>
      <c r="D1694" s="1">
        <v>45518</v>
      </c>
      <c r="E1694" s="13">
        <v>45534</v>
      </c>
      <c r="F1694" s="14" t="s">
        <v>14</v>
      </c>
      <c r="G1694">
        <v>290</v>
      </c>
      <c r="H1694">
        <v>8461.73</v>
      </c>
      <c r="I1694">
        <v>8064.93</v>
      </c>
      <c r="J1694">
        <v>4</v>
      </c>
      <c r="K1694" s="14" t="s">
        <v>15</v>
      </c>
      <c r="L1694" s="14">
        <f>IF(OR(Table1[[#This Row],[Order_Status]]="Delivered",Table1[[#This Row],[Delivery_Date]]&lt;&gt;"Not Yet Delivered"),Table1[[#This Row],[Delivery_Date]]-Table1[[#This Row],[Order_Date]],"Not Applicable")</f>
        <v>16</v>
      </c>
      <c r="M1694" s="14">
        <f>Table1[[#This Row],[Unit_Cost]]-Table1[[#This Row],[Negotiated_Cost]]</f>
        <v>396.79999999999927</v>
      </c>
      <c r="N1694" s="18">
        <f>Table1[[#This Row],[Defective_Units]]/Table1[[#This Row],[Quantity]]</f>
        <v>1.3793103448275862E-2</v>
      </c>
      <c r="O1694" s="26">
        <f>(Table1[[#This Row],[Unit_Cost]]-Table1[[#This Row],[Negotiated_Cost]])/Table1[[#This Row],[Unit_Cost]]</f>
        <v>4.6893483956590355E-2</v>
      </c>
    </row>
    <row r="1695" spans="1:15" x14ac:dyDescent="0.25">
      <c r="A1695" t="s">
        <v>1730</v>
      </c>
      <c r="B1695" t="s">
        <v>12</v>
      </c>
      <c r="C1695" s="14" t="s">
        <v>42</v>
      </c>
      <c r="D1695" s="1">
        <v>45245</v>
      </c>
      <c r="E1695" s="13">
        <v>45255</v>
      </c>
      <c r="F1695" s="14" t="s">
        <v>37</v>
      </c>
      <c r="G1695">
        <v>496</v>
      </c>
      <c r="H1695">
        <v>12576.19</v>
      </c>
      <c r="I1695">
        <v>12155.89</v>
      </c>
      <c r="J1695">
        <v>4</v>
      </c>
      <c r="K1695" s="14" t="s">
        <v>15</v>
      </c>
      <c r="L1695" s="14">
        <f>IF(OR(Table1[[#This Row],[Order_Status]]="Delivered",Table1[[#This Row],[Delivery_Date]]&lt;&gt;"Not Yet Delivered"),Table1[[#This Row],[Delivery_Date]]-Table1[[#This Row],[Order_Date]],"Not Applicable")</f>
        <v>10</v>
      </c>
      <c r="M1695" s="14">
        <f>Table1[[#This Row],[Unit_Cost]]-Table1[[#This Row],[Negotiated_Cost]]</f>
        <v>420.30000000000109</v>
      </c>
      <c r="N1695" s="18">
        <f>Table1[[#This Row],[Defective_Units]]/Table1[[#This Row],[Quantity]]</f>
        <v>8.0645161290322578E-3</v>
      </c>
      <c r="O1695" s="26">
        <f>(Table1[[#This Row],[Unit_Cost]]-Table1[[#This Row],[Negotiated_Cost]])/Table1[[#This Row],[Unit_Cost]]</f>
        <v>3.3420296608114311E-2</v>
      </c>
    </row>
    <row r="1696" spans="1:15" x14ac:dyDescent="0.25">
      <c r="A1696" t="s">
        <v>1731</v>
      </c>
      <c r="B1696" t="s">
        <v>35</v>
      </c>
      <c r="C1696" s="14" t="s">
        <v>44</v>
      </c>
      <c r="D1696" s="1">
        <v>45009</v>
      </c>
      <c r="E1696" s="13">
        <v>45038</v>
      </c>
      <c r="F1696" s="14" t="s">
        <v>14</v>
      </c>
      <c r="G1696">
        <v>35</v>
      </c>
      <c r="H1696">
        <v>8193.0300000000007</v>
      </c>
      <c r="I1696">
        <v>8131.91</v>
      </c>
      <c r="J1696">
        <v>0</v>
      </c>
      <c r="K1696" s="14" t="s">
        <v>15</v>
      </c>
      <c r="L1696" s="14">
        <f>IF(OR(Table1[[#This Row],[Order_Status]]="Delivered",Table1[[#This Row],[Delivery_Date]]&lt;&gt;"Not Yet Delivered"),Table1[[#This Row],[Delivery_Date]]-Table1[[#This Row],[Order_Date]],"Not Applicable")</f>
        <v>29</v>
      </c>
      <c r="M1696" s="14">
        <f>Table1[[#This Row],[Unit_Cost]]-Table1[[#This Row],[Negotiated_Cost]]</f>
        <v>61.1200000000008</v>
      </c>
      <c r="N1696" s="18">
        <f>Table1[[#This Row],[Defective_Units]]/Table1[[#This Row],[Quantity]]</f>
        <v>0</v>
      </c>
      <c r="O1696" s="26">
        <f>(Table1[[#This Row],[Unit_Cost]]-Table1[[#This Row],[Negotiated_Cost]])/Table1[[#This Row],[Unit_Cost]]</f>
        <v>7.4599995361912252E-3</v>
      </c>
    </row>
    <row r="1697" spans="1:15" x14ac:dyDescent="0.25">
      <c r="A1697" t="s">
        <v>1732</v>
      </c>
      <c r="B1697" t="s">
        <v>40</v>
      </c>
      <c r="C1697" s="14" t="s">
        <v>44</v>
      </c>
      <c r="D1697" s="1">
        <v>45632</v>
      </c>
      <c r="E1697" s="13">
        <v>45659</v>
      </c>
      <c r="F1697" s="14" t="s">
        <v>14</v>
      </c>
      <c r="G1697">
        <v>184</v>
      </c>
      <c r="H1697">
        <v>9075.49</v>
      </c>
      <c r="I1697">
        <v>9006.07</v>
      </c>
      <c r="J1697">
        <v>2</v>
      </c>
      <c r="K1697" s="14" t="s">
        <v>15</v>
      </c>
      <c r="L1697" s="14">
        <f>IF(OR(Table1[[#This Row],[Order_Status]]="Delivered",Table1[[#This Row],[Delivery_Date]]&lt;&gt;"Not Yet Delivered"),Table1[[#This Row],[Delivery_Date]]-Table1[[#This Row],[Order_Date]],"Not Applicable")</f>
        <v>27</v>
      </c>
      <c r="M1697" s="14">
        <f>Table1[[#This Row],[Unit_Cost]]-Table1[[#This Row],[Negotiated_Cost]]</f>
        <v>69.420000000000073</v>
      </c>
      <c r="N1697" s="18">
        <f>Table1[[#This Row],[Defective_Units]]/Table1[[#This Row],[Quantity]]</f>
        <v>1.0869565217391304E-2</v>
      </c>
      <c r="O1697" s="26">
        <f>(Table1[[#This Row],[Unit_Cost]]-Table1[[#This Row],[Negotiated_Cost]])/Table1[[#This Row],[Unit_Cost]]</f>
        <v>7.649173763620485E-3</v>
      </c>
    </row>
    <row r="1698" spans="1:15" x14ac:dyDescent="0.25">
      <c r="A1698" t="s">
        <v>1733</v>
      </c>
      <c r="B1698" t="s">
        <v>40</v>
      </c>
      <c r="C1698" s="14" t="s">
        <v>13</v>
      </c>
      <c r="D1698" s="1">
        <v>45097</v>
      </c>
      <c r="E1698" s="14" t="s">
        <v>2057</v>
      </c>
      <c r="F1698" s="14" t="s">
        <v>22</v>
      </c>
      <c r="G1698">
        <v>410</v>
      </c>
      <c r="H1698">
        <v>4678.22</v>
      </c>
      <c r="I1698">
        <v>4665.37</v>
      </c>
      <c r="J1698">
        <v>2</v>
      </c>
      <c r="K1698" s="14" t="s">
        <v>15</v>
      </c>
      <c r="L1698" s="14" t="str">
        <f>IF(OR(Table1[[#This Row],[Order_Status]]="Delivered",Table1[[#This Row],[Delivery_Date]]&lt;&gt;"Not Yet Delivered"),Table1[[#This Row],[Delivery_Date]]-Table1[[#This Row],[Order_Date]],"Not Applicable")</f>
        <v>Not Applicable</v>
      </c>
      <c r="M1698" s="14">
        <f>Table1[[#This Row],[Unit_Cost]]-Table1[[#This Row],[Negotiated_Cost]]</f>
        <v>12.850000000000364</v>
      </c>
      <c r="N1698" s="18">
        <f>Table1[[#This Row],[Defective_Units]]/Table1[[#This Row],[Quantity]]</f>
        <v>4.8780487804878049E-3</v>
      </c>
      <c r="O1698" s="26">
        <f>(Table1[[#This Row],[Unit_Cost]]-Table1[[#This Row],[Negotiated_Cost]])/Table1[[#This Row],[Unit_Cost]]</f>
        <v>2.7467712078526369E-3</v>
      </c>
    </row>
    <row r="1699" spans="1:15" x14ac:dyDescent="0.25">
      <c r="A1699" t="s">
        <v>1734</v>
      </c>
      <c r="B1699" t="s">
        <v>12</v>
      </c>
      <c r="C1699" s="14" t="s">
        <v>13</v>
      </c>
      <c r="D1699" s="1">
        <v>45059</v>
      </c>
      <c r="E1699" s="13">
        <v>45067</v>
      </c>
      <c r="F1699" s="14" t="s">
        <v>14</v>
      </c>
      <c r="G1699">
        <v>76</v>
      </c>
      <c r="H1699">
        <v>4287.95</v>
      </c>
      <c r="I1699">
        <v>4103.75</v>
      </c>
      <c r="J1699">
        <v>4</v>
      </c>
      <c r="K1699" s="14" t="s">
        <v>15</v>
      </c>
      <c r="L1699" s="14">
        <f>IF(OR(Table1[[#This Row],[Order_Status]]="Delivered",Table1[[#This Row],[Delivery_Date]]&lt;&gt;"Not Yet Delivered"),Table1[[#This Row],[Delivery_Date]]-Table1[[#This Row],[Order_Date]],"Not Applicable")</f>
        <v>8</v>
      </c>
      <c r="M1699" s="14">
        <f>Table1[[#This Row],[Unit_Cost]]-Table1[[#This Row],[Negotiated_Cost]]</f>
        <v>184.19999999999982</v>
      </c>
      <c r="N1699" s="18">
        <f>Table1[[#This Row],[Defective_Units]]/Table1[[#This Row],[Quantity]]</f>
        <v>5.2631578947368418E-2</v>
      </c>
      <c r="O1699" s="26">
        <f>(Table1[[#This Row],[Unit_Cost]]-Table1[[#This Row],[Negotiated_Cost]])/Table1[[#This Row],[Unit_Cost]]</f>
        <v>4.2957590456978237E-2</v>
      </c>
    </row>
    <row r="1700" spans="1:15" x14ac:dyDescent="0.25">
      <c r="A1700" t="s">
        <v>1735</v>
      </c>
      <c r="B1700" t="s">
        <v>32</v>
      </c>
      <c r="C1700" s="14" t="s">
        <v>48</v>
      </c>
      <c r="D1700" s="1">
        <v>45532</v>
      </c>
      <c r="E1700" s="13">
        <v>45553</v>
      </c>
      <c r="F1700" s="14" t="s">
        <v>14</v>
      </c>
      <c r="G1700">
        <v>73</v>
      </c>
      <c r="H1700">
        <v>6100.98</v>
      </c>
      <c r="I1700">
        <v>5877.06</v>
      </c>
      <c r="J1700">
        <v>0</v>
      </c>
      <c r="K1700" s="14" t="s">
        <v>15</v>
      </c>
      <c r="L1700" s="14">
        <f>IF(OR(Table1[[#This Row],[Order_Status]]="Delivered",Table1[[#This Row],[Delivery_Date]]&lt;&gt;"Not Yet Delivered"),Table1[[#This Row],[Delivery_Date]]-Table1[[#This Row],[Order_Date]],"Not Applicable")</f>
        <v>21</v>
      </c>
      <c r="M1700" s="14">
        <f>Table1[[#This Row],[Unit_Cost]]-Table1[[#This Row],[Negotiated_Cost]]</f>
        <v>223.91999999999916</v>
      </c>
      <c r="N1700" s="18">
        <f>Table1[[#This Row],[Defective_Units]]/Table1[[#This Row],[Quantity]]</f>
        <v>0</v>
      </c>
      <c r="O1700" s="26">
        <f>(Table1[[#This Row],[Unit_Cost]]-Table1[[#This Row],[Negotiated_Cost]])/Table1[[#This Row],[Unit_Cost]]</f>
        <v>3.6702300286183397E-2</v>
      </c>
    </row>
    <row r="1701" spans="1:15" x14ac:dyDescent="0.25">
      <c r="A1701" t="s">
        <v>1736</v>
      </c>
      <c r="B1701" t="s">
        <v>35</v>
      </c>
      <c r="C1701" s="14" t="s">
        <v>42</v>
      </c>
      <c r="D1701" s="1">
        <v>45128</v>
      </c>
      <c r="E1701" s="14" t="s">
        <v>2057</v>
      </c>
      <c r="F1701" s="14" t="s">
        <v>33</v>
      </c>
      <c r="G1701">
        <v>166</v>
      </c>
      <c r="H1701">
        <v>12702.84</v>
      </c>
      <c r="I1701">
        <v>12274.82</v>
      </c>
      <c r="J1701">
        <v>2</v>
      </c>
      <c r="K1701" s="14" t="s">
        <v>15</v>
      </c>
      <c r="L1701" s="14" t="str">
        <f>IF(OR(Table1[[#This Row],[Order_Status]]="Delivered",Table1[[#This Row],[Delivery_Date]]&lt;&gt;"Not Yet Delivered"),Table1[[#This Row],[Delivery_Date]]-Table1[[#This Row],[Order_Date]],"Not Applicable")</f>
        <v>Not Applicable</v>
      </c>
      <c r="M1701" s="14">
        <f>Table1[[#This Row],[Unit_Cost]]-Table1[[#This Row],[Negotiated_Cost]]</f>
        <v>428.02000000000044</v>
      </c>
      <c r="N1701" s="18">
        <f>Table1[[#This Row],[Defective_Units]]/Table1[[#This Row],[Quantity]]</f>
        <v>1.2048192771084338E-2</v>
      </c>
      <c r="O1701" s="26">
        <f>(Table1[[#This Row],[Unit_Cost]]-Table1[[#This Row],[Negotiated_Cost]])/Table1[[#This Row],[Unit_Cost]]</f>
        <v>3.3694827298462425E-2</v>
      </c>
    </row>
    <row r="1702" spans="1:15" x14ac:dyDescent="0.25">
      <c r="A1702" t="s">
        <v>1737</v>
      </c>
      <c r="B1702" t="s">
        <v>46</v>
      </c>
      <c r="C1702" s="14" t="s">
        <v>13</v>
      </c>
      <c r="D1702" s="1">
        <v>45117</v>
      </c>
      <c r="E1702" s="13">
        <v>45134</v>
      </c>
      <c r="F1702" s="14" t="s">
        <v>14</v>
      </c>
      <c r="G1702">
        <v>33</v>
      </c>
      <c r="H1702">
        <v>3956.26</v>
      </c>
      <c r="I1702">
        <v>3803.05</v>
      </c>
      <c r="J1702">
        <v>0</v>
      </c>
      <c r="K1702" s="14" t="s">
        <v>15</v>
      </c>
      <c r="L1702" s="14">
        <f>IF(OR(Table1[[#This Row],[Order_Status]]="Delivered",Table1[[#This Row],[Delivery_Date]]&lt;&gt;"Not Yet Delivered"),Table1[[#This Row],[Delivery_Date]]-Table1[[#This Row],[Order_Date]],"Not Applicable")</f>
        <v>17</v>
      </c>
      <c r="M1702" s="14">
        <f>Table1[[#This Row],[Unit_Cost]]-Table1[[#This Row],[Negotiated_Cost]]</f>
        <v>153.21000000000004</v>
      </c>
      <c r="N1702" s="18">
        <f>Table1[[#This Row],[Defective_Units]]/Table1[[#This Row],[Quantity]]</f>
        <v>0</v>
      </c>
      <c r="O1702" s="26">
        <f>(Table1[[#This Row],[Unit_Cost]]-Table1[[#This Row],[Negotiated_Cost]])/Table1[[#This Row],[Unit_Cost]]</f>
        <v>3.8725968465166606E-2</v>
      </c>
    </row>
    <row r="1703" spans="1:15" x14ac:dyDescent="0.25">
      <c r="A1703" t="s">
        <v>1738</v>
      </c>
      <c r="B1703" t="s">
        <v>27</v>
      </c>
      <c r="C1703" s="14" t="s">
        <v>13</v>
      </c>
      <c r="D1703" s="1">
        <v>45532</v>
      </c>
      <c r="E1703" s="13">
        <v>45562</v>
      </c>
      <c r="F1703" s="14" t="s">
        <v>14</v>
      </c>
      <c r="G1703">
        <v>374</v>
      </c>
      <c r="H1703">
        <v>4525.2700000000004</v>
      </c>
      <c r="I1703">
        <v>4287.8</v>
      </c>
      <c r="J1703">
        <v>1</v>
      </c>
      <c r="K1703" s="14" t="s">
        <v>15</v>
      </c>
      <c r="L1703" s="14">
        <f>IF(OR(Table1[[#This Row],[Order_Status]]="Delivered",Table1[[#This Row],[Delivery_Date]]&lt;&gt;"Not Yet Delivered"),Table1[[#This Row],[Delivery_Date]]-Table1[[#This Row],[Order_Date]],"Not Applicable")</f>
        <v>30</v>
      </c>
      <c r="M1703" s="14">
        <f>Table1[[#This Row],[Unit_Cost]]-Table1[[#This Row],[Negotiated_Cost]]</f>
        <v>237.47000000000025</v>
      </c>
      <c r="N1703" s="18">
        <f>Table1[[#This Row],[Defective_Units]]/Table1[[#This Row],[Quantity]]</f>
        <v>2.6737967914438501E-3</v>
      </c>
      <c r="O1703" s="26">
        <f>(Table1[[#This Row],[Unit_Cost]]-Table1[[#This Row],[Negotiated_Cost]])/Table1[[#This Row],[Unit_Cost]]</f>
        <v>5.247642682094112E-2</v>
      </c>
    </row>
    <row r="1704" spans="1:15" x14ac:dyDescent="0.25">
      <c r="A1704" t="s">
        <v>1739</v>
      </c>
      <c r="B1704" t="s">
        <v>32</v>
      </c>
      <c r="C1704" s="14" t="s">
        <v>13</v>
      </c>
      <c r="D1704" s="1">
        <v>45200</v>
      </c>
      <c r="E1704" s="13">
        <v>45214</v>
      </c>
      <c r="F1704" s="14" t="s">
        <v>14</v>
      </c>
      <c r="G1704">
        <v>362</v>
      </c>
      <c r="H1704">
        <v>3797.82</v>
      </c>
      <c r="I1704">
        <v>3772.99</v>
      </c>
      <c r="J1704">
        <v>5</v>
      </c>
      <c r="K1704" s="14" t="s">
        <v>15</v>
      </c>
      <c r="L1704" s="14">
        <f>IF(OR(Table1[[#This Row],[Order_Status]]="Delivered",Table1[[#This Row],[Delivery_Date]]&lt;&gt;"Not Yet Delivered"),Table1[[#This Row],[Delivery_Date]]-Table1[[#This Row],[Order_Date]],"Not Applicable")</f>
        <v>14</v>
      </c>
      <c r="M1704" s="14">
        <f>Table1[[#This Row],[Unit_Cost]]-Table1[[#This Row],[Negotiated_Cost]]</f>
        <v>24.830000000000382</v>
      </c>
      <c r="N1704" s="18">
        <f>Table1[[#This Row],[Defective_Units]]/Table1[[#This Row],[Quantity]]</f>
        <v>1.3812154696132596E-2</v>
      </c>
      <c r="O1704" s="26">
        <f>(Table1[[#This Row],[Unit_Cost]]-Table1[[#This Row],[Negotiated_Cost]])/Table1[[#This Row],[Unit_Cost]]</f>
        <v>6.5379612514548822E-3</v>
      </c>
    </row>
    <row r="1705" spans="1:15" x14ac:dyDescent="0.25">
      <c r="A1705" t="s">
        <v>1740</v>
      </c>
      <c r="B1705" t="s">
        <v>32</v>
      </c>
      <c r="C1705" s="14" t="s">
        <v>36</v>
      </c>
      <c r="D1705" s="1">
        <v>45365</v>
      </c>
      <c r="E1705" s="13">
        <v>45385</v>
      </c>
      <c r="F1705" s="14" t="s">
        <v>14</v>
      </c>
      <c r="G1705">
        <v>279</v>
      </c>
      <c r="H1705">
        <v>482.05</v>
      </c>
      <c r="I1705">
        <v>481.8</v>
      </c>
      <c r="J1705">
        <v>5</v>
      </c>
      <c r="K1705" s="14" t="s">
        <v>15</v>
      </c>
      <c r="L1705" s="14">
        <f>IF(OR(Table1[[#This Row],[Order_Status]]="Delivered",Table1[[#This Row],[Delivery_Date]]&lt;&gt;"Not Yet Delivered"),Table1[[#This Row],[Delivery_Date]]-Table1[[#This Row],[Order_Date]],"Not Applicable")</f>
        <v>20</v>
      </c>
      <c r="M1705" s="14">
        <f>Table1[[#This Row],[Unit_Cost]]-Table1[[#This Row],[Negotiated_Cost]]</f>
        <v>0.25</v>
      </c>
      <c r="N1705" s="18">
        <f>Table1[[#This Row],[Defective_Units]]/Table1[[#This Row],[Quantity]]</f>
        <v>1.7921146953405017E-2</v>
      </c>
      <c r="O1705" s="26">
        <f>(Table1[[#This Row],[Unit_Cost]]-Table1[[#This Row],[Negotiated_Cost]])/Table1[[#This Row],[Unit_Cost]]</f>
        <v>5.1861840058085255E-4</v>
      </c>
    </row>
    <row r="1706" spans="1:15" x14ac:dyDescent="0.25">
      <c r="A1706" t="s">
        <v>1741</v>
      </c>
      <c r="B1706" t="s">
        <v>32</v>
      </c>
      <c r="C1706" s="14" t="s">
        <v>30</v>
      </c>
      <c r="D1706" s="1">
        <v>45566</v>
      </c>
      <c r="E1706" s="13">
        <v>45572</v>
      </c>
      <c r="F1706" s="14" t="s">
        <v>14</v>
      </c>
      <c r="G1706">
        <v>130</v>
      </c>
      <c r="H1706">
        <v>860.49</v>
      </c>
      <c r="I1706">
        <v>848.18</v>
      </c>
      <c r="J1706">
        <v>3</v>
      </c>
      <c r="K1706" s="14" t="s">
        <v>15</v>
      </c>
      <c r="L1706" s="14">
        <f>IF(OR(Table1[[#This Row],[Order_Status]]="Delivered",Table1[[#This Row],[Delivery_Date]]&lt;&gt;"Not Yet Delivered"),Table1[[#This Row],[Delivery_Date]]-Table1[[#This Row],[Order_Date]],"Not Applicable")</f>
        <v>6</v>
      </c>
      <c r="M1706" s="14">
        <f>Table1[[#This Row],[Unit_Cost]]-Table1[[#This Row],[Negotiated_Cost]]</f>
        <v>12.310000000000059</v>
      </c>
      <c r="N1706" s="18">
        <f>Table1[[#This Row],[Defective_Units]]/Table1[[#This Row],[Quantity]]</f>
        <v>2.3076923076923078E-2</v>
      </c>
      <c r="O1706" s="26">
        <f>(Table1[[#This Row],[Unit_Cost]]-Table1[[#This Row],[Negotiated_Cost]])/Table1[[#This Row],[Unit_Cost]]</f>
        <v>1.4305802507873489E-2</v>
      </c>
    </row>
    <row r="1707" spans="1:15" x14ac:dyDescent="0.25">
      <c r="A1707" t="s">
        <v>1742</v>
      </c>
      <c r="B1707" t="s">
        <v>32</v>
      </c>
      <c r="C1707" s="14" t="s">
        <v>30</v>
      </c>
      <c r="D1707" s="1">
        <v>45411</v>
      </c>
      <c r="E1707" s="13">
        <v>45428</v>
      </c>
      <c r="F1707" s="14" t="s">
        <v>14</v>
      </c>
      <c r="G1707">
        <v>87</v>
      </c>
      <c r="H1707">
        <v>813.41</v>
      </c>
      <c r="I1707">
        <v>786.99</v>
      </c>
      <c r="J1707">
        <v>0</v>
      </c>
      <c r="K1707" s="14" t="s">
        <v>15</v>
      </c>
      <c r="L1707" s="14">
        <f>IF(OR(Table1[[#This Row],[Order_Status]]="Delivered",Table1[[#This Row],[Delivery_Date]]&lt;&gt;"Not Yet Delivered"),Table1[[#This Row],[Delivery_Date]]-Table1[[#This Row],[Order_Date]],"Not Applicable")</f>
        <v>17</v>
      </c>
      <c r="M1707" s="14">
        <f>Table1[[#This Row],[Unit_Cost]]-Table1[[#This Row],[Negotiated_Cost]]</f>
        <v>26.419999999999959</v>
      </c>
      <c r="N1707" s="18">
        <f>Table1[[#This Row],[Defective_Units]]/Table1[[#This Row],[Quantity]]</f>
        <v>0</v>
      </c>
      <c r="O1707" s="26">
        <f>(Table1[[#This Row],[Unit_Cost]]-Table1[[#This Row],[Negotiated_Cost]])/Table1[[#This Row],[Unit_Cost]]</f>
        <v>3.2480544866672352E-2</v>
      </c>
    </row>
    <row r="1708" spans="1:15" x14ac:dyDescent="0.25">
      <c r="A1708" t="s">
        <v>1743</v>
      </c>
      <c r="B1708" t="s">
        <v>27</v>
      </c>
      <c r="C1708" s="14" t="s">
        <v>48</v>
      </c>
      <c r="D1708" s="1">
        <v>45245</v>
      </c>
      <c r="E1708" s="13">
        <v>45271</v>
      </c>
      <c r="F1708" s="14" t="s">
        <v>14</v>
      </c>
      <c r="G1708">
        <v>203</v>
      </c>
      <c r="H1708">
        <v>6772.92</v>
      </c>
      <c r="I1708">
        <v>6763.99</v>
      </c>
      <c r="J1708">
        <v>0</v>
      </c>
      <c r="K1708" s="14" t="s">
        <v>15</v>
      </c>
      <c r="L1708" s="14">
        <f>IF(OR(Table1[[#This Row],[Order_Status]]="Delivered",Table1[[#This Row],[Delivery_Date]]&lt;&gt;"Not Yet Delivered"),Table1[[#This Row],[Delivery_Date]]-Table1[[#This Row],[Order_Date]],"Not Applicable")</f>
        <v>26</v>
      </c>
      <c r="M1708" s="14">
        <f>Table1[[#This Row],[Unit_Cost]]-Table1[[#This Row],[Negotiated_Cost]]</f>
        <v>8.930000000000291</v>
      </c>
      <c r="N1708" s="18">
        <f>Table1[[#This Row],[Defective_Units]]/Table1[[#This Row],[Quantity]]</f>
        <v>0</v>
      </c>
      <c r="O1708" s="26">
        <f>(Table1[[#This Row],[Unit_Cost]]-Table1[[#This Row],[Negotiated_Cost]])/Table1[[#This Row],[Unit_Cost]]</f>
        <v>1.3184859706006111E-3</v>
      </c>
    </row>
    <row r="1709" spans="1:15" x14ac:dyDescent="0.25">
      <c r="A1709" t="s">
        <v>1744</v>
      </c>
      <c r="B1709" t="s">
        <v>17</v>
      </c>
      <c r="C1709" s="14" t="s">
        <v>28</v>
      </c>
      <c r="D1709" s="1">
        <v>45297</v>
      </c>
      <c r="E1709" s="13">
        <v>45301</v>
      </c>
      <c r="F1709" s="14" t="s">
        <v>14</v>
      </c>
      <c r="G1709">
        <v>169</v>
      </c>
      <c r="H1709">
        <v>47175.11</v>
      </c>
      <c r="I1709">
        <v>45986.42</v>
      </c>
      <c r="J1709">
        <v>5</v>
      </c>
      <c r="K1709" s="14" t="s">
        <v>15</v>
      </c>
      <c r="L1709" s="14">
        <f>IF(OR(Table1[[#This Row],[Order_Status]]="Delivered",Table1[[#This Row],[Delivery_Date]]&lt;&gt;"Not Yet Delivered"),Table1[[#This Row],[Delivery_Date]]-Table1[[#This Row],[Order_Date]],"Not Applicable")</f>
        <v>4</v>
      </c>
      <c r="M1709" s="14">
        <f>Table1[[#This Row],[Unit_Cost]]-Table1[[#This Row],[Negotiated_Cost]]</f>
        <v>1188.6900000000023</v>
      </c>
      <c r="N1709" s="18">
        <f>Table1[[#This Row],[Defective_Units]]/Table1[[#This Row],[Quantity]]</f>
        <v>2.9585798816568046E-2</v>
      </c>
      <c r="O1709" s="26">
        <f>(Table1[[#This Row],[Unit_Cost]]-Table1[[#This Row],[Negotiated_Cost]])/Table1[[#This Row],[Unit_Cost]]</f>
        <v>2.5197397525941165E-2</v>
      </c>
    </row>
    <row r="1710" spans="1:15" x14ac:dyDescent="0.25">
      <c r="A1710" t="s">
        <v>1745</v>
      </c>
      <c r="B1710" t="s">
        <v>46</v>
      </c>
      <c r="C1710" s="14" t="s">
        <v>42</v>
      </c>
      <c r="D1710" s="1">
        <v>45497</v>
      </c>
      <c r="E1710" s="13">
        <v>45521</v>
      </c>
      <c r="F1710" s="14" t="s">
        <v>14</v>
      </c>
      <c r="G1710">
        <v>269</v>
      </c>
      <c r="H1710">
        <v>11685.17</v>
      </c>
      <c r="I1710">
        <v>11425.46</v>
      </c>
      <c r="J1710">
        <v>2</v>
      </c>
      <c r="K1710" s="14" t="s">
        <v>25</v>
      </c>
      <c r="L1710" s="14">
        <f>IF(OR(Table1[[#This Row],[Order_Status]]="Delivered",Table1[[#This Row],[Delivery_Date]]&lt;&gt;"Not Yet Delivered"),Table1[[#This Row],[Delivery_Date]]-Table1[[#This Row],[Order_Date]],"Not Applicable")</f>
        <v>24</v>
      </c>
      <c r="M1710" s="14">
        <f>Table1[[#This Row],[Unit_Cost]]-Table1[[#This Row],[Negotiated_Cost]]</f>
        <v>259.71000000000095</v>
      </c>
      <c r="N1710" s="18">
        <f>Table1[[#This Row],[Defective_Units]]/Table1[[#This Row],[Quantity]]</f>
        <v>7.4349442379182153E-3</v>
      </c>
      <c r="O1710" s="26">
        <f>(Table1[[#This Row],[Unit_Cost]]-Table1[[#This Row],[Negotiated_Cost]])/Table1[[#This Row],[Unit_Cost]]</f>
        <v>2.2225607329632427E-2</v>
      </c>
    </row>
    <row r="1711" spans="1:15" x14ac:dyDescent="0.25">
      <c r="A1711" t="s">
        <v>1746</v>
      </c>
      <c r="B1711" t="s">
        <v>27</v>
      </c>
      <c r="C1711" s="14" t="s">
        <v>13</v>
      </c>
      <c r="D1711" s="1">
        <v>45013</v>
      </c>
      <c r="E1711" s="13">
        <v>45015</v>
      </c>
      <c r="F1711" s="14" t="s">
        <v>37</v>
      </c>
      <c r="G1711">
        <v>35</v>
      </c>
      <c r="H1711">
        <v>4523.28</v>
      </c>
      <c r="I1711">
        <v>4471.5200000000004</v>
      </c>
      <c r="J1711">
        <v>0</v>
      </c>
      <c r="K1711" s="14" t="s">
        <v>15</v>
      </c>
      <c r="L1711" s="14">
        <f>IF(OR(Table1[[#This Row],[Order_Status]]="Delivered",Table1[[#This Row],[Delivery_Date]]&lt;&gt;"Not Yet Delivered"),Table1[[#This Row],[Delivery_Date]]-Table1[[#This Row],[Order_Date]],"Not Applicable")</f>
        <v>2</v>
      </c>
      <c r="M1711" s="14">
        <f>Table1[[#This Row],[Unit_Cost]]-Table1[[#This Row],[Negotiated_Cost]]</f>
        <v>51.759999999999309</v>
      </c>
      <c r="N1711" s="18">
        <f>Table1[[#This Row],[Defective_Units]]/Table1[[#This Row],[Quantity]]</f>
        <v>0</v>
      </c>
      <c r="O1711" s="26">
        <f>(Table1[[#This Row],[Unit_Cost]]-Table1[[#This Row],[Negotiated_Cost]])/Table1[[#This Row],[Unit_Cost]]</f>
        <v>1.1443023646557214E-2</v>
      </c>
    </row>
    <row r="1712" spans="1:15" x14ac:dyDescent="0.25">
      <c r="A1712" t="s">
        <v>1747</v>
      </c>
      <c r="B1712" t="s">
        <v>46</v>
      </c>
      <c r="C1712" s="14" t="s">
        <v>13</v>
      </c>
      <c r="D1712" s="1">
        <v>45355</v>
      </c>
      <c r="E1712" s="13">
        <v>45370</v>
      </c>
      <c r="F1712" s="14" t="s">
        <v>14</v>
      </c>
      <c r="G1712">
        <v>90</v>
      </c>
      <c r="H1712">
        <v>4392.87</v>
      </c>
      <c r="I1712">
        <v>4196.45</v>
      </c>
      <c r="J1712">
        <v>2</v>
      </c>
      <c r="K1712" s="14" t="s">
        <v>15</v>
      </c>
      <c r="L1712" s="14">
        <f>IF(OR(Table1[[#This Row],[Order_Status]]="Delivered",Table1[[#This Row],[Delivery_Date]]&lt;&gt;"Not Yet Delivered"),Table1[[#This Row],[Delivery_Date]]-Table1[[#This Row],[Order_Date]],"Not Applicable")</f>
        <v>15</v>
      </c>
      <c r="M1712" s="14">
        <f>Table1[[#This Row],[Unit_Cost]]-Table1[[#This Row],[Negotiated_Cost]]</f>
        <v>196.42000000000007</v>
      </c>
      <c r="N1712" s="18">
        <f>Table1[[#This Row],[Defective_Units]]/Table1[[#This Row],[Quantity]]</f>
        <v>2.2222222222222223E-2</v>
      </c>
      <c r="O1712" s="26">
        <f>(Table1[[#This Row],[Unit_Cost]]-Table1[[#This Row],[Negotiated_Cost]])/Table1[[#This Row],[Unit_Cost]]</f>
        <v>4.4713365066573807E-2</v>
      </c>
    </row>
    <row r="1713" spans="1:15" x14ac:dyDescent="0.25">
      <c r="A1713" t="s">
        <v>1748</v>
      </c>
      <c r="B1713" t="s">
        <v>12</v>
      </c>
      <c r="C1713" s="14" t="s">
        <v>21</v>
      </c>
      <c r="D1713" s="1">
        <v>45350</v>
      </c>
      <c r="E1713" s="13">
        <v>45355</v>
      </c>
      <c r="F1713" s="14" t="s">
        <v>14</v>
      </c>
      <c r="G1713">
        <v>276</v>
      </c>
      <c r="H1713">
        <v>129.83000000000001</v>
      </c>
      <c r="I1713">
        <v>123.75</v>
      </c>
      <c r="J1713">
        <v>0</v>
      </c>
      <c r="K1713" s="14" t="s">
        <v>15</v>
      </c>
      <c r="L1713" s="14">
        <f>IF(OR(Table1[[#This Row],[Order_Status]]="Delivered",Table1[[#This Row],[Delivery_Date]]&lt;&gt;"Not Yet Delivered"),Table1[[#This Row],[Delivery_Date]]-Table1[[#This Row],[Order_Date]],"Not Applicable")</f>
        <v>5</v>
      </c>
      <c r="M1713" s="14">
        <f>Table1[[#This Row],[Unit_Cost]]-Table1[[#This Row],[Negotiated_Cost]]</f>
        <v>6.0800000000000125</v>
      </c>
      <c r="N1713" s="18">
        <f>Table1[[#This Row],[Defective_Units]]/Table1[[#This Row],[Quantity]]</f>
        <v>0</v>
      </c>
      <c r="O1713" s="26">
        <f>(Table1[[#This Row],[Unit_Cost]]-Table1[[#This Row],[Negotiated_Cost]])/Table1[[#This Row],[Unit_Cost]]</f>
        <v>4.6830470615420255E-2</v>
      </c>
    </row>
    <row r="1714" spans="1:15" x14ac:dyDescent="0.25">
      <c r="A1714" t="s">
        <v>1749</v>
      </c>
      <c r="B1714" t="s">
        <v>32</v>
      </c>
      <c r="C1714" s="14" t="s">
        <v>30</v>
      </c>
      <c r="D1714" s="1">
        <v>45266</v>
      </c>
      <c r="E1714" s="13">
        <v>45291</v>
      </c>
      <c r="F1714" s="14" t="s">
        <v>14</v>
      </c>
      <c r="G1714">
        <v>158</v>
      </c>
      <c r="H1714">
        <v>828.76</v>
      </c>
      <c r="I1714">
        <v>813.47</v>
      </c>
      <c r="J1714">
        <v>3</v>
      </c>
      <c r="K1714" s="14" t="s">
        <v>15</v>
      </c>
      <c r="L1714" s="14">
        <f>IF(OR(Table1[[#This Row],[Order_Status]]="Delivered",Table1[[#This Row],[Delivery_Date]]&lt;&gt;"Not Yet Delivered"),Table1[[#This Row],[Delivery_Date]]-Table1[[#This Row],[Order_Date]],"Not Applicable")</f>
        <v>25</v>
      </c>
      <c r="M1714" s="14">
        <f>Table1[[#This Row],[Unit_Cost]]-Table1[[#This Row],[Negotiated_Cost]]</f>
        <v>15.289999999999964</v>
      </c>
      <c r="N1714" s="18">
        <f>Table1[[#This Row],[Defective_Units]]/Table1[[#This Row],[Quantity]]</f>
        <v>1.8987341772151899E-2</v>
      </c>
      <c r="O1714" s="26">
        <f>(Table1[[#This Row],[Unit_Cost]]-Table1[[#This Row],[Negotiated_Cost]])/Table1[[#This Row],[Unit_Cost]]</f>
        <v>1.8449249481152522E-2</v>
      </c>
    </row>
    <row r="1715" spans="1:15" x14ac:dyDescent="0.25">
      <c r="A1715" t="s">
        <v>1750</v>
      </c>
      <c r="B1715" t="s">
        <v>40</v>
      </c>
      <c r="C1715" s="14" t="s">
        <v>13</v>
      </c>
      <c r="D1715" s="1">
        <v>45404</v>
      </c>
      <c r="E1715" s="13">
        <v>45432</v>
      </c>
      <c r="F1715" s="14" t="s">
        <v>14</v>
      </c>
      <c r="G1715">
        <v>418</v>
      </c>
      <c r="H1715">
        <v>4491.22</v>
      </c>
      <c r="I1715">
        <v>4426.6000000000004</v>
      </c>
      <c r="J1715">
        <v>8</v>
      </c>
      <c r="K1715" s="14" t="s">
        <v>15</v>
      </c>
      <c r="L1715" s="14">
        <f>IF(OR(Table1[[#This Row],[Order_Status]]="Delivered",Table1[[#This Row],[Delivery_Date]]&lt;&gt;"Not Yet Delivered"),Table1[[#This Row],[Delivery_Date]]-Table1[[#This Row],[Order_Date]],"Not Applicable")</f>
        <v>28</v>
      </c>
      <c r="M1715" s="14">
        <f>Table1[[#This Row],[Unit_Cost]]-Table1[[#This Row],[Negotiated_Cost]]</f>
        <v>64.619999999999891</v>
      </c>
      <c r="N1715" s="18">
        <f>Table1[[#This Row],[Defective_Units]]/Table1[[#This Row],[Quantity]]</f>
        <v>1.9138755980861243E-2</v>
      </c>
      <c r="O1715" s="26">
        <f>(Table1[[#This Row],[Unit_Cost]]-Table1[[#This Row],[Negotiated_Cost]])/Table1[[#This Row],[Unit_Cost]]</f>
        <v>1.4388072728568159E-2</v>
      </c>
    </row>
    <row r="1716" spans="1:15" x14ac:dyDescent="0.25">
      <c r="A1716" t="s">
        <v>1751</v>
      </c>
      <c r="B1716" t="s">
        <v>35</v>
      </c>
      <c r="C1716" s="14" t="s">
        <v>13</v>
      </c>
      <c r="D1716" s="1">
        <v>45059</v>
      </c>
      <c r="E1716" s="14" t="s">
        <v>2057</v>
      </c>
      <c r="F1716" s="14" t="s">
        <v>22</v>
      </c>
      <c r="G1716">
        <v>486</v>
      </c>
      <c r="H1716">
        <v>4292.3900000000003</v>
      </c>
      <c r="I1716">
        <v>4264.5200000000004</v>
      </c>
      <c r="J1716">
        <v>2</v>
      </c>
      <c r="K1716" s="14" t="s">
        <v>15</v>
      </c>
      <c r="L1716" s="14" t="str">
        <f>IF(OR(Table1[[#This Row],[Order_Status]]="Delivered",Table1[[#This Row],[Delivery_Date]]&lt;&gt;"Not Yet Delivered"),Table1[[#This Row],[Delivery_Date]]-Table1[[#This Row],[Order_Date]],"Not Applicable")</f>
        <v>Not Applicable</v>
      </c>
      <c r="M1716" s="14">
        <f>Table1[[#This Row],[Unit_Cost]]-Table1[[#This Row],[Negotiated_Cost]]</f>
        <v>27.869999999999891</v>
      </c>
      <c r="N1716" s="18">
        <f>Table1[[#This Row],[Defective_Units]]/Table1[[#This Row],[Quantity]]</f>
        <v>4.11522633744856E-3</v>
      </c>
      <c r="O1716" s="26">
        <f>(Table1[[#This Row],[Unit_Cost]]-Table1[[#This Row],[Negotiated_Cost]])/Table1[[#This Row],[Unit_Cost]]</f>
        <v>6.4928862475217512E-3</v>
      </c>
    </row>
    <row r="1717" spans="1:15" x14ac:dyDescent="0.25">
      <c r="A1717" t="s">
        <v>1752</v>
      </c>
      <c r="B1717" t="s">
        <v>20</v>
      </c>
      <c r="C1717" s="14" t="s">
        <v>42</v>
      </c>
      <c r="D1717" s="1">
        <v>45425</v>
      </c>
      <c r="E1717" s="13">
        <v>45448</v>
      </c>
      <c r="F1717" s="14" t="s">
        <v>14</v>
      </c>
      <c r="G1717">
        <v>324</v>
      </c>
      <c r="H1717">
        <v>11864.6</v>
      </c>
      <c r="I1717">
        <v>11292.35</v>
      </c>
      <c r="J1717">
        <v>3</v>
      </c>
      <c r="K1717" s="14" t="s">
        <v>15</v>
      </c>
      <c r="L1717" s="14">
        <f>IF(OR(Table1[[#This Row],[Order_Status]]="Delivered",Table1[[#This Row],[Delivery_Date]]&lt;&gt;"Not Yet Delivered"),Table1[[#This Row],[Delivery_Date]]-Table1[[#This Row],[Order_Date]],"Not Applicable")</f>
        <v>23</v>
      </c>
      <c r="M1717" s="14">
        <f>Table1[[#This Row],[Unit_Cost]]-Table1[[#This Row],[Negotiated_Cost]]</f>
        <v>572.25</v>
      </c>
      <c r="N1717" s="18">
        <f>Table1[[#This Row],[Defective_Units]]/Table1[[#This Row],[Quantity]]</f>
        <v>9.2592592592592587E-3</v>
      </c>
      <c r="O1717" s="26">
        <f>(Table1[[#This Row],[Unit_Cost]]-Table1[[#This Row],[Negotiated_Cost]])/Table1[[#This Row],[Unit_Cost]]</f>
        <v>4.8231714512077944E-2</v>
      </c>
    </row>
    <row r="1718" spans="1:15" x14ac:dyDescent="0.25">
      <c r="A1718" t="s">
        <v>1753</v>
      </c>
      <c r="B1718" t="s">
        <v>40</v>
      </c>
      <c r="C1718" s="14" t="s">
        <v>21</v>
      </c>
      <c r="D1718" s="1">
        <v>45135</v>
      </c>
      <c r="E1718" s="13">
        <v>45157</v>
      </c>
      <c r="F1718" s="14" t="s">
        <v>14</v>
      </c>
      <c r="G1718">
        <v>167</v>
      </c>
      <c r="H1718">
        <v>127.9</v>
      </c>
      <c r="I1718">
        <v>122.67</v>
      </c>
      <c r="J1718">
        <v>0</v>
      </c>
      <c r="K1718" s="14" t="s">
        <v>15</v>
      </c>
      <c r="L1718" s="14">
        <f>IF(OR(Table1[[#This Row],[Order_Status]]="Delivered",Table1[[#This Row],[Delivery_Date]]&lt;&gt;"Not Yet Delivered"),Table1[[#This Row],[Delivery_Date]]-Table1[[#This Row],[Order_Date]],"Not Applicable")</f>
        <v>22</v>
      </c>
      <c r="M1718" s="14">
        <f>Table1[[#This Row],[Unit_Cost]]-Table1[[#This Row],[Negotiated_Cost]]</f>
        <v>5.230000000000004</v>
      </c>
      <c r="N1718" s="18">
        <f>Table1[[#This Row],[Defective_Units]]/Table1[[#This Row],[Quantity]]</f>
        <v>0</v>
      </c>
      <c r="O1718" s="26">
        <f>(Table1[[#This Row],[Unit_Cost]]-Table1[[#This Row],[Negotiated_Cost]])/Table1[[#This Row],[Unit_Cost]]</f>
        <v>4.0891321344800655E-2</v>
      </c>
    </row>
    <row r="1719" spans="1:15" x14ac:dyDescent="0.25">
      <c r="A1719" t="s">
        <v>1754</v>
      </c>
      <c r="B1719" t="s">
        <v>32</v>
      </c>
      <c r="C1719" s="14" t="s">
        <v>13</v>
      </c>
      <c r="D1719" s="1">
        <v>44945</v>
      </c>
      <c r="E1719" s="13">
        <v>44967</v>
      </c>
      <c r="F1719" s="14" t="s">
        <v>14</v>
      </c>
      <c r="G1719">
        <v>59</v>
      </c>
      <c r="H1719">
        <v>3826.86</v>
      </c>
      <c r="I1719">
        <v>3641.85</v>
      </c>
      <c r="J1719">
        <v>1</v>
      </c>
      <c r="K1719" s="14" t="s">
        <v>15</v>
      </c>
      <c r="L1719" s="14">
        <f>IF(OR(Table1[[#This Row],[Order_Status]]="Delivered",Table1[[#This Row],[Delivery_Date]]&lt;&gt;"Not Yet Delivered"),Table1[[#This Row],[Delivery_Date]]-Table1[[#This Row],[Order_Date]],"Not Applicable")</f>
        <v>22</v>
      </c>
      <c r="M1719" s="14">
        <f>Table1[[#This Row],[Unit_Cost]]-Table1[[#This Row],[Negotiated_Cost]]</f>
        <v>185.01000000000022</v>
      </c>
      <c r="N1719" s="18">
        <f>Table1[[#This Row],[Defective_Units]]/Table1[[#This Row],[Quantity]]</f>
        <v>1.6949152542372881E-2</v>
      </c>
      <c r="O1719" s="26">
        <f>(Table1[[#This Row],[Unit_Cost]]-Table1[[#This Row],[Negotiated_Cost]])/Table1[[#This Row],[Unit_Cost]]</f>
        <v>4.8345118452203691E-2</v>
      </c>
    </row>
    <row r="1720" spans="1:15" x14ac:dyDescent="0.25">
      <c r="A1720" t="s">
        <v>1755</v>
      </c>
      <c r="B1720" t="s">
        <v>12</v>
      </c>
      <c r="C1720" s="14" t="s">
        <v>30</v>
      </c>
      <c r="D1720" s="1">
        <v>45437</v>
      </c>
      <c r="E1720" s="13">
        <v>45462</v>
      </c>
      <c r="F1720" s="14" t="s">
        <v>14</v>
      </c>
      <c r="G1720">
        <v>334</v>
      </c>
      <c r="H1720">
        <v>966.12</v>
      </c>
      <c r="I1720">
        <v>910.14</v>
      </c>
      <c r="J1720">
        <v>0</v>
      </c>
      <c r="K1720" s="14" t="s">
        <v>25</v>
      </c>
      <c r="L1720" s="14">
        <f>IF(OR(Table1[[#This Row],[Order_Status]]="Delivered",Table1[[#This Row],[Delivery_Date]]&lt;&gt;"Not Yet Delivered"),Table1[[#This Row],[Delivery_Date]]-Table1[[#This Row],[Order_Date]],"Not Applicable")</f>
        <v>25</v>
      </c>
      <c r="M1720" s="14">
        <f>Table1[[#This Row],[Unit_Cost]]-Table1[[#This Row],[Negotiated_Cost]]</f>
        <v>55.980000000000018</v>
      </c>
      <c r="N1720" s="18">
        <f>Table1[[#This Row],[Defective_Units]]/Table1[[#This Row],[Quantity]]</f>
        <v>0</v>
      </c>
      <c r="O1720" s="26">
        <f>(Table1[[#This Row],[Unit_Cost]]-Table1[[#This Row],[Negotiated_Cost]])/Table1[[#This Row],[Unit_Cost]]</f>
        <v>5.7943112656812838E-2</v>
      </c>
    </row>
    <row r="1721" spans="1:15" x14ac:dyDescent="0.25">
      <c r="A1721" t="s">
        <v>1756</v>
      </c>
      <c r="B1721" t="s">
        <v>40</v>
      </c>
      <c r="C1721" s="14" t="s">
        <v>44</v>
      </c>
      <c r="D1721" s="1">
        <v>45146</v>
      </c>
      <c r="E1721" s="13">
        <v>45156</v>
      </c>
      <c r="F1721" s="14" t="s">
        <v>14</v>
      </c>
      <c r="G1721">
        <v>331</v>
      </c>
      <c r="H1721">
        <v>8712.2000000000007</v>
      </c>
      <c r="I1721">
        <v>8684.31</v>
      </c>
      <c r="J1721">
        <v>1</v>
      </c>
      <c r="K1721" s="14" t="s">
        <v>15</v>
      </c>
      <c r="L1721" s="14">
        <f>IF(OR(Table1[[#This Row],[Order_Status]]="Delivered",Table1[[#This Row],[Delivery_Date]]&lt;&gt;"Not Yet Delivered"),Table1[[#This Row],[Delivery_Date]]-Table1[[#This Row],[Order_Date]],"Not Applicable")</f>
        <v>10</v>
      </c>
      <c r="M1721" s="14">
        <f>Table1[[#This Row],[Unit_Cost]]-Table1[[#This Row],[Negotiated_Cost]]</f>
        <v>27.890000000001237</v>
      </c>
      <c r="N1721" s="18">
        <f>Table1[[#This Row],[Defective_Units]]/Table1[[#This Row],[Quantity]]</f>
        <v>3.0211480362537764E-3</v>
      </c>
      <c r="O1721" s="26">
        <f>(Table1[[#This Row],[Unit_Cost]]-Table1[[#This Row],[Negotiated_Cost]])/Table1[[#This Row],[Unit_Cost]]</f>
        <v>3.2012580060146959E-3</v>
      </c>
    </row>
    <row r="1722" spans="1:15" x14ac:dyDescent="0.25">
      <c r="A1722" t="s">
        <v>1757</v>
      </c>
      <c r="B1722" t="s">
        <v>27</v>
      </c>
      <c r="C1722" s="14" t="s">
        <v>21</v>
      </c>
      <c r="D1722" s="1">
        <v>45456</v>
      </c>
      <c r="E1722" s="13">
        <v>45485</v>
      </c>
      <c r="F1722" s="14" t="s">
        <v>14</v>
      </c>
      <c r="G1722">
        <v>401</v>
      </c>
      <c r="H1722">
        <v>115.17</v>
      </c>
      <c r="I1722">
        <v>111.18</v>
      </c>
      <c r="J1722">
        <v>1</v>
      </c>
      <c r="K1722" s="14" t="s">
        <v>15</v>
      </c>
      <c r="L1722" s="14">
        <f>IF(OR(Table1[[#This Row],[Order_Status]]="Delivered",Table1[[#This Row],[Delivery_Date]]&lt;&gt;"Not Yet Delivered"),Table1[[#This Row],[Delivery_Date]]-Table1[[#This Row],[Order_Date]],"Not Applicable")</f>
        <v>29</v>
      </c>
      <c r="M1722" s="14">
        <f>Table1[[#This Row],[Unit_Cost]]-Table1[[#This Row],[Negotiated_Cost]]</f>
        <v>3.9899999999999949</v>
      </c>
      <c r="N1722" s="18">
        <f>Table1[[#This Row],[Defective_Units]]/Table1[[#This Row],[Quantity]]</f>
        <v>2.4937655860349127E-3</v>
      </c>
      <c r="O1722" s="26">
        <f>(Table1[[#This Row],[Unit_Cost]]-Table1[[#This Row],[Negotiated_Cost]])/Table1[[#This Row],[Unit_Cost]]</f>
        <v>3.4644438655899931E-2</v>
      </c>
    </row>
    <row r="1723" spans="1:15" x14ac:dyDescent="0.25">
      <c r="A1723" t="s">
        <v>1758</v>
      </c>
      <c r="B1723" t="s">
        <v>27</v>
      </c>
      <c r="C1723" s="14" t="s">
        <v>28</v>
      </c>
      <c r="D1723" s="1">
        <v>45614</v>
      </c>
      <c r="E1723" s="13">
        <v>45635</v>
      </c>
      <c r="F1723" s="14" t="s">
        <v>14</v>
      </c>
      <c r="G1723">
        <v>421</v>
      </c>
      <c r="H1723">
        <v>48998.5</v>
      </c>
      <c r="I1723">
        <v>46154.59</v>
      </c>
      <c r="J1723">
        <v>6</v>
      </c>
      <c r="K1723" s="14" t="s">
        <v>15</v>
      </c>
      <c r="L1723" s="14">
        <f>IF(OR(Table1[[#This Row],[Order_Status]]="Delivered",Table1[[#This Row],[Delivery_Date]]&lt;&gt;"Not Yet Delivered"),Table1[[#This Row],[Delivery_Date]]-Table1[[#This Row],[Order_Date]],"Not Applicable")</f>
        <v>21</v>
      </c>
      <c r="M1723" s="14">
        <f>Table1[[#This Row],[Unit_Cost]]-Table1[[#This Row],[Negotiated_Cost]]</f>
        <v>2843.9100000000035</v>
      </c>
      <c r="N1723" s="18">
        <f>Table1[[#This Row],[Defective_Units]]/Table1[[#This Row],[Quantity]]</f>
        <v>1.4251781472684086E-2</v>
      </c>
      <c r="O1723" s="26">
        <f>(Table1[[#This Row],[Unit_Cost]]-Table1[[#This Row],[Negotiated_Cost]])/Table1[[#This Row],[Unit_Cost]]</f>
        <v>5.8040756349684246E-2</v>
      </c>
    </row>
    <row r="1724" spans="1:15" x14ac:dyDescent="0.25">
      <c r="A1724" t="s">
        <v>1759</v>
      </c>
      <c r="B1724" t="s">
        <v>27</v>
      </c>
      <c r="C1724" s="14" t="s">
        <v>13</v>
      </c>
      <c r="D1724" s="1">
        <v>45394</v>
      </c>
      <c r="E1724" s="13">
        <v>45415</v>
      </c>
      <c r="F1724" s="14" t="s">
        <v>37</v>
      </c>
      <c r="G1724">
        <v>147</v>
      </c>
      <c r="H1724">
        <v>4153.5200000000004</v>
      </c>
      <c r="I1724">
        <v>4071.22</v>
      </c>
      <c r="J1724">
        <v>2</v>
      </c>
      <c r="K1724" s="14" t="s">
        <v>15</v>
      </c>
      <c r="L1724" s="14">
        <f>IF(OR(Table1[[#This Row],[Order_Status]]="Delivered",Table1[[#This Row],[Delivery_Date]]&lt;&gt;"Not Yet Delivered"),Table1[[#This Row],[Delivery_Date]]-Table1[[#This Row],[Order_Date]],"Not Applicable")</f>
        <v>21</v>
      </c>
      <c r="M1724" s="14">
        <f>Table1[[#This Row],[Unit_Cost]]-Table1[[#This Row],[Negotiated_Cost]]</f>
        <v>82.300000000000637</v>
      </c>
      <c r="N1724" s="18">
        <f>Table1[[#This Row],[Defective_Units]]/Table1[[#This Row],[Quantity]]</f>
        <v>1.3605442176870748E-2</v>
      </c>
      <c r="O1724" s="26">
        <f>(Table1[[#This Row],[Unit_Cost]]-Table1[[#This Row],[Negotiated_Cost]])/Table1[[#This Row],[Unit_Cost]]</f>
        <v>1.9814518769622064E-2</v>
      </c>
    </row>
    <row r="1725" spans="1:15" x14ac:dyDescent="0.25">
      <c r="A1725" t="s">
        <v>1760</v>
      </c>
      <c r="B1725" t="s">
        <v>40</v>
      </c>
      <c r="C1725" s="14" t="s">
        <v>36</v>
      </c>
      <c r="D1725" s="1">
        <v>45446</v>
      </c>
      <c r="E1725" s="13">
        <v>45461</v>
      </c>
      <c r="F1725" s="14" t="s">
        <v>14</v>
      </c>
      <c r="G1725">
        <v>475</v>
      </c>
      <c r="H1725">
        <v>594.82000000000005</v>
      </c>
      <c r="I1725">
        <v>568.61</v>
      </c>
      <c r="J1725">
        <v>1</v>
      </c>
      <c r="K1725" s="14" t="s">
        <v>15</v>
      </c>
      <c r="L1725" s="14">
        <f>IF(OR(Table1[[#This Row],[Order_Status]]="Delivered",Table1[[#This Row],[Delivery_Date]]&lt;&gt;"Not Yet Delivered"),Table1[[#This Row],[Delivery_Date]]-Table1[[#This Row],[Order_Date]],"Not Applicable")</f>
        <v>15</v>
      </c>
      <c r="M1725" s="14">
        <f>Table1[[#This Row],[Unit_Cost]]-Table1[[#This Row],[Negotiated_Cost]]</f>
        <v>26.210000000000036</v>
      </c>
      <c r="N1725" s="18">
        <f>Table1[[#This Row],[Defective_Units]]/Table1[[#This Row],[Quantity]]</f>
        <v>2.1052631578947368E-3</v>
      </c>
      <c r="O1725" s="26">
        <f>(Table1[[#This Row],[Unit_Cost]]-Table1[[#This Row],[Negotiated_Cost]])/Table1[[#This Row],[Unit_Cost]]</f>
        <v>4.4063750378265751E-2</v>
      </c>
    </row>
    <row r="1726" spans="1:15" x14ac:dyDescent="0.25">
      <c r="A1726" t="s">
        <v>1761</v>
      </c>
      <c r="B1726" t="s">
        <v>27</v>
      </c>
      <c r="C1726" s="14" t="s">
        <v>48</v>
      </c>
      <c r="D1726" s="1">
        <v>45068</v>
      </c>
      <c r="E1726" s="13">
        <v>45087</v>
      </c>
      <c r="F1726" s="14" t="s">
        <v>37</v>
      </c>
      <c r="G1726">
        <v>82</v>
      </c>
      <c r="H1726">
        <v>6500.92</v>
      </c>
      <c r="I1726">
        <v>6138.81</v>
      </c>
      <c r="J1726">
        <v>1</v>
      </c>
      <c r="K1726" s="14" t="s">
        <v>15</v>
      </c>
      <c r="L1726" s="14">
        <f>IF(OR(Table1[[#This Row],[Order_Status]]="Delivered",Table1[[#This Row],[Delivery_Date]]&lt;&gt;"Not Yet Delivered"),Table1[[#This Row],[Delivery_Date]]-Table1[[#This Row],[Order_Date]],"Not Applicable")</f>
        <v>19</v>
      </c>
      <c r="M1726" s="14">
        <f>Table1[[#This Row],[Unit_Cost]]-Table1[[#This Row],[Negotiated_Cost]]</f>
        <v>362.10999999999967</v>
      </c>
      <c r="N1726" s="18">
        <f>Table1[[#This Row],[Defective_Units]]/Table1[[#This Row],[Quantity]]</f>
        <v>1.2195121951219513E-2</v>
      </c>
      <c r="O1726" s="26">
        <f>(Table1[[#This Row],[Unit_Cost]]-Table1[[#This Row],[Negotiated_Cost]])/Table1[[#This Row],[Unit_Cost]]</f>
        <v>5.5701346886286814E-2</v>
      </c>
    </row>
    <row r="1727" spans="1:15" x14ac:dyDescent="0.25">
      <c r="A1727" t="s">
        <v>1762</v>
      </c>
      <c r="B1727" t="s">
        <v>40</v>
      </c>
      <c r="C1727" s="14" t="s">
        <v>24</v>
      </c>
      <c r="D1727" s="1">
        <v>45197</v>
      </c>
      <c r="E1727" s="14" t="s">
        <v>2057</v>
      </c>
      <c r="F1727" s="14" t="s">
        <v>33</v>
      </c>
      <c r="G1727">
        <v>68</v>
      </c>
      <c r="H1727">
        <v>12891.57</v>
      </c>
      <c r="I1727">
        <v>12384.97</v>
      </c>
      <c r="J1727">
        <v>2</v>
      </c>
      <c r="K1727" s="14" t="s">
        <v>15</v>
      </c>
      <c r="L1727" s="14" t="str">
        <f>IF(OR(Table1[[#This Row],[Order_Status]]="Delivered",Table1[[#This Row],[Delivery_Date]]&lt;&gt;"Not Yet Delivered"),Table1[[#This Row],[Delivery_Date]]-Table1[[#This Row],[Order_Date]],"Not Applicable")</f>
        <v>Not Applicable</v>
      </c>
      <c r="M1727" s="14">
        <f>Table1[[#This Row],[Unit_Cost]]-Table1[[#This Row],[Negotiated_Cost]]</f>
        <v>506.60000000000036</v>
      </c>
      <c r="N1727" s="18">
        <f>Table1[[#This Row],[Defective_Units]]/Table1[[#This Row],[Quantity]]</f>
        <v>2.9411764705882353E-2</v>
      </c>
      <c r="O1727" s="26">
        <f>(Table1[[#This Row],[Unit_Cost]]-Table1[[#This Row],[Negotiated_Cost]])/Table1[[#This Row],[Unit_Cost]]</f>
        <v>3.929699796068286E-2</v>
      </c>
    </row>
    <row r="1728" spans="1:15" x14ac:dyDescent="0.25">
      <c r="A1728" t="s">
        <v>1763</v>
      </c>
      <c r="B1728" t="s">
        <v>32</v>
      </c>
      <c r="C1728" s="14" t="s">
        <v>36</v>
      </c>
      <c r="D1728" s="1">
        <v>45507</v>
      </c>
      <c r="E1728" s="13">
        <v>45533</v>
      </c>
      <c r="F1728" s="14" t="s">
        <v>14</v>
      </c>
      <c r="G1728">
        <v>190</v>
      </c>
      <c r="H1728">
        <v>501.07</v>
      </c>
      <c r="I1728">
        <v>483.59</v>
      </c>
      <c r="J1728">
        <v>2</v>
      </c>
      <c r="K1728" s="14" t="s">
        <v>15</v>
      </c>
      <c r="L1728" s="14">
        <f>IF(OR(Table1[[#This Row],[Order_Status]]="Delivered",Table1[[#This Row],[Delivery_Date]]&lt;&gt;"Not Yet Delivered"),Table1[[#This Row],[Delivery_Date]]-Table1[[#This Row],[Order_Date]],"Not Applicable")</f>
        <v>26</v>
      </c>
      <c r="M1728" s="14">
        <f>Table1[[#This Row],[Unit_Cost]]-Table1[[#This Row],[Negotiated_Cost]]</f>
        <v>17.480000000000018</v>
      </c>
      <c r="N1728" s="18">
        <f>Table1[[#This Row],[Defective_Units]]/Table1[[#This Row],[Quantity]]</f>
        <v>1.0526315789473684E-2</v>
      </c>
      <c r="O1728" s="26">
        <f>(Table1[[#This Row],[Unit_Cost]]-Table1[[#This Row],[Negotiated_Cost]])/Table1[[#This Row],[Unit_Cost]]</f>
        <v>3.4885345360927654E-2</v>
      </c>
    </row>
    <row r="1729" spans="1:15" x14ac:dyDescent="0.25">
      <c r="A1729" t="s">
        <v>1764</v>
      </c>
      <c r="B1729" t="s">
        <v>40</v>
      </c>
      <c r="C1729" s="14" t="s">
        <v>36</v>
      </c>
      <c r="D1729" s="1">
        <v>45521</v>
      </c>
      <c r="E1729" s="13">
        <v>45550</v>
      </c>
      <c r="F1729" s="14" t="s">
        <v>14</v>
      </c>
      <c r="G1729">
        <v>362</v>
      </c>
      <c r="H1729">
        <v>601.72</v>
      </c>
      <c r="I1729">
        <v>579.64</v>
      </c>
      <c r="J1729">
        <v>6</v>
      </c>
      <c r="K1729" s="14" t="s">
        <v>15</v>
      </c>
      <c r="L1729" s="14">
        <f>IF(OR(Table1[[#This Row],[Order_Status]]="Delivered",Table1[[#This Row],[Delivery_Date]]&lt;&gt;"Not Yet Delivered"),Table1[[#This Row],[Delivery_Date]]-Table1[[#This Row],[Order_Date]],"Not Applicable")</f>
        <v>29</v>
      </c>
      <c r="M1729" s="14">
        <f>Table1[[#This Row],[Unit_Cost]]-Table1[[#This Row],[Negotiated_Cost]]</f>
        <v>22.080000000000041</v>
      </c>
      <c r="N1729" s="18">
        <f>Table1[[#This Row],[Defective_Units]]/Table1[[#This Row],[Quantity]]</f>
        <v>1.6574585635359115E-2</v>
      </c>
      <c r="O1729" s="26">
        <f>(Table1[[#This Row],[Unit_Cost]]-Table1[[#This Row],[Negotiated_Cost]])/Table1[[#This Row],[Unit_Cost]]</f>
        <v>3.6694808216446252E-2</v>
      </c>
    </row>
    <row r="1730" spans="1:15" x14ac:dyDescent="0.25">
      <c r="A1730" t="s">
        <v>1765</v>
      </c>
      <c r="B1730" t="s">
        <v>46</v>
      </c>
      <c r="C1730" s="14" t="s">
        <v>36</v>
      </c>
      <c r="D1730" s="1">
        <v>45188</v>
      </c>
      <c r="E1730" s="13">
        <v>45215</v>
      </c>
      <c r="F1730" s="14" t="s">
        <v>14</v>
      </c>
      <c r="G1730">
        <v>219</v>
      </c>
      <c r="H1730">
        <v>568.19000000000005</v>
      </c>
      <c r="I1730">
        <v>556.99</v>
      </c>
      <c r="J1730">
        <v>4</v>
      </c>
      <c r="K1730" s="14" t="s">
        <v>15</v>
      </c>
      <c r="L1730" s="14">
        <f>IF(OR(Table1[[#This Row],[Order_Status]]="Delivered",Table1[[#This Row],[Delivery_Date]]&lt;&gt;"Not Yet Delivered"),Table1[[#This Row],[Delivery_Date]]-Table1[[#This Row],[Order_Date]],"Not Applicable")</f>
        <v>27</v>
      </c>
      <c r="M1730" s="14">
        <f>Table1[[#This Row],[Unit_Cost]]-Table1[[#This Row],[Negotiated_Cost]]</f>
        <v>11.200000000000045</v>
      </c>
      <c r="N1730" s="18">
        <f>Table1[[#This Row],[Defective_Units]]/Table1[[#This Row],[Quantity]]</f>
        <v>1.8264840182648401E-2</v>
      </c>
      <c r="O1730" s="26">
        <f>(Table1[[#This Row],[Unit_Cost]]-Table1[[#This Row],[Negotiated_Cost]])/Table1[[#This Row],[Unit_Cost]]</f>
        <v>1.9711716151287501E-2</v>
      </c>
    </row>
    <row r="1731" spans="1:15" x14ac:dyDescent="0.25">
      <c r="A1731" t="s">
        <v>1766</v>
      </c>
      <c r="B1731" t="s">
        <v>12</v>
      </c>
      <c r="C1731" s="14" t="s">
        <v>44</v>
      </c>
      <c r="D1731" s="1">
        <v>45280</v>
      </c>
      <c r="E1731" s="13">
        <v>45287</v>
      </c>
      <c r="F1731" s="14" t="s">
        <v>14</v>
      </c>
      <c r="G1731">
        <v>478</v>
      </c>
      <c r="H1731">
        <v>8972.74</v>
      </c>
      <c r="I1731">
        <v>8544.8700000000008</v>
      </c>
      <c r="J1731">
        <v>3</v>
      </c>
      <c r="K1731" s="14" t="s">
        <v>15</v>
      </c>
      <c r="L1731" s="14">
        <f>IF(OR(Table1[[#This Row],[Order_Status]]="Delivered",Table1[[#This Row],[Delivery_Date]]&lt;&gt;"Not Yet Delivered"),Table1[[#This Row],[Delivery_Date]]-Table1[[#This Row],[Order_Date]],"Not Applicable")</f>
        <v>7</v>
      </c>
      <c r="M1731" s="14">
        <f>Table1[[#This Row],[Unit_Cost]]-Table1[[#This Row],[Negotiated_Cost]]</f>
        <v>427.86999999999898</v>
      </c>
      <c r="N1731" s="18">
        <f>Table1[[#This Row],[Defective_Units]]/Table1[[#This Row],[Quantity]]</f>
        <v>6.2761506276150627E-3</v>
      </c>
      <c r="O1731" s="26">
        <f>(Table1[[#This Row],[Unit_Cost]]-Table1[[#This Row],[Negotiated_Cost]])/Table1[[#This Row],[Unit_Cost]]</f>
        <v>4.7685545329520192E-2</v>
      </c>
    </row>
    <row r="1732" spans="1:15" x14ac:dyDescent="0.25">
      <c r="A1732" t="s">
        <v>1767</v>
      </c>
      <c r="B1732" t="s">
        <v>12</v>
      </c>
      <c r="C1732" s="14" t="s">
        <v>42</v>
      </c>
      <c r="D1732" s="1">
        <v>45407</v>
      </c>
      <c r="E1732" s="14" t="s">
        <v>2057</v>
      </c>
      <c r="F1732" s="14" t="s">
        <v>33</v>
      </c>
      <c r="G1732">
        <v>371</v>
      </c>
      <c r="H1732">
        <v>12528.52</v>
      </c>
      <c r="I1732">
        <v>12373.17</v>
      </c>
      <c r="J1732">
        <v>2</v>
      </c>
      <c r="K1732" s="14" t="s">
        <v>15</v>
      </c>
      <c r="L1732" s="14" t="str">
        <f>IF(OR(Table1[[#This Row],[Order_Status]]="Delivered",Table1[[#This Row],[Delivery_Date]]&lt;&gt;"Not Yet Delivered"),Table1[[#This Row],[Delivery_Date]]-Table1[[#This Row],[Order_Date]],"Not Applicable")</f>
        <v>Not Applicable</v>
      </c>
      <c r="M1732" s="14">
        <f>Table1[[#This Row],[Unit_Cost]]-Table1[[#This Row],[Negotiated_Cost]]</f>
        <v>155.35000000000036</v>
      </c>
      <c r="N1732" s="18">
        <f>Table1[[#This Row],[Defective_Units]]/Table1[[#This Row],[Quantity]]</f>
        <v>5.3908355795148251E-3</v>
      </c>
      <c r="O1732" s="26">
        <f>(Table1[[#This Row],[Unit_Cost]]-Table1[[#This Row],[Negotiated_Cost]])/Table1[[#This Row],[Unit_Cost]]</f>
        <v>1.2399708824346401E-2</v>
      </c>
    </row>
    <row r="1733" spans="1:15" x14ac:dyDescent="0.25">
      <c r="A1733" t="s">
        <v>1768</v>
      </c>
      <c r="B1733" t="s">
        <v>20</v>
      </c>
      <c r="C1733" s="14" t="s">
        <v>48</v>
      </c>
      <c r="D1733" s="1">
        <v>45569</v>
      </c>
      <c r="E1733" s="13">
        <v>45571</v>
      </c>
      <c r="F1733" s="14" t="s">
        <v>37</v>
      </c>
      <c r="G1733">
        <v>364</v>
      </c>
      <c r="H1733">
        <v>6276.67</v>
      </c>
      <c r="I1733">
        <v>5974.67</v>
      </c>
      <c r="J1733">
        <v>3</v>
      </c>
      <c r="K1733" s="14" t="s">
        <v>15</v>
      </c>
      <c r="L1733" s="14">
        <f>IF(OR(Table1[[#This Row],[Order_Status]]="Delivered",Table1[[#This Row],[Delivery_Date]]&lt;&gt;"Not Yet Delivered"),Table1[[#This Row],[Delivery_Date]]-Table1[[#This Row],[Order_Date]],"Not Applicable")</f>
        <v>2</v>
      </c>
      <c r="M1733" s="14">
        <f>Table1[[#This Row],[Unit_Cost]]-Table1[[#This Row],[Negotiated_Cost]]</f>
        <v>302</v>
      </c>
      <c r="N1733" s="18">
        <f>Table1[[#This Row],[Defective_Units]]/Table1[[#This Row],[Quantity]]</f>
        <v>8.241758241758242E-3</v>
      </c>
      <c r="O1733" s="26">
        <f>(Table1[[#This Row],[Unit_Cost]]-Table1[[#This Row],[Negotiated_Cost]])/Table1[[#This Row],[Unit_Cost]]</f>
        <v>4.81146850160993E-2</v>
      </c>
    </row>
    <row r="1734" spans="1:15" x14ac:dyDescent="0.25">
      <c r="A1734" t="s">
        <v>1769</v>
      </c>
      <c r="B1734" t="s">
        <v>27</v>
      </c>
      <c r="C1734" s="14" t="s">
        <v>55</v>
      </c>
      <c r="D1734" s="1">
        <v>45437</v>
      </c>
      <c r="E1734" s="13">
        <v>45442</v>
      </c>
      <c r="F1734" s="14" t="s">
        <v>14</v>
      </c>
      <c r="G1734">
        <v>416</v>
      </c>
      <c r="H1734">
        <v>15433.4</v>
      </c>
      <c r="I1734">
        <v>14690.72</v>
      </c>
      <c r="J1734">
        <v>1</v>
      </c>
      <c r="K1734" s="14" t="s">
        <v>15</v>
      </c>
      <c r="L1734" s="14">
        <f>IF(OR(Table1[[#This Row],[Order_Status]]="Delivered",Table1[[#This Row],[Delivery_Date]]&lt;&gt;"Not Yet Delivered"),Table1[[#This Row],[Delivery_Date]]-Table1[[#This Row],[Order_Date]],"Not Applicable")</f>
        <v>5</v>
      </c>
      <c r="M1734" s="14">
        <f>Table1[[#This Row],[Unit_Cost]]-Table1[[#This Row],[Negotiated_Cost]]</f>
        <v>742.68000000000029</v>
      </c>
      <c r="N1734" s="18">
        <f>Table1[[#This Row],[Defective_Units]]/Table1[[#This Row],[Quantity]]</f>
        <v>2.403846153846154E-3</v>
      </c>
      <c r="O1734" s="26">
        <f>(Table1[[#This Row],[Unit_Cost]]-Table1[[#This Row],[Negotiated_Cost]])/Table1[[#This Row],[Unit_Cost]]</f>
        <v>4.812160638614954E-2</v>
      </c>
    </row>
    <row r="1735" spans="1:15" x14ac:dyDescent="0.25">
      <c r="A1735" t="s">
        <v>1770</v>
      </c>
      <c r="B1735" t="s">
        <v>32</v>
      </c>
      <c r="C1735" s="14" t="s">
        <v>24</v>
      </c>
      <c r="D1735" s="1">
        <v>45623</v>
      </c>
      <c r="E1735" s="14" t="s">
        <v>2057</v>
      </c>
      <c r="F1735" s="14" t="s">
        <v>22</v>
      </c>
      <c r="G1735">
        <v>453</v>
      </c>
      <c r="H1735">
        <v>11090.36</v>
      </c>
      <c r="I1735">
        <v>10469.89</v>
      </c>
      <c r="J1735">
        <v>2</v>
      </c>
      <c r="K1735" s="14" t="s">
        <v>15</v>
      </c>
      <c r="L1735" s="14" t="str">
        <f>IF(OR(Table1[[#This Row],[Order_Status]]="Delivered",Table1[[#This Row],[Delivery_Date]]&lt;&gt;"Not Yet Delivered"),Table1[[#This Row],[Delivery_Date]]-Table1[[#This Row],[Order_Date]],"Not Applicable")</f>
        <v>Not Applicable</v>
      </c>
      <c r="M1735" s="14">
        <f>Table1[[#This Row],[Unit_Cost]]-Table1[[#This Row],[Negotiated_Cost]]</f>
        <v>620.47000000000116</v>
      </c>
      <c r="N1735" s="18">
        <f>Table1[[#This Row],[Defective_Units]]/Table1[[#This Row],[Quantity]]</f>
        <v>4.4150110375275938E-3</v>
      </c>
      <c r="O1735" s="26">
        <f>(Table1[[#This Row],[Unit_Cost]]-Table1[[#This Row],[Negotiated_Cost]])/Table1[[#This Row],[Unit_Cost]]</f>
        <v>5.5946786217940726E-2</v>
      </c>
    </row>
    <row r="1736" spans="1:15" x14ac:dyDescent="0.25">
      <c r="A1736" t="s">
        <v>1771</v>
      </c>
      <c r="B1736" t="s">
        <v>35</v>
      </c>
      <c r="C1736" s="14" t="s">
        <v>30</v>
      </c>
      <c r="D1736" s="1">
        <v>44950</v>
      </c>
      <c r="E1736" s="13">
        <v>44952</v>
      </c>
      <c r="F1736" s="14" t="s">
        <v>14</v>
      </c>
      <c r="G1736">
        <v>31</v>
      </c>
      <c r="H1736">
        <v>935.67</v>
      </c>
      <c r="I1736">
        <v>915.18</v>
      </c>
      <c r="J1736">
        <v>1</v>
      </c>
      <c r="K1736" s="14" t="s">
        <v>15</v>
      </c>
      <c r="L1736" s="14">
        <f>IF(OR(Table1[[#This Row],[Order_Status]]="Delivered",Table1[[#This Row],[Delivery_Date]]&lt;&gt;"Not Yet Delivered"),Table1[[#This Row],[Delivery_Date]]-Table1[[#This Row],[Order_Date]],"Not Applicable")</f>
        <v>2</v>
      </c>
      <c r="M1736" s="14">
        <f>Table1[[#This Row],[Unit_Cost]]-Table1[[#This Row],[Negotiated_Cost]]</f>
        <v>20.490000000000009</v>
      </c>
      <c r="N1736" s="18">
        <f>Table1[[#This Row],[Defective_Units]]/Table1[[#This Row],[Quantity]]</f>
        <v>3.2258064516129031E-2</v>
      </c>
      <c r="O1736" s="26">
        <f>(Table1[[#This Row],[Unit_Cost]]-Table1[[#This Row],[Negotiated_Cost]])/Table1[[#This Row],[Unit_Cost]]</f>
        <v>2.1898746352880832E-2</v>
      </c>
    </row>
    <row r="1737" spans="1:15" x14ac:dyDescent="0.25">
      <c r="A1737" t="s">
        <v>1772</v>
      </c>
      <c r="B1737" t="s">
        <v>27</v>
      </c>
      <c r="C1737" s="14" t="s">
        <v>28</v>
      </c>
      <c r="D1737" s="1">
        <v>45362</v>
      </c>
      <c r="E1737" s="13">
        <v>45367</v>
      </c>
      <c r="F1737" s="14" t="s">
        <v>14</v>
      </c>
      <c r="G1737">
        <v>44</v>
      </c>
      <c r="H1737">
        <v>47867.26</v>
      </c>
      <c r="I1737">
        <v>45774.74</v>
      </c>
      <c r="J1737">
        <v>0</v>
      </c>
      <c r="K1737" s="14" t="s">
        <v>25</v>
      </c>
      <c r="L1737" s="14">
        <f>IF(OR(Table1[[#This Row],[Order_Status]]="Delivered",Table1[[#This Row],[Delivery_Date]]&lt;&gt;"Not Yet Delivered"),Table1[[#This Row],[Delivery_Date]]-Table1[[#This Row],[Order_Date]],"Not Applicable")</f>
        <v>5</v>
      </c>
      <c r="M1737" s="14">
        <f>Table1[[#This Row],[Unit_Cost]]-Table1[[#This Row],[Negotiated_Cost]]</f>
        <v>2092.5200000000041</v>
      </c>
      <c r="N1737" s="18">
        <f>Table1[[#This Row],[Defective_Units]]/Table1[[#This Row],[Quantity]]</f>
        <v>0</v>
      </c>
      <c r="O1737" s="26">
        <f>(Table1[[#This Row],[Unit_Cost]]-Table1[[#This Row],[Negotiated_Cost]])/Table1[[#This Row],[Unit_Cost]]</f>
        <v>4.371505701391732E-2</v>
      </c>
    </row>
    <row r="1738" spans="1:15" x14ac:dyDescent="0.25">
      <c r="A1738" t="s">
        <v>1773</v>
      </c>
      <c r="B1738" t="s">
        <v>17</v>
      </c>
      <c r="C1738" s="14" t="s">
        <v>24</v>
      </c>
      <c r="D1738" s="1">
        <v>45122</v>
      </c>
      <c r="E1738" s="13">
        <v>45131</v>
      </c>
      <c r="F1738" s="14" t="s">
        <v>14</v>
      </c>
      <c r="G1738">
        <v>78</v>
      </c>
      <c r="H1738">
        <v>11903.81</v>
      </c>
      <c r="I1738">
        <v>11766.19</v>
      </c>
      <c r="J1738">
        <v>1</v>
      </c>
      <c r="K1738" s="14" t="s">
        <v>25</v>
      </c>
      <c r="L1738" s="14">
        <f>IF(OR(Table1[[#This Row],[Order_Status]]="Delivered",Table1[[#This Row],[Delivery_Date]]&lt;&gt;"Not Yet Delivered"),Table1[[#This Row],[Delivery_Date]]-Table1[[#This Row],[Order_Date]],"Not Applicable")</f>
        <v>9</v>
      </c>
      <c r="M1738" s="14">
        <f>Table1[[#This Row],[Unit_Cost]]-Table1[[#This Row],[Negotiated_Cost]]</f>
        <v>137.61999999999898</v>
      </c>
      <c r="N1738" s="18">
        <f>Table1[[#This Row],[Defective_Units]]/Table1[[#This Row],[Quantity]]</f>
        <v>1.282051282051282E-2</v>
      </c>
      <c r="O1738" s="26">
        <f>(Table1[[#This Row],[Unit_Cost]]-Table1[[#This Row],[Negotiated_Cost]])/Table1[[#This Row],[Unit_Cost]]</f>
        <v>1.1561004417913171E-2</v>
      </c>
    </row>
    <row r="1739" spans="1:15" x14ac:dyDescent="0.25">
      <c r="A1739" t="s">
        <v>1774</v>
      </c>
      <c r="B1739" t="s">
        <v>17</v>
      </c>
      <c r="C1739" s="14" t="s">
        <v>13</v>
      </c>
      <c r="D1739" s="1">
        <v>45153</v>
      </c>
      <c r="E1739" s="13">
        <v>45157</v>
      </c>
      <c r="F1739" s="14" t="s">
        <v>14</v>
      </c>
      <c r="G1739">
        <v>277</v>
      </c>
      <c r="H1739">
        <v>3715.34</v>
      </c>
      <c r="I1739">
        <v>3534.47</v>
      </c>
      <c r="J1739">
        <v>1</v>
      </c>
      <c r="K1739" s="14" t="s">
        <v>15</v>
      </c>
      <c r="L1739" s="14">
        <f>IF(OR(Table1[[#This Row],[Order_Status]]="Delivered",Table1[[#This Row],[Delivery_Date]]&lt;&gt;"Not Yet Delivered"),Table1[[#This Row],[Delivery_Date]]-Table1[[#This Row],[Order_Date]],"Not Applicable")</f>
        <v>4</v>
      </c>
      <c r="M1739" s="14">
        <f>Table1[[#This Row],[Unit_Cost]]-Table1[[#This Row],[Negotiated_Cost]]</f>
        <v>180.87000000000035</v>
      </c>
      <c r="N1739" s="18">
        <f>Table1[[#This Row],[Defective_Units]]/Table1[[#This Row],[Quantity]]</f>
        <v>3.6101083032490976E-3</v>
      </c>
      <c r="O1739" s="26">
        <f>(Table1[[#This Row],[Unit_Cost]]-Table1[[#This Row],[Negotiated_Cost]])/Table1[[#This Row],[Unit_Cost]]</f>
        <v>4.8681951046203133E-2</v>
      </c>
    </row>
    <row r="1740" spans="1:15" x14ac:dyDescent="0.25">
      <c r="A1740" t="s">
        <v>1775</v>
      </c>
      <c r="B1740" t="s">
        <v>32</v>
      </c>
      <c r="C1740" s="14" t="s">
        <v>13</v>
      </c>
      <c r="D1740" s="1">
        <v>45493</v>
      </c>
      <c r="E1740" s="13">
        <v>45508</v>
      </c>
      <c r="F1740" s="14" t="s">
        <v>37</v>
      </c>
      <c r="G1740">
        <v>360</v>
      </c>
      <c r="H1740">
        <v>3991.91</v>
      </c>
      <c r="I1740">
        <v>3772.51</v>
      </c>
      <c r="J1740">
        <v>0</v>
      </c>
      <c r="K1740" s="14" t="s">
        <v>15</v>
      </c>
      <c r="L1740" s="14">
        <f>IF(OR(Table1[[#This Row],[Order_Status]]="Delivered",Table1[[#This Row],[Delivery_Date]]&lt;&gt;"Not Yet Delivered"),Table1[[#This Row],[Delivery_Date]]-Table1[[#This Row],[Order_Date]],"Not Applicable")</f>
        <v>15</v>
      </c>
      <c r="M1740" s="14">
        <f>Table1[[#This Row],[Unit_Cost]]-Table1[[#This Row],[Negotiated_Cost]]</f>
        <v>219.39999999999964</v>
      </c>
      <c r="N1740" s="18">
        <f>Table1[[#This Row],[Defective_Units]]/Table1[[#This Row],[Quantity]]</f>
        <v>0</v>
      </c>
      <c r="O1740" s="26">
        <f>(Table1[[#This Row],[Unit_Cost]]-Table1[[#This Row],[Negotiated_Cost]])/Table1[[#This Row],[Unit_Cost]]</f>
        <v>5.4961158943964077E-2</v>
      </c>
    </row>
    <row r="1741" spans="1:15" x14ac:dyDescent="0.25">
      <c r="A1741" t="s">
        <v>1776</v>
      </c>
      <c r="B1741" t="s">
        <v>35</v>
      </c>
      <c r="C1741" s="14" t="s">
        <v>13</v>
      </c>
      <c r="D1741" s="1">
        <v>45440</v>
      </c>
      <c r="E1741" s="13">
        <v>45448</v>
      </c>
      <c r="F1741" s="14" t="s">
        <v>14</v>
      </c>
      <c r="G1741">
        <v>261</v>
      </c>
      <c r="H1741">
        <v>3954.48</v>
      </c>
      <c r="I1741">
        <v>3743.31</v>
      </c>
      <c r="J1741">
        <v>0</v>
      </c>
      <c r="K1741" s="14" t="s">
        <v>15</v>
      </c>
      <c r="L1741" s="14">
        <f>IF(OR(Table1[[#This Row],[Order_Status]]="Delivered",Table1[[#This Row],[Delivery_Date]]&lt;&gt;"Not Yet Delivered"),Table1[[#This Row],[Delivery_Date]]-Table1[[#This Row],[Order_Date]],"Not Applicable")</f>
        <v>8</v>
      </c>
      <c r="M1741" s="14">
        <f>Table1[[#This Row],[Unit_Cost]]-Table1[[#This Row],[Negotiated_Cost]]</f>
        <v>211.17000000000007</v>
      </c>
      <c r="N1741" s="18">
        <f>Table1[[#This Row],[Defective_Units]]/Table1[[#This Row],[Quantity]]</f>
        <v>0</v>
      </c>
      <c r="O1741" s="26">
        <f>(Table1[[#This Row],[Unit_Cost]]-Table1[[#This Row],[Negotiated_Cost]])/Table1[[#This Row],[Unit_Cost]]</f>
        <v>5.3400194210111079E-2</v>
      </c>
    </row>
    <row r="1742" spans="1:15" x14ac:dyDescent="0.25">
      <c r="A1742" t="s">
        <v>1777</v>
      </c>
      <c r="B1742" t="s">
        <v>27</v>
      </c>
      <c r="C1742" s="14" t="s">
        <v>50</v>
      </c>
      <c r="D1742" s="1">
        <v>45511</v>
      </c>
      <c r="E1742" s="13">
        <v>45540</v>
      </c>
      <c r="F1742" s="14" t="s">
        <v>14</v>
      </c>
      <c r="G1742">
        <v>437</v>
      </c>
      <c r="H1742">
        <v>52182.13</v>
      </c>
      <c r="I1742">
        <v>50227.14</v>
      </c>
      <c r="J1742">
        <v>2</v>
      </c>
      <c r="K1742" s="14" t="s">
        <v>25</v>
      </c>
      <c r="L1742" s="14">
        <f>IF(OR(Table1[[#This Row],[Order_Status]]="Delivered",Table1[[#This Row],[Delivery_Date]]&lt;&gt;"Not Yet Delivered"),Table1[[#This Row],[Delivery_Date]]-Table1[[#This Row],[Order_Date]],"Not Applicable")</f>
        <v>29</v>
      </c>
      <c r="M1742" s="14">
        <f>Table1[[#This Row],[Unit_Cost]]-Table1[[#This Row],[Negotiated_Cost]]</f>
        <v>1954.989999999998</v>
      </c>
      <c r="N1742" s="18">
        <f>Table1[[#This Row],[Defective_Units]]/Table1[[#This Row],[Quantity]]</f>
        <v>4.5766590389016018E-3</v>
      </c>
      <c r="O1742" s="26">
        <f>(Table1[[#This Row],[Unit_Cost]]-Table1[[#This Row],[Negotiated_Cost]])/Table1[[#This Row],[Unit_Cost]]</f>
        <v>3.7464741282120871E-2</v>
      </c>
    </row>
    <row r="1743" spans="1:15" x14ac:dyDescent="0.25">
      <c r="A1743" t="s">
        <v>1778</v>
      </c>
      <c r="B1743" t="s">
        <v>12</v>
      </c>
      <c r="C1743" s="14" t="s">
        <v>13</v>
      </c>
      <c r="D1743" s="1">
        <v>44960</v>
      </c>
      <c r="E1743" s="13">
        <v>44970</v>
      </c>
      <c r="F1743" s="14" t="s">
        <v>14</v>
      </c>
      <c r="G1743">
        <v>92</v>
      </c>
      <c r="H1743">
        <v>4622.51</v>
      </c>
      <c r="I1743">
        <v>4392.04</v>
      </c>
      <c r="J1743">
        <v>0</v>
      </c>
      <c r="K1743" s="14" t="s">
        <v>15</v>
      </c>
      <c r="L1743" s="14">
        <f>IF(OR(Table1[[#This Row],[Order_Status]]="Delivered",Table1[[#This Row],[Delivery_Date]]&lt;&gt;"Not Yet Delivered"),Table1[[#This Row],[Delivery_Date]]-Table1[[#This Row],[Order_Date]],"Not Applicable")</f>
        <v>10</v>
      </c>
      <c r="M1743" s="14">
        <f>Table1[[#This Row],[Unit_Cost]]-Table1[[#This Row],[Negotiated_Cost]]</f>
        <v>230.47000000000025</v>
      </c>
      <c r="N1743" s="18">
        <f>Table1[[#This Row],[Defective_Units]]/Table1[[#This Row],[Quantity]]</f>
        <v>0</v>
      </c>
      <c r="O1743" s="26">
        <f>(Table1[[#This Row],[Unit_Cost]]-Table1[[#This Row],[Negotiated_Cost]])/Table1[[#This Row],[Unit_Cost]]</f>
        <v>4.9858193924945594E-2</v>
      </c>
    </row>
    <row r="1744" spans="1:15" x14ac:dyDescent="0.25">
      <c r="A1744" t="s">
        <v>1779</v>
      </c>
      <c r="B1744" t="s">
        <v>32</v>
      </c>
      <c r="C1744" s="14" t="s">
        <v>30</v>
      </c>
      <c r="D1744" s="1">
        <v>45328</v>
      </c>
      <c r="E1744" s="13">
        <v>45347</v>
      </c>
      <c r="F1744" s="14" t="s">
        <v>14</v>
      </c>
      <c r="G1744">
        <v>328</v>
      </c>
      <c r="H1744">
        <v>858.55</v>
      </c>
      <c r="I1744">
        <v>814</v>
      </c>
      <c r="J1744">
        <v>3</v>
      </c>
      <c r="K1744" s="14" t="s">
        <v>15</v>
      </c>
      <c r="L1744" s="14">
        <f>IF(OR(Table1[[#This Row],[Order_Status]]="Delivered",Table1[[#This Row],[Delivery_Date]]&lt;&gt;"Not Yet Delivered"),Table1[[#This Row],[Delivery_Date]]-Table1[[#This Row],[Order_Date]],"Not Applicable")</f>
        <v>19</v>
      </c>
      <c r="M1744" s="14">
        <f>Table1[[#This Row],[Unit_Cost]]-Table1[[#This Row],[Negotiated_Cost]]</f>
        <v>44.549999999999955</v>
      </c>
      <c r="N1744" s="18">
        <f>Table1[[#This Row],[Defective_Units]]/Table1[[#This Row],[Quantity]]</f>
        <v>9.1463414634146336E-3</v>
      </c>
      <c r="O1744" s="26">
        <f>(Table1[[#This Row],[Unit_Cost]]-Table1[[#This Row],[Negotiated_Cost]])/Table1[[#This Row],[Unit_Cost]]</f>
        <v>5.1889814221652737E-2</v>
      </c>
    </row>
    <row r="1745" spans="1:15" x14ac:dyDescent="0.25">
      <c r="A1745" t="s">
        <v>1780</v>
      </c>
      <c r="B1745" t="s">
        <v>32</v>
      </c>
      <c r="C1745" s="14" t="s">
        <v>44</v>
      </c>
      <c r="D1745" s="1">
        <v>45651</v>
      </c>
      <c r="E1745" s="13">
        <v>45664</v>
      </c>
      <c r="F1745" s="14" t="s">
        <v>14</v>
      </c>
      <c r="G1745">
        <v>65</v>
      </c>
      <c r="H1745">
        <v>7479.25</v>
      </c>
      <c r="I1745">
        <v>7450.47</v>
      </c>
      <c r="J1745">
        <v>0</v>
      </c>
      <c r="K1745" s="14" t="s">
        <v>15</v>
      </c>
      <c r="L1745" s="14">
        <f>IF(OR(Table1[[#This Row],[Order_Status]]="Delivered",Table1[[#This Row],[Delivery_Date]]&lt;&gt;"Not Yet Delivered"),Table1[[#This Row],[Delivery_Date]]-Table1[[#This Row],[Order_Date]],"Not Applicable")</f>
        <v>13</v>
      </c>
      <c r="M1745" s="14">
        <f>Table1[[#This Row],[Unit_Cost]]-Table1[[#This Row],[Negotiated_Cost]]</f>
        <v>28.779999999999745</v>
      </c>
      <c r="N1745" s="18">
        <f>Table1[[#This Row],[Defective_Units]]/Table1[[#This Row],[Quantity]]</f>
        <v>0</v>
      </c>
      <c r="O1745" s="26">
        <f>(Table1[[#This Row],[Unit_Cost]]-Table1[[#This Row],[Negotiated_Cost]])/Table1[[#This Row],[Unit_Cost]]</f>
        <v>3.8479794097001363E-3</v>
      </c>
    </row>
    <row r="1746" spans="1:15" x14ac:dyDescent="0.25">
      <c r="A1746" t="s">
        <v>1781</v>
      </c>
      <c r="B1746" t="s">
        <v>46</v>
      </c>
      <c r="C1746" s="14" t="s">
        <v>13</v>
      </c>
      <c r="D1746" s="1">
        <v>45473</v>
      </c>
      <c r="E1746" s="13">
        <v>45503</v>
      </c>
      <c r="F1746" s="14" t="s">
        <v>14</v>
      </c>
      <c r="G1746">
        <v>30</v>
      </c>
      <c r="H1746">
        <v>4313.7299999999996</v>
      </c>
      <c r="I1746">
        <v>4113.33</v>
      </c>
      <c r="J1746">
        <v>0</v>
      </c>
      <c r="K1746" s="14" t="s">
        <v>15</v>
      </c>
      <c r="L1746" s="14">
        <f>IF(OR(Table1[[#This Row],[Order_Status]]="Delivered",Table1[[#This Row],[Delivery_Date]]&lt;&gt;"Not Yet Delivered"),Table1[[#This Row],[Delivery_Date]]-Table1[[#This Row],[Order_Date]],"Not Applicable")</f>
        <v>30</v>
      </c>
      <c r="M1746" s="14">
        <f>Table1[[#This Row],[Unit_Cost]]-Table1[[#This Row],[Negotiated_Cost]]</f>
        <v>200.39999999999964</v>
      </c>
      <c r="N1746" s="18">
        <f>Table1[[#This Row],[Defective_Units]]/Table1[[#This Row],[Quantity]]</f>
        <v>0</v>
      </c>
      <c r="O1746" s="26">
        <f>(Table1[[#This Row],[Unit_Cost]]-Table1[[#This Row],[Negotiated_Cost]])/Table1[[#This Row],[Unit_Cost]]</f>
        <v>4.6456315068397806E-2</v>
      </c>
    </row>
    <row r="1747" spans="1:15" x14ac:dyDescent="0.25">
      <c r="A1747" t="s">
        <v>1782</v>
      </c>
      <c r="B1747" t="s">
        <v>32</v>
      </c>
      <c r="C1747" s="14" t="s">
        <v>55</v>
      </c>
      <c r="D1747" s="1">
        <v>45647</v>
      </c>
      <c r="E1747" s="13">
        <v>45677</v>
      </c>
      <c r="F1747" s="14" t="s">
        <v>37</v>
      </c>
      <c r="G1747">
        <v>327</v>
      </c>
      <c r="H1747">
        <v>13290.28</v>
      </c>
      <c r="I1747">
        <v>12701.48</v>
      </c>
      <c r="J1747">
        <v>7</v>
      </c>
      <c r="K1747" s="14" t="s">
        <v>15</v>
      </c>
      <c r="L1747" s="14">
        <f>IF(OR(Table1[[#This Row],[Order_Status]]="Delivered",Table1[[#This Row],[Delivery_Date]]&lt;&gt;"Not Yet Delivered"),Table1[[#This Row],[Delivery_Date]]-Table1[[#This Row],[Order_Date]],"Not Applicable")</f>
        <v>30</v>
      </c>
      <c r="M1747" s="14">
        <f>Table1[[#This Row],[Unit_Cost]]-Table1[[#This Row],[Negotiated_Cost]]</f>
        <v>588.80000000000109</v>
      </c>
      <c r="N1747" s="18">
        <f>Table1[[#This Row],[Defective_Units]]/Table1[[#This Row],[Quantity]]</f>
        <v>2.1406727828746176E-2</v>
      </c>
      <c r="O1747" s="26">
        <f>(Table1[[#This Row],[Unit_Cost]]-Table1[[#This Row],[Negotiated_Cost]])/Table1[[#This Row],[Unit_Cost]]</f>
        <v>4.4303054563184605E-2</v>
      </c>
    </row>
    <row r="1748" spans="1:15" x14ac:dyDescent="0.25">
      <c r="A1748" t="s">
        <v>1783</v>
      </c>
      <c r="B1748" t="s">
        <v>46</v>
      </c>
      <c r="C1748" s="14" t="s">
        <v>36</v>
      </c>
      <c r="D1748" s="1">
        <v>44936</v>
      </c>
      <c r="E1748" s="13">
        <v>44954</v>
      </c>
      <c r="F1748" s="14" t="s">
        <v>14</v>
      </c>
      <c r="G1748">
        <v>362</v>
      </c>
      <c r="H1748">
        <v>519.12</v>
      </c>
      <c r="I1748">
        <v>501.71</v>
      </c>
      <c r="J1748">
        <v>5</v>
      </c>
      <c r="K1748" s="14" t="s">
        <v>15</v>
      </c>
      <c r="L1748" s="14">
        <f>IF(OR(Table1[[#This Row],[Order_Status]]="Delivered",Table1[[#This Row],[Delivery_Date]]&lt;&gt;"Not Yet Delivered"),Table1[[#This Row],[Delivery_Date]]-Table1[[#This Row],[Order_Date]],"Not Applicable")</f>
        <v>18</v>
      </c>
      <c r="M1748" s="14">
        <f>Table1[[#This Row],[Unit_Cost]]-Table1[[#This Row],[Negotiated_Cost]]</f>
        <v>17.410000000000025</v>
      </c>
      <c r="N1748" s="18">
        <f>Table1[[#This Row],[Defective_Units]]/Table1[[#This Row],[Quantity]]</f>
        <v>1.3812154696132596E-2</v>
      </c>
      <c r="O1748" s="26">
        <f>(Table1[[#This Row],[Unit_Cost]]-Table1[[#This Row],[Negotiated_Cost]])/Table1[[#This Row],[Unit_Cost]]</f>
        <v>3.353752504237946E-2</v>
      </c>
    </row>
    <row r="1749" spans="1:15" x14ac:dyDescent="0.25">
      <c r="A1749" t="s">
        <v>1784</v>
      </c>
      <c r="B1749" t="s">
        <v>20</v>
      </c>
      <c r="C1749" s="14" t="s">
        <v>13</v>
      </c>
      <c r="D1749" s="1">
        <v>45062</v>
      </c>
      <c r="E1749" s="13">
        <v>45073</v>
      </c>
      <c r="F1749" s="14" t="s">
        <v>14</v>
      </c>
      <c r="G1749">
        <v>434</v>
      </c>
      <c r="H1749">
        <v>4230.92</v>
      </c>
      <c r="I1749">
        <v>3984.42</v>
      </c>
      <c r="J1749">
        <v>5</v>
      </c>
      <c r="K1749" s="14" t="s">
        <v>15</v>
      </c>
      <c r="L1749" s="14">
        <f>IF(OR(Table1[[#This Row],[Order_Status]]="Delivered",Table1[[#This Row],[Delivery_Date]]&lt;&gt;"Not Yet Delivered"),Table1[[#This Row],[Delivery_Date]]-Table1[[#This Row],[Order_Date]],"Not Applicable")</f>
        <v>11</v>
      </c>
      <c r="M1749" s="14">
        <f>Table1[[#This Row],[Unit_Cost]]-Table1[[#This Row],[Negotiated_Cost]]</f>
        <v>246.5</v>
      </c>
      <c r="N1749" s="18">
        <f>Table1[[#This Row],[Defective_Units]]/Table1[[#This Row],[Quantity]]</f>
        <v>1.1520737327188941E-2</v>
      </c>
      <c r="O1749" s="26">
        <f>(Table1[[#This Row],[Unit_Cost]]-Table1[[#This Row],[Negotiated_Cost]])/Table1[[#This Row],[Unit_Cost]]</f>
        <v>5.8261560133493422E-2</v>
      </c>
    </row>
    <row r="1750" spans="1:15" x14ac:dyDescent="0.25">
      <c r="A1750" t="s">
        <v>1785</v>
      </c>
      <c r="B1750" t="s">
        <v>27</v>
      </c>
      <c r="C1750" s="14" t="s">
        <v>42</v>
      </c>
      <c r="D1750" s="1">
        <v>45408</v>
      </c>
      <c r="E1750" s="13">
        <v>45434</v>
      </c>
      <c r="F1750" s="14" t="s">
        <v>14</v>
      </c>
      <c r="G1750">
        <v>193</v>
      </c>
      <c r="H1750">
        <v>12947.39</v>
      </c>
      <c r="I1750">
        <v>12723.28</v>
      </c>
      <c r="J1750">
        <v>1</v>
      </c>
      <c r="K1750" s="14" t="s">
        <v>15</v>
      </c>
      <c r="L1750" s="14">
        <f>IF(OR(Table1[[#This Row],[Order_Status]]="Delivered",Table1[[#This Row],[Delivery_Date]]&lt;&gt;"Not Yet Delivered"),Table1[[#This Row],[Delivery_Date]]-Table1[[#This Row],[Order_Date]],"Not Applicable")</f>
        <v>26</v>
      </c>
      <c r="M1750" s="14">
        <f>Table1[[#This Row],[Unit_Cost]]-Table1[[#This Row],[Negotiated_Cost]]</f>
        <v>224.10999999999876</v>
      </c>
      <c r="N1750" s="18">
        <f>Table1[[#This Row],[Defective_Units]]/Table1[[#This Row],[Quantity]]</f>
        <v>5.1813471502590676E-3</v>
      </c>
      <c r="O1750" s="26">
        <f>(Table1[[#This Row],[Unit_Cost]]-Table1[[#This Row],[Negotiated_Cost]])/Table1[[#This Row],[Unit_Cost]]</f>
        <v>1.730928009428918E-2</v>
      </c>
    </row>
    <row r="1751" spans="1:15" x14ac:dyDescent="0.25">
      <c r="A1751" t="s">
        <v>1786</v>
      </c>
      <c r="B1751" t="s">
        <v>27</v>
      </c>
      <c r="C1751" s="14" t="s">
        <v>28</v>
      </c>
      <c r="D1751" s="1">
        <v>45475</v>
      </c>
      <c r="E1751" s="13">
        <v>45505</v>
      </c>
      <c r="F1751" s="14" t="s">
        <v>14</v>
      </c>
      <c r="G1751">
        <v>74</v>
      </c>
      <c r="H1751">
        <v>49527.77</v>
      </c>
      <c r="I1751">
        <v>48479.53</v>
      </c>
      <c r="J1751">
        <v>1</v>
      </c>
      <c r="K1751" s="14" t="s">
        <v>15</v>
      </c>
      <c r="L1751" s="14">
        <f>IF(OR(Table1[[#This Row],[Order_Status]]="Delivered",Table1[[#This Row],[Delivery_Date]]&lt;&gt;"Not Yet Delivered"),Table1[[#This Row],[Delivery_Date]]-Table1[[#This Row],[Order_Date]],"Not Applicable")</f>
        <v>30</v>
      </c>
      <c r="M1751" s="14">
        <f>Table1[[#This Row],[Unit_Cost]]-Table1[[#This Row],[Negotiated_Cost]]</f>
        <v>1048.239999999998</v>
      </c>
      <c r="N1751" s="18">
        <f>Table1[[#This Row],[Defective_Units]]/Table1[[#This Row],[Quantity]]</f>
        <v>1.3513513513513514E-2</v>
      </c>
      <c r="O1751" s="26">
        <f>(Table1[[#This Row],[Unit_Cost]]-Table1[[#This Row],[Negotiated_Cost]])/Table1[[#This Row],[Unit_Cost]]</f>
        <v>2.1164692050540494E-2</v>
      </c>
    </row>
    <row r="1752" spans="1:15" x14ac:dyDescent="0.25">
      <c r="A1752" t="s">
        <v>1787</v>
      </c>
      <c r="B1752" t="s">
        <v>40</v>
      </c>
      <c r="C1752" s="14" t="s">
        <v>50</v>
      </c>
      <c r="D1752" s="1">
        <v>44979</v>
      </c>
      <c r="E1752" s="13">
        <v>44993</v>
      </c>
      <c r="F1752" s="14" t="s">
        <v>14</v>
      </c>
      <c r="G1752">
        <v>122</v>
      </c>
      <c r="H1752">
        <v>57382.54</v>
      </c>
      <c r="I1752">
        <v>55024.84</v>
      </c>
      <c r="J1752">
        <v>0</v>
      </c>
      <c r="K1752" s="14" t="s">
        <v>15</v>
      </c>
      <c r="L1752" s="14">
        <f>IF(OR(Table1[[#This Row],[Order_Status]]="Delivered",Table1[[#This Row],[Delivery_Date]]&lt;&gt;"Not Yet Delivered"),Table1[[#This Row],[Delivery_Date]]-Table1[[#This Row],[Order_Date]],"Not Applicable")</f>
        <v>14</v>
      </c>
      <c r="M1752" s="14">
        <f>Table1[[#This Row],[Unit_Cost]]-Table1[[#This Row],[Negotiated_Cost]]</f>
        <v>2357.7000000000044</v>
      </c>
      <c r="N1752" s="18">
        <f>Table1[[#This Row],[Defective_Units]]/Table1[[#This Row],[Quantity]]</f>
        <v>0</v>
      </c>
      <c r="O1752" s="26">
        <f>(Table1[[#This Row],[Unit_Cost]]-Table1[[#This Row],[Negotiated_Cost]])/Table1[[#This Row],[Unit_Cost]]</f>
        <v>4.1087410909311513E-2</v>
      </c>
    </row>
    <row r="1753" spans="1:15" x14ac:dyDescent="0.25">
      <c r="A1753" t="s">
        <v>1788</v>
      </c>
      <c r="B1753" t="s">
        <v>12</v>
      </c>
      <c r="C1753" s="14" t="s">
        <v>24</v>
      </c>
      <c r="D1753" s="1">
        <v>45521</v>
      </c>
      <c r="E1753" s="13">
        <v>45526</v>
      </c>
      <c r="F1753" s="14" t="s">
        <v>14</v>
      </c>
      <c r="G1753">
        <v>54</v>
      </c>
      <c r="H1753">
        <v>12946.95</v>
      </c>
      <c r="I1753">
        <v>12441.89</v>
      </c>
      <c r="J1753">
        <v>2</v>
      </c>
      <c r="K1753" s="14" t="s">
        <v>15</v>
      </c>
      <c r="L1753" s="14">
        <f>IF(OR(Table1[[#This Row],[Order_Status]]="Delivered",Table1[[#This Row],[Delivery_Date]]&lt;&gt;"Not Yet Delivered"),Table1[[#This Row],[Delivery_Date]]-Table1[[#This Row],[Order_Date]],"Not Applicable")</f>
        <v>5</v>
      </c>
      <c r="M1753" s="14">
        <f>Table1[[#This Row],[Unit_Cost]]-Table1[[#This Row],[Negotiated_Cost]]</f>
        <v>505.06000000000131</v>
      </c>
      <c r="N1753" s="18">
        <f>Table1[[#This Row],[Defective_Units]]/Table1[[#This Row],[Quantity]]</f>
        <v>3.7037037037037035E-2</v>
      </c>
      <c r="O1753" s="26">
        <f>(Table1[[#This Row],[Unit_Cost]]-Table1[[#This Row],[Negotiated_Cost]])/Table1[[#This Row],[Unit_Cost]]</f>
        <v>3.9009959874719627E-2</v>
      </c>
    </row>
    <row r="1754" spans="1:15" x14ac:dyDescent="0.25">
      <c r="A1754" t="s">
        <v>1789</v>
      </c>
      <c r="B1754" t="s">
        <v>35</v>
      </c>
      <c r="C1754" s="14" t="s">
        <v>44</v>
      </c>
      <c r="D1754" s="1">
        <v>45241</v>
      </c>
      <c r="E1754" s="13">
        <v>45266</v>
      </c>
      <c r="F1754" s="14" t="s">
        <v>14</v>
      </c>
      <c r="G1754">
        <v>308</v>
      </c>
      <c r="H1754">
        <v>8773.1</v>
      </c>
      <c r="I1754">
        <v>8542.86</v>
      </c>
      <c r="J1754">
        <v>2</v>
      </c>
      <c r="K1754" s="14" t="s">
        <v>15</v>
      </c>
      <c r="L1754" s="14">
        <f>IF(OR(Table1[[#This Row],[Order_Status]]="Delivered",Table1[[#This Row],[Delivery_Date]]&lt;&gt;"Not Yet Delivered"),Table1[[#This Row],[Delivery_Date]]-Table1[[#This Row],[Order_Date]],"Not Applicable")</f>
        <v>25</v>
      </c>
      <c r="M1754" s="14">
        <f>Table1[[#This Row],[Unit_Cost]]-Table1[[#This Row],[Negotiated_Cost]]</f>
        <v>230.23999999999978</v>
      </c>
      <c r="N1754" s="18">
        <f>Table1[[#This Row],[Defective_Units]]/Table1[[#This Row],[Quantity]]</f>
        <v>6.4935064935064939E-3</v>
      </c>
      <c r="O1754" s="26">
        <f>(Table1[[#This Row],[Unit_Cost]]-Table1[[#This Row],[Negotiated_Cost]])/Table1[[#This Row],[Unit_Cost]]</f>
        <v>2.6243859069200143E-2</v>
      </c>
    </row>
    <row r="1755" spans="1:15" x14ac:dyDescent="0.25">
      <c r="A1755" t="s">
        <v>1790</v>
      </c>
      <c r="B1755" t="s">
        <v>27</v>
      </c>
      <c r="C1755" s="14" t="s">
        <v>50</v>
      </c>
      <c r="D1755" s="1">
        <v>45518</v>
      </c>
      <c r="E1755" s="13">
        <v>45520</v>
      </c>
      <c r="F1755" s="14" t="s">
        <v>14</v>
      </c>
      <c r="G1755">
        <v>427</v>
      </c>
      <c r="H1755">
        <v>50848.76</v>
      </c>
      <c r="I1755">
        <v>50143.59</v>
      </c>
      <c r="J1755">
        <v>4</v>
      </c>
      <c r="K1755" s="14" t="s">
        <v>15</v>
      </c>
      <c r="L1755" s="14">
        <f>IF(OR(Table1[[#This Row],[Order_Status]]="Delivered",Table1[[#This Row],[Delivery_Date]]&lt;&gt;"Not Yet Delivered"),Table1[[#This Row],[Delivery_Date]]-Table1[[#This Row],[Order_Date]],"Not Applicable")</f>
        <v>2</v>
      </c>
      <c r="M1755" s="14">
        <f>Table1[[#This Row],[Unit_Cost]]-Table1[[#This Row],[Negotiated_Cost]]</f>
        <v>705.17000000000553</v>
      </c>
      <c r="N1755" s="18">
        <f>Table1[[#This Row],[Defective_Units]]/Table1[[#This Row],[Quantity]]</f>
        <v>9.3676814988290398E-3</v>
      </c>
      <c r="O1755" s="26">
        <f>(Table1[[#This Row],[Unit_Cost]]-Table1[[#This Row],[Negotiated_Cost]])/Table1[[#This Row],[Unit_Cost]]</f>
        <v>1.3867988127930858E-2</v>
      </c>
    </row>
    <row r="1756" spans="1:15" x14ac:dyDescent="0.25">
      <c r="A1756" t="s">
        <v>1791</v>
      </c>
      <c r="B1756" t="s">
        <v>40</v>
      </c>
      <c r="C1756" s="14" t="s">
        <v>55</v>
      </c>
      <c r="D1756" s="1">
        <v>45307</v>
      </c>
      <c r="E1756" s="13">
        <v>45321</v>
      </c>
      <c r="F1756" s="14" t="s">
        <v>14</v>
      </c>
      <c r="G1756">
        <v>317</v>
      </c>
      <c r="H1756">
        <v>15432.06</v>
      </c>
      <c r="I1756">
        <v>15263.64</v>
      </c>
      <c r="J1756">
        <v>4</v>
      </c>
      <c r="K1756" s="14" t="s">
        <v>15</v>
      </c>
      <c r="L1756" s="14">
        <f>IF(OR(Table1[[#This Row],[Order_Status]]="Delivered",Table1[[#This Row],[Delivery_Date]]&lt;&gt;"Not Yet Delivered"),Table1[[#This Row],[Delivery_Date]]-Table1[[#This Row],[Order_Date]],"Not Applicable")</f>
        <v>14</v>
      </c>
      <c r="M1756" s="14">
        <f>Table1[[#This Row],[Unit_Cost]]-Table1[[#This Row],[Negotiated_Cost]]</f>
        <v>168.42000000000007</v>
      </c>
      <c r="N1756" s="18">
        <f>Table1[[#This Row],[Defective_Units]]/Table1[[#This Row],[Quantity]]</f>
        <v>1.2618296529968454E-2</v>
      </c>
      <c r="O1756" s="26">
        <f>(Table1[[#This Row],[Unit_Cost]]-Table1[[#This Row],[Negotiated_Cost]])/Table1[[#This Row],[Unit_Cost]]</f>
        <v>1.0913643415072264E-2</v>
      </c>
    </row>
    <row r="1757" spans="1:15" x14ac:dyDescent="0.25">
      <c r="A1757" t="s">
        <v>1792</v>
      </c>
      <c r="B1757" t="s">
        <v>17</v>
      </c>
      <c r="C1757" s="14" t="s">
        <v>13</v>
      </c>
      <c r="D1757" s="1">
        <v>45597</v>
      </c>
      <c r="E1757" s="14" t="s">
        <v>2057</v>
      </c>
      <c r="F1757" s="14" t="s">
        <v>22</v>
      </c>
      <c r="G1757">
        <v>289</v>
      </c>
      <c r="H1757">
        <v>3942.42</v>
      </c>
      <c r="I1757">
        <v>3800.78</v>
      </c>
      <c r="J1757">
        <v>2</v>
      </c>
      <c r="K1757" s="14" t="s">
        <v>15</v>
      </c>
      <c r="L1757" s="14" t="str">
        <f>IF(OR(Table1[[#This Row],[Order_Status]]="Delivered",Table1[[#This Row],[Delivery_Date]]&lt;&gt;"Not Yet Delivered"),Table1[[#This Row],[Delivery_Date]]-Table1[[#This Row],[Order_Date]],"Not Applicable")</f>
        <v>Not Applicable</v>
      </c>
      <c r="M1757" s="14">
        <f>Table1[[#This Row],[Unit_Cost]]-Table1[[#This Row],[Negotiated_Cost]]</f>
        <v>141.63999999999987</v>
      </c>
      <c r="N1757" s="18">
        <f>Table1[[#This Row],[Defective_Units]]/Table1[[#This Row],[Quantity]]</f>
        <v>6.920415224913495E-3</v>
      </c>
      <c r="O1757" s="26">
        <f>(Table1[[#This Row],[Unit_Cost]]-Table1[[#This Row],[Negotiated_Cost]])/Table1[[#This Row],[Unit_Cost]]</f>
        <v>3.5927171635695809E-2</v>
      </c>
    </row>
    <row r="1758" spans="1:15" x14ac:dyDescent="0.25">
      <c r="A1758" t="s">
        <v>1793</v>
      </c>
      <c r="B1758" t="s">
        <v>20</v>
      </c>
      <c r="C1758" s="14" t="s">
        <v>48</v>
      </c>
      <c r="D1758" s="1">
        <v>45514</v>
      </c>
      <c r="E1758" s="13">
        <v>45532</v>
      </c>
      <c r="F1758" s="14" t="s">
        <v>14</v>
      </c>
      <c r="G1758">
        <v>225</v>
      </c>
      <c r="H1758">
        <v>6565.16</v>
      </c>
      <c r="I1758">
        <v>6286.18</v>
      </c>
      <c r="J1758">
        <v>2</v>
      </c>
      <c r="K1758" s="14" t="s">
        <v>15</v>
      </c>
      <c r="L1758" s="14">
        <f>IF(OR(Table1[[#This Row],[Order_Status]]="Delivered",Table1[[#This Row],[Delivery_Date]]&lt;&gt;"Not Yet Delivered"),Table1[[#This Row],[Delivery_Date]]-Table1[[#This Row],[Order_Date]],"Not Applicable")</f>
        <v>18</v>
      </c>
      <c r="M1758" s="14">
        <f>Table1[[#This Row],[Unit_Cost]]-Table1[[#This Row],[Negotiated_Cost]]</f>
        <v>278.97999999999956</v>
      </c>
      <c r="N1758" s="18">
        <f>Table1[[#This Row],[Defective_Units]]/Table1[[#This Row],[Quantity]]</f>
        <v>8.8888888888888889E-3</v>
      </c>
      <c r="O1758" s="26">
        <f>(Table1[[#This Row],[Unit_Cost]]-Table1[[#This Row],[Negotiated_Cost]])/Table1[[#This Row],[Unit_Cost]]</f>
        <v>4.2494013854955485E-2</v>
      </c>
    </row>
    <row r="1759" spans="1:15" x14ac:dyDescent="0.25">
      <c r="A1759" t="s">
        <v>1794</v>
      </c>
      <c r="B1759" t="s">
        <v>27</v>
      </c>
      <c r="C1759" s="14" t="s">
        <v>30</v>
      </c>
      <c r="D1759" s="1">
        <v>45208</v>
      </c>
      <c r="E1759" s="14" t="s">
        <v>2057</v>
      </c>
      <c r="F1759" s="14" t="s">
        <v>22</v>
      </c>
      <c r="G1759">
        <v>280</v>
      </c>
      <c r="H1759">
        <v>958.3</v>
      </c>
      <c r="I1759">
        <v>954.79</v>
      </c>
      <c r="J1759">
        <v>2</v>
      </c>
      <c r="K1759" s="14" t="s">
        <v>15</v>
      </c>
      <c r="L1759" s="14" t="str">
        <f>IF(OR(Table1[[#This Row],[Order_Status]]="Delivered",Table1[[#This Row],[Delivery_Date]]&lt;&gt;"Not Yet Delivered"),Table1[[#This Row],[Delivery_Date]]-Table1[[#This Row],[Order_Date]],"Not Applicable")</f>
        <v>Not Applicable</v>
      </c>
      <c r="M1759" s="14">
        <f>Table1[[#This Row],[Unit_Cost]]-Table1[[#This Row],[Negotiated_Cost]]</f>
        <v>3.5099999999999909</v>
      </c>
      <c r="N1759" s="18">
        <f>Table1[[#This Row],[Defective_Units]]/Table1[[#This Row],[Quantity]]</f>
        <v>7.1428571428571426E-3</v>
      </c>
      <c r="O1759" s="26">
        <f>(Table1[[#This Row],[Unit_Cost]]-Table1[[#This Row],[Negotiated_Cost]])/Table1[[#This Row],[Unit_Cost]]</f>
        <v>3.6627360951685182E-3</v>
      </c>
    </row>
    <row r="1760" spans="1:15" x14ac:dyDescent="0.25">
      <c r="A1760" t="s">
        <v>1795</v>
      </c>
      <c r="B1760" t="s">
        <v>12</v>
      </c>
      <c r="C1760" s="14" t="s">
        <v>21</v>
      </c>
      <c r="D1760" s="1">
        <v>45266</v>
      </c>
      <c r="E1760" s="13">
        <v>45286</v>
      </c>
      <c r="F1760" s="14" t="s">
        <v>14</v>
      </c>
      <c r="G1760">
        <v>380</v>
      </c>
      <c r="H1760">
        <v>132.12</v>
      </c>
      <c r="I1760">
        <v>124.3</v>
      </c>
      <c r="J1760">
        <v>4</v>
      </c>
      <c r="K1760" s="14" t="s">
        <v>15</v>
      </c>
      <c r="L1760" s="14">
        <f>IF(OR(Table1[[#This Row],[Order_Status]]="Delivered",Table1[[#This Row],[Delivery_Date]]&lt;&gt;"Not Yet Delivered"),Table1[[#This Row],[Delivery_Date]]-Table1[[#This Row],[Order_Date]],"Not Applicable")</f>
        <v>20</v>
      </c>
      <c r="M1760" s="14">
        <f>Table1[[#This Row],[Unit_Cost]]-Table1[[#This Row],[Negotiated_Cost]]</f>
        <v>7.8200000000000074</v>
      </c>
      <c r="N1760" s="18">
        <f>Table1[[#This Row],[Defective_Units]]/Table1[[#This Row],[Quantity]]</f>
        <v>1.0526315789473684E-2</v>
      </c>
      <c r="O1760" s="26">
        <f>(Table1[[#This Row],[Unit_Cost]]-Table1[[#This Row],[Negotiated_Cost]])/Table1[[#This Row],[Unit_Cost]]</f>
        <v>5.9188616409324907E-2</v>
      </c>
    </row>
    <row r="1761" spans="1:15" x14ac:dyDescent="0.25">
      <c r="A1761" t="s">
        <v>1796</v>
      </c>
      <c r="B1761" t="s">
        <v>12</v>
      </c>
      <c r="C1761" s="14" t="s">
        <v>18</v>
      </c>
      <c r="D1761" s="1">
        <v>44934</v>
      </c>
      <c r="E1761" s="13">
        <v>44941</v>
      </c>
      <c r="F1761" s="14" t="s">
        <v>14</v>
      </c>
      <c r="G1761">
        <v>126</v>
      </c>
      <c r="H1761">
        <v>5762.54</v>
      </c>
      <c r="I1761">
        <v>5755.31</v>
      </c>
      <c r="J1761">
        <v>2</v>
      </c>
      <c r="K1761" s="14" t="s">
        <v>15</v>
      </c>
      <c r="L1761" s="14">
        <f>IF(OR(Table1[[#This Row],[Order_Status]]="Delivered",Table1[[#This Row],[Delivery_Date]]&lt;&gt;"Not Yet Delivered"),Table1[[#This Row],[Delivery_Date]]-Table1[[#This Row],[Order_Date]],"Not Applicable")</f>
        <v>7</v>
      </c>
      <c r="M1761" s="14">
        <f>Table1[[#This Row],[Unit_Cost]]-Table1[[#This Row],[Negotiated_Cost]]</f>
        <v>7.2299999999995634</v>
      </c>
      <c r="N1761" s="18">
        <f>Table1[[#This Row],[Defective_Units]]/Table1[[#This Row],[Quantity]]</f>
        <v>1.5873015873015872E-2</v>
      </c>
      <c r="O1761" s="26">
        <f>(Table1[[#This Row],[Unit_Cost]]-Table1[[#This Row],[Negotiated_Cost]])/Table1[[#This Row],[Unit_Cost]]</f>
        <v>1.2546550653009894E-3</v>
      </c>
    </row>
    <row r="1762" spans="1:15" x14ac:dyDescent="0.25">
      <c r="A1762" t="s">
        <v>1797</v>
      </c>
      <c r="B1762" t="s">
        <v>20</v>
      </c>
      <c r="C1762" s="14" t="s">
        <v>42</v>
      </c>
      <c r="D1762" s="1">
        <v>45389</v>
      </c>
      <c r="E1762" s="13">
        <v>45410</v>
      </c>
      <c r="F1762" s="14" t="s">
        <v>37</v>
      </c>
      <c r="G1762">
        <v>19</v>
      </c>
      <c r="H1762">
        <v>11044.26</v>
      </c>
      <c r="I1762">
        <v>10507</v>
      </c>
      <c r="J1762">
        <v>0</v>
      </c>
      <c r="K1762" s="14" t="s">
        <v>15</v>
      </c>
      <c r="L1762" s="14">
        <f>IF(OR(Table1[[#This Row],[Order_Status]]="Delivered",Table1[[#This Row],[Delivery_Date]]&lt;&gt;"Not Yet Delivered"),Table1[[#This Row],[Delivery_Date]]-Table1[[#This Row],[Order_Date]],"Not Applicable")</f>
        <v>21</v>
      </c>
      <c r="M1762" s="14">
        <f>Table1[[#This Row],[Unit_Cost]]-Table1[[#This Row],[Negotiated_Cost]]</f>
        <v>537.26000000000022</v>
      </c>
      <c r="N1762" s="18">
        <f>Table1[[#This Row],[Defective_Units]]/Table1[[#This Row],[Quantity]]</f>
        <v>0</v>
      </c>
      <c r="O1762" s="26">
        <f>(Table1[[#This Row],[Unit_Cost]]-Table1[[#This Row],[Negotiated_Cost]])/Table1[[#This Row],[Unit_Cost]]</f>
        <v>4.8646084029169923E-2</v>
      </c>
    </row>
    <row r="1763" spans="1:15" x14ac:dyDescent="0.25">
      <c r="A1763" t="s">
        <v>1798</v>
      </c>
      <c r="B1763" t="s">
        <v>32</v>
      </c>
      <c r="C1763" s="14" t="s">
        <v>24</v>
      </c>
      <c r="D1763" s="1">
        <v>45235</v>
      </c>
      <c r="E1763" s="14" t="s">
        <v>2057</v>
      </c>
      <c r="F1763" s="14" t="s">
        <v>33</v>
      </c>
      <c r="G1763">
        <v>219</v>
      </c>
      <c r="H1763">
        <v>11247.36</v>
      </c>
      <c r="I1763">
        <v>10984.59</v>
      </c>
      <c r="J1763">
        <v>2</v>
      </c>
      <c r="K1763" s="14" t="s">
        <v>15</v>
      </c>
      <c r="L1763" s="14" t="str">
        <f>IF(OR(Table1[[#This Row],[Order_Status]]="Delivered",Table1[[#This Row],[Delivery_Date]]&lt;&gt;"Not Yet Delivered"),Table1[[#This Row],[Delivery_Date]]-Table1[[#This Row],[Order_Date]],"Not Applicable")</f>
        <v>Not Applicable</v>
      </c>
      <c r="M1763" s="14">
        <f>Table1[[#This Row],[Unit_Cost]]-Table1[[#This Row],[Negotiated_Cost]]</f>
        <v>262.77000000000044</v>
      </c>
      <c r="N1763" s="18">
        <f>Table1[[#This Row],[Defective_Units]]/Table1[[#This Row],[Quantity]]</f>
        <v>9.1324200913242004E-3</v>
      </c>
      <c r="O1763" s="26">
        <f>(Table1[[#This Row],[Unit_Cost]]-Table1[[#This Row],[Negotiated_Cost]])/Table1[[#This Row],[Unit_Cost]]</f>
        <v>2.3362815807442851E-2</v>
      </c>
    </row>
    <row r="1764" spans="1:15" x14ac:dyDescent="0.25">
      <c r="A1764" t="s">
        <v>1799</v>
      </c>
      <c r="B1764" t="s">
        <v>27</v>
      </c>
      <c r="C1764" s="14" t="s">
        <v>42</v>
      </c>
      <c r="D1764" s="1">
        <v>45208</v>
      </c>
      <c r="E1764" s="13">
        <v>45229</v>
      </c>
      <c r="F1764" s="14" t="s">
        <v>14</v>
      </c>
      <c r="G1764">
        <v>263</v>
      </c>
      <c r="H1764">
        <v>11694.15</v>
      </c>
      <c r="I1764">
        <v>11342.61</v>
      </c>
      <c r="J1764">
        <v>3</v>
      </c>
      <c r="K1764" s="14" t="s">
        <v>15</v>
      </c>
      <c r="L1764" s="14">
        <f>IF(OR(Table1[[#This Row],[Order_Status]]="Delivered",Table1[[#This Row],[Delivery_Date]]&lt;&gt;"Not Yet Delivered"),Table1[[#This Row],[Delivery_Date]]-Table1[[#This Row],[Order_Date]],"Not Applicable")</f>
        <v>21</v>
      </c>
      <c r="M1764" s="14">
        <f>Table1[[#This Row],[Unit_Cost]]-Table1[[#This Row],[Negotiated_Cost]]</f>
        <v>351.53999999999905</v>
      </c>
      <c r="N1764" s="18">
        <f>Table1[[#This Row],[Defective_Units]]/Table1[[#This Row],[Quantity]]</f>
        <v>1.1406844106463879E-2</v>
      </c>
      <c r="O1764" s="26">
        <f>(Table1[[#This Row],[Unit_Cost]]-Table1[[#This Row],[Negotiated_Cost]])/Table1[[#This Row],[Unit_Cost]]</f>
        <v>3.0061184438372954E-2</v>
      </c>
    </row>
    <row r="1765" spans="1:15" x14ac:dyDescent="0.25">
      <c r="A1765" t="s">
        <v>1800</v>
      </c>
      <c r="B1765" t="s">
        <v>17</v>
      </c>
      <c r="C1765" s="14" t="s">
        <v>55</v>
      </c>
      <c r="D1765" s="1">
        <v>45082</v>
      </c>
      <c r="E1765" s="14" t="s">
        <v>2057</v>
      </c>
      <c r="F1765" s="14" t="s">
        <v>22</v>
      </c>
      <c r="G1765">
        <v>482</v>
      </c>
      <c r="H1765">
        <v>12942.91</v>
      </c>
      <c r="I1765">
        <v>12166.77</v>
      </c>
      <c r="J1765">
        <v>2</v>
      </c>
      <c r="K1765" s="14" t="s">
        <v>15</v>
      </c>
      <c r="L1765" s="14" t="str">
        <f>IF(OR(Table1[[#This Row],[Order_Status]]="Delivered",Table1[[#This Row],[Delivery_Date]]&lt;&gt;"Not Yet Delivered"),Table1[[#This Row],[Delivery_Date]]-Table1[[#This Row],[Order_Date]],"Not Applicable")</f>
        <v>Not Applicable</v>
      </c>
      <c r="M1765" s="14">
        <f>Table1[[#This Row],[Unit_Cost]]-Table1[[#This Row],[Negotiated_Cost]]</f>
        <v>776.13999999999942</v>
      </c>
      <c r="N1765" s="18">
        <f>Table1[[#This Row],[Defective_Units]]/Table1[[#This Row],[Quantity]]</f>
        <v>4.1493775933609959E-3</v>
      </c>
      <c r="O1765" s="26">
        <f>(Table1[[#This Row],[Unit_Cost]]-Table1[[#This Row],[Negotiated_Cost]])/Table1[[#This Row],[Unit_Cost]]</f>
        <v>5.9966421770683676E-2</v>
      </c>
    </row>
    <row r="1766" spans="1:15" x14ac:dyDescent="0.25">
      <c r="A1766" t="s">
        <v>1801</v>
      </c>
      <c r="B1766" t="s">
        <v>20</v>
      </c>
      <c r="C1766" s="14" t="s">
        <v>28</v>
      </c>
      <c r="D1766" s="1">
        <v>45590</v>
      </c>
      <c r="E1766" s="13">
        <v>45595</v>
      </c>
      <c r="F1766" s="14" t="s">
        <v>14</v>
      </c>
      <c r="G1766">
        <v>202</v>
      </c>
      <c r="H1766">
        <v>46758.48</v>
      </c>
      <c r="I1766">
        <v>44385.64</v>
      </c>
      <c r="J1766">
        <v>7</v>
      </c>
      <c r="K1766" s="14" t="s">
        <v>15</v>
      </c>
      <c r="L1766" s="14">
        <f>IF(OR(Table1[[#This Row],[Order_Status]]="Delivered",Table1[[#This Row],[Delivery_Date]]&lt;&gt;"Not Yet Delivered"),Table1[[#This Row],[Delivery_Date]]-Table1[[#This Row],[Order_Date]],"Not Applicable")</f>
        <v>5</v>
      </c>
      <c r="M1766" s="14">
        <f>Table1[[#This Row],[Unit_Cost]]-Table1[[#This Row],[Negotiated_Cost]]</f>
        <v>2372.8400000000038</v>
      </c>
      <c r="N1766" s="18">
        <f>Table1[[#This Row],[Defective_Units]]/Table1[[#This Row],[Quantity]]</f>
        <v>3.4653465346534656E-2</v>
      </c>
      <c r="O1766" s="26">
        <f>(Table1[[#This Row],[Unit_Cost]]-Table1[[#This Row],[Negotiated_Cost]])/Table1[[#This Row],[Unit_Cost]]</f>
        <v>5.0746730860370216E-2</v>
      </c>
    </row>
    <row r="1767" spans="1:15" x14ac:dyDescent="0.25">
      <c r="A1767" t="s">
        <v>1802</v>
      </c>
      <c r="B1767" t="s">
        <v>17</v>
      </c>
      <c r="C1767" s="14" t="s">
        <v>42</v>
      </c>
      <c r="D1767" s="1">
        <v>45321</v>
      </c>
      <c r="E1767" s="13">
        <v>45323</v>
      </c>
      <c r="F1767" s="14" t="s">
        <v>14</v>
      </c>
      <c r="G1767">
        <v>293</v>
      </c>
      <c r="H1767">
        <v>11329.31</v>
      </c>
      <c r="I1767">
        <v>11154</v>
      </c>
      <c r="J1767">
        <v>7</v>
      </c>
      <c r="K1767" s="14" t="s">
        <v>15</v>
      </c>
      <c r="L1767" s="14">
        <f>IF(OR(Table1[[#This Row],[Order_Status]]="Delivered",Table1[[#This Row],[Delivery_Date]]&lt;&gt;"Not Yet Delivered"),Table1[[#This Row],[Delivery_Date]]-Table1[[#This Row],[Order_Date]],"Not Applicable")</f>
        <v>2</v>
      </c>
      <c r="M1767" s="14">
        <f>Table1[[#This Row],[Unit_Cost]]-Table1[[#This Row],[Negotiated_Cost]]</f>
        <v>175.30999999999949</v>
      </c>
      <c r="N1767" s="18">
        <f>Table1[[#This Row],[Defective_Units]]/Table1[[#This Row],[Quantity]]</f>
        <v>2.3890784982935155E-2</v>
      </c>
      <c r="O1767" s="26">
        <f>(Table1[[#This Row],[Unit_Cost]]-Table1[[#This Row],[Negotiated_Cost]])/Table1[[#This Row],[Unit_Cost]]</f>
        <v>1.5474022689819547E-2</v>
      </c>
    </row>
    <row r="1768" spans="1:15" x14ac:dyDescent="0.25">
      <c r="A1768" t="s">
        <v>1803</v>
      </c>
      <c r="B1768" t="s">
        <v>32</v>
      </c>
      <c r="C1768" s="14" t="s">
        <v>36</v>
      </c>
      <c r="D1768" s="1">
        <v>45364</v>
      </c>
      <c r="E1768" s="13">
        <v>45380</v>
      </c>
      <c r="F1768" s="14" t="s">
        <v>37</v>
      </c>
      <c r="G1768">
        <v>8</v>
      </c>
      <c r="H1768">
        <v>529.94000000000005</v>
      </c>
      <c r="I1768">
        <v>525.07000000000005</v>
      </c>
      <c r="J1768">
        <v>0</v>
      </c>
      <c r="K1768" s="14" t="s">
        <v>15</v>
      </c>
      <c r="L1768" s="14">
        <f>IF(OR(Table1[[#This Row],[Order_Status]]="Delivered",Table1[[#This Row],[Delivery_Date]]&lt;&gt;"Not Yet Delivered"),Table1[[#This Row],[Delivery_Date]]-Table1[[#This Row],[Order_Date]],"Not Applicable")</f>
        <v>16</v>
      </c>
      <c r="M1768" s="14">
        <f>Table1[[#This Row],[Unit_Cost]]-Table1[[#This Row],[Negotiated_Cost]]</f>
        <v>4.8700000000000045</v>
      </c>
      <c r="N1768" s="18">
        <f>Table1[[#This Row],[Defective_Units]]/Table1[[#This Row],[Quantity]]</f>
        <v>0</v>
      </c>
      <c r="O1768" s="26">
        <f>(Table1[[#This Row],[Unit_Cost]]-Table1[[#This Row],[Negotiated_Cost]])/Table1[[#This Row],[Unit_Cost]]</f>
        <v>9.1897195908970906E-3</v>
      </c>
    </row>
    <row r="1769" spans="1:15" x14ac:dyDescent="0.25">
      <c r="A1769" t="s">
        <v>1804</v>
      </c>
      <c r="B1769" t="s">
        <v>20</v>
      </c>
      <c r="C1769" s="14" t="s">
        <v>42</v>
      </c>
      <c r="D1769" s="1">
        <v>45326</v>
      </c>
      <c r="E1769" s="13">
        <v>45336</v>
      </c>
      <c r="F1769" s="14" t="s">
        <v>14</v>
      </c>
      <c r="G1769">
        <v>360</v>
      </c>
      <c r="H1769">
        <v>11144.43</v>
      </c>
      <c r="I1769">
        <v>10731.1</v>
      </c>
      <c r="J1769">
        <v>3</v>
      </c>
      <c r="K1769" s="14" t="s">
        <v>15</v>
      </c>
      <c r="L1769" s="14">
        <f>IF(OR(Table1[[#This Row],[Order_Status]]="Delivered",Table1[[#This Row],[Delivery_Date]]&lt;&gt;"Not Yet Delivered"),Table1[[#This Row],[Delivery_Date]]-Table1[[#This Row],[Order_Date]],"Not Applicable")</f>
        <v>10</v>
      </c>
      <c r="M1769" s="14">
        <f>Table1[[#This Row],[Unit_Cost]]-Table1[[#This Row],[Negotiated_Cost]]</f>
        <v>413.32999999999993</v>
      </c>
      <c r="N1769" s="18">
        <f>Table1[[#This Row],[Defective_Units]]/Table1[[#This Row],[Quantity]]</f>
        <v>8.3333333333333332E-3</v>
      </c>
      <c r="O1769" s="26">
        <f>(Table1[[#This Row],[Unit_Cost]]-Table1[[#This Row],[Negotiated_Cost]])/Table1[[#This Row],[Unit_Cost]]</f>
        <v>3.708848276672741E-2</v>
      </c>
    </row>
    <row r="1770" spans="1:15" x14ac:dyDescent="0.25">
      <c r="A1770" t="s">
        <v>1805</v>
      </c>
      <c r="B1770" t="s">
        <v>27</v>
      </c>
      <c r="C1770" s="14" t="s">
        <v>28</v>
      </c>
      <c r="D1770" s="1">
        <v>45134</v>
      </c>
      <c r="E1770" s="13">
        <v>45146</v>
      </c>
      <c r="F1770" s="14" t="s">
        <v>14</v>
      </c>
      <c r="G1770">
        <v>161</v>
      </c>
      <c r="H1770">
        <v>49210.01</v>
      </c>
      <c r="I1770">
        <v>46824.2</v>
      </c>
      <c r="J1770">
        <v>2</v>
      </c>
      <c r="K1770" s="14" t="s">
        <v>15</v>
      </c>
      <c r="L1770" s="14">
        <f>IF(OR(Table1[[#This Row],[Order_Status]]="Delivered",Table1[[#This Row],[Delivery_Date]]&lt;&gt;"Not Yet Delivered"),Table1[[#This Row],[Delivery_Date]]-Table1[[#This Row],[Order_Date]],"Not Applicable")</f>
        <v>12</v>
      </c>
      <c r="M1770" s="14">
        <f>Table1[[#This Row],[Unit_Cost]]-Table1[[#This Row],[Negotiated_Cost]]</f>
        <v>2385.8100000000049</v>
      </c>
      <c r="N1770" s="18">
        <f>Table1[[#This Row],[Defective_Units]]/Table1[[#This Row],[Quantity]]</f>
        <v>1.2422360248447204E-2</v>
      </c>
      <c r="O1770" s="26">
        <f>(Table1[[#This Row],[Unit_Cost]]-Table1[[#This Row],[Negotiated_Cost]])/Table1[[#This Row],[Unit_Cost]]</f>
        <v>4.8482209209061426E-2</v>
      </c>
    </row>
    <row r="1771" spans="1:15" x14ac:dyDescent="0.25">
      <c r="A1771" t="s">
        <v>1806</v>
      </c>
      <c r="B1771" t="s">
        <v>17</v>
      </c>
      <c r="C1771" s="14" t="s">
        <v>18</v>
      </c>
      <c r="D1771" s="1">
        <v>45338</v>
      </c>
      <c r="E1771" s="14" t="s">
        <v>2057</v>
      </c>
      <c r="F1771" s="14" t="s">
        <v>33</v>
      </c>
      <c r="G1771">
        <v>11</v>
      </c>
      <c r="H1771">
        <v>4987.1400000000003</v>
      </c>
      <c r="I1771">
        <v>4798.53</v>
      </c>
      <c r="J1771">
        <v>2</v>
      </c>
      <c r="K1771" s="14" t="s">
        <v>15</v>
      </c>
      <c r="L1771" s="14" t="str">
        <f>IF(OR(Table1[[#This Row],[Order_Status]]="Delivered",Table1[[#This Row],[Delivery_Date]]&lt;&gt;"Not Yet Delivered"),Table1[[#This Row],[Delivery_Date]]-Table1[[#This Row],[Order_Date]],"Not Applicable")</f>
        <v>Not Applicable</v>
      </c>
      <c r="M1771" s="14">
        <f>Table1[[#This Row],[Unit_Cost]]-Table1[[#This Row],[Negotiated_Cost]]</f>
        <v>188.61000000000058</v>
      </c>
      <c r="N1771" s="18">
        <f>Table1[[#This Row],[Defective_Units]]/Table1[[#This Row],[Quantity]]</f>
        <v>0.18181818181818182</v>
      </c>
      <c r="O1771" s="26">
        <f>(Table1[[#This Row],[Unit_Cost]]-Table1[[#This Row],[Negotiated_Cost]])/Table1[[#This Row],[Unit_Cost]]</f>
        <v>3.7819271165437617E-2</v>
      </c>
    </row>
    <row r="1772" spans="1:15" x14ac:dyDescent="0.25">
      <c r="A1772" t="s">
        <v>1807</v>
      </c>
      <c r="B1772" t="s">
        <v>12</v>
      </c>
      <c r="C1772" s="14" t="s">
        <v>55</v>
      </c>
      <c r="D1772" s="1">
        <v>45317</v>
      </c>
      <c r="E1772" s="13">
        <v>45320</v>
      </c>
      <c r="F1772" s="14" t="s">
        <v>14</v>
      </c>
      <c r="G1772">
        <v>106</v>
      </c>
      <c r="H1772">
        <v>14619.58</v>
      </c>
      <c r="I1772">
        <v>14598.73</v>
      </c>
      <c r="J1772">
        <v>1</v>
      </c>
      <c r="K1772" s="14" t="s">
        <v>15</v>
      </c>
      <c r="L1772" s="14">
        <f>IF(OR(Table1[[#This Row],[Order_Status]]="Delivered",Table1[[#This Row],[Delivery_Date]]&lt;&gt;"Not Yet Delivered"),Table1[[#This Row],[Delivery_Date]]-Table1[[#This Row],[Order_Date]],"Not Applicable")</f>
        <v>3</v>
      </c>
      <c r="M1772" s="14">
        <f>Table1[[#This Row],[Unit_Cost]]-Table1[[#This Row],[Negotiated_Cost]]</f>
        <v>20.850000000000364</v>
      </c>
      <c r="N1772" s="18">
        <f>Table1[[#This Row],[Defective_Units]]/Table1[[#This Row],[Quantity]]</f>
        <v>9.433962264150943E-3</v>
      </c>
      <c r="O1772" s="26">
        <f>(Table1[[#This Row],[Unit_Cost]]-Table1[[#This Row],[Negotiated_Cost]])/Table1[[#This Row],[Unit_Cost]]</f>
        <v>1.4261695616426986E-3</v>
      </c>
    </row>
    <row r="1773" spans="1:15" x14ac:dyDescent="0.25">
      <c r="A1773" t="s">
        <v>1808</v>
      </c>
      <c r="B1773" t="s">
        <v>32</v>
      </c>
      <c r="C1773" s="14" t="s">
        <v>28</v>
      </c>
      <c r="D1773" s="1">
        <v>45063</v>
      </c>
      <c r="E1773" s="13">
        <v>45093</v>
      </c>
      <c r="F1773" s="14" t="s">
        <v>14</v>
      </c>
      <c r="G1773">
        <v>327</v>
      </c>
      <c r="H1773">
        <v>41597.019999999997</v>
      </c>
      <c r="I1773">
        <v>40179.03</v>
      </c>
      <c r="J1773">
        <v>4</v>
      </c>
      <c r="K1773" s="14" t="s">
        <v>15</v>
      </c>
      <c r="L1773" s="14">
        <f>IF(OR(Table1[[#This Row],[Order_Status]]="Delivered",Table1[[#This Row],[Delivery_Date]]&lt;&gt;"Not Yet Delivered"),Table1[[#This Row],[Delivery_Date]]-Table1[[#This Row],[Order_Date]],"Not Applicable")</f>
        <v>30</v>
      </c>
      <c r="M1773" s="14">
        <f>Table1[[#This Row],[Unit_Cost]]-Table1[[#This Row],[Negotiated_Cost]]</f>
        <v>1417.989999999998</v>
      </c>
      <c r="N1773" s="18">
        <f>Table1[[#This Row],[Defective_Units]]/Table1[[#This Row],[Quantity]]</f>
        <v>1.2232415902140673E-2</v>
      </c>
      <c r="O1773" s="26">
        <f>(Table1[[#This Row],[Unit_Cost]]-Table1[[#This Row],[Negotiated_Cost]])/Table1[[#This Row],[Unit_Cost]]</f>
        <v>3.4088740010702646E-2</v>
      </c>
    </row>
    <row r="1774" spans="1:15" x14ac:dyDescent="0.25">
      <c r="A1774" t="s">
        <v>1809</v>
      </c>
      <c r="B1774" t="s">
        <v>27</v>
      </c>
      <c r="C1774" s="14" t="s">
        <v>42</v>
      </c>
      <c r="D1774" s="1">
        <v>45068</v>
      </c>
      <c r="E1774" s="13">
        <v>45079</v>
      </c>
      <c r="F1774" s="14" t="s">
        <v>14</v>
      </c>
      <c r="G1774">
        <v>252</v>
      </c>
      <c r="H1774">
        <v>11538.16</v>
      </c>
      <c r="I1774">
        <v>10961.53</v>
      </c>
      <c r="J1774">
        <v>0</v>
      </c>
      <c r="K1774" s="14" t="s">
        <v>15</v>
      </c>
      <c r="L1774" s="14">
        <f>IF(OR(Table1[[#This Row],[Order_Status]]="Delivered",Table1[[#This Row],[Delivery_Date]]&lt;&gt;"Not Yet Delivered"),Table1[[#This Row],[Delivery_Date]]-Table1[[#This Row],[Order_Date]],"Not Applicable")</f>
        <v>11</v>
      </c>
      <c r="M1774" s="14">
        <f>Table1[[#This Row],[Unit_Cost]]-Table1[[#This Row],[Negotiated_Cost]]</f>
        <v>576.6299999999992</v>
      </c>
      <c r="N1774" s="18">
        <f>Table1[[#This Row],[Defective_Units]]/Table1[[#This Row],[Quantity]]</f>
        <v>0</v>
      </c>
      <c r="O1774" s="26">
        <f>(Table1[[#This Row],[Unit_Cost]]-Table1[[#This Row],[Negotiated_Cost]])/Table1[[#This Row],[Unit_Cost]]</f>
        <v>4.9975906037011034E-2</v>
      </c>
    </row>
    <row r="1775" spans="1:15" x14ac:dyDescent="0.25">
      <c r="A1775" t="s">
        <v>1810</v>
      </c>
      <c r="B1775" t="s">
        <v>12</v>
      </c>
      <c r="C1775" s="14" t="s">
        <v>44</v>
      </c>
      <c r="D1775" s="1">
        <v>45590</v>
      </c>
      <c r="E1775" s="14" t="s">
        <v>2057</v>
      </c>
      <c r="F1775" s="14" t="s">
        <v>33</v>
      </c>
      <c r="G1775">
        <v>356</v>
      </c>
      <c r="H1775">
        <v>9438.2000000000007</v>
      </c>
      <c r="I1775">
        <v>9173.16</v>
      </c>
      <c r="J1775">
        <v>2</v>
      </c>
      <c r="K1775" s="14" t="s">
        <v>15</v>
      </c>
      <c r="L1775" s="14" t="str">
        <f>IF(OR(Table1[[#This Row],[Order_Status]]="Delivered",Table1[[#This Row],[Delivery_Date]]&lt;&gt;"Not Yet Delivered"),Table1[[#This Row],[Delivery_Date]]-Table1[[#This Row],[Order_Date]],"Not Applicable")</f>
        <v>Not Applicable</v>
      </c>
      <c r="M1775" s="14">
        <f>Table1[[#This Row],[Unit_Cost]]-Table1[[#This Row],[Negotiated_Cost]]</f>
        <v>265.04000000000087</v>
      </c>
      <c r="N1775" s="18">
        <f>Table1[[#This Row],[Defective_Units]]/Table1[[#This Row],[Quantity]]</f>
        <v>5.6179775280898875E-3</v>
      </c>
      <c r="O1775" s="26">
        <f>(Table1[[#This Row],[Unit_Cost]]-Table1[[#This Row],[Negotiated_Cost]])/Table1[[#This Row],[Unit_Cost]]</f>
        <v>2.8081625733720503E-2</v>
      </c>
    </row>
    <row r="1776" spans="1:15" x14ac:dyDescent="0.25">
      <c r="A1776" t="s">
        <v>1811</v>
      </c>
      <c r="B1776" t="s">
        <v>40</v>
      </c>
      <c r="C1776" s="14" t="s">
        <v>21</v>
      </c>
      <c r="D1776" s="1">
        <v>45180</v>
      </c>
      <c r="E1776" s="13">
        <v>45183</v>
      </c>
      <c r="F1776" s="14" t="s">
        <v>37</v>
      </c>
      <c r="G1776">
        <v>389</v>
      </c>
      <c r="H1776">
        <v>134.94</v>
      </c>
      <c r="I1776">
        <v>126.93</v>
      </c>
      <c r="J1776">
        <v>3</v>
      </c>
      <c r="K1776" s="14" t="s">
        <v>15</v>
      </c>
      <c r="L1776" s="14">
        <f>IF(OR(Table1[[#This Row],[Order_Status]]="Delivered",Table1[[#This Row],[Delivery_Date]]&lt;&gt;"Not Yet Delivered"),Table1[[#This Row],[Delivery_Date]]-Table1[[#This Row],[Order_Date]],"Not Applicable")</f>
        <v>3</v>
      </c>
      <c r="M1776" s="14">
        <f>Table1[[#This Row],[Unit_Cost]]-Table1[[#This Row],[Negotiated_Cost]]</f>
        <v>8.0099999999999909</v>
      </c>
      <c r="N1776" s="18">
        <f>Table1[[#This Row],[Defective_Units]]/Table1[[#This Row],[Quantity]]</f>
        <v>7.7120822622107968E-3</v>
      </c>
      <c r="O1776" s="26">
        <f>(Table1[[#This Row],[Unit_Cost]]-Table1[[#This Row],[Negotiated_Cost]])/Table1[[#This Row],[Unit_Cost]]</f>
        <v>5.9359715429079522E-2</v>
      </c>
    </row>
    <row r="1777" spans="1:15" x14ac:dyDescent="0.25">
      <c r="A1777" t="s">
        <v>1812</v>
      </c>
      <c r="B1777" t="s">
        <v>27</v>
      </c>
      <c r="C1777" s="14" t="s">
        <v>24</v>
      </c>
      <c r="D1777" s="1">
        <v>45230</v>
      </c>
      <c r="E1777" s="13">
        <v>45256</v>
      </c>
      <c r="F1777" s="14" t="s">
        <v>14</v>
      </c>
      <c r="G1777">
        <v>354</v>
      </c>
      <c r="H1777">
        <v>12730.92</v>
      </c>
      <c r="I1777">
        <v>11998.02</v>
      </c>
      <c r="J1777">
        <v>6</v>
      </c>
      <c r="K1777" s="14" t="s">
        <v>15</v>
      </c>
      <c r="L1777" s="14">
        <f>IF(OR(Table1[[#This Row],[Order_Status]]="Delivered",Table1[[#This Row],[Delivery_Date]]&lt;&gt;"Not Yet Delivered"),Table1[[#This Row],[Delivery_Date]]-Table1[[#This Row],[Order_Date]],"Not Applicable")</f>
        <v>26</v>
      </c>
      <c r="M1777" s="14">
        <f>Table1[[#This Row],[Unit_Cost]]-Table1[[#This Row],[Negotiated_Cost]]</f>
        <v>732.89999999999964</v>
      </c>
      <c r="N1777" s="18">
        <f>Table1[[#This Row],[Defective_Units]]/Table1[[#This Row],[Quantity]]</f>
        <v>1.6949152542372881E-2</v>
      </c>
      <c r="O1777" s="26">
        <f>(Table1[[#This Row],[Unit_Cost]]-Table1[[#This Row],[Negotiated_Cost]])/Table1[[#This Row],[Unit_Cost]]</f>
        <v>5.7568502511994392E-2</v>
      </c>
    </row>
    <row r="1778" spans="1:15" x14ac:dyDescent="0.25">
      <c r="A1778" t="s">
        <v>1813</v>
      </c>
      <c r="B1778" t="s">
        <v>20</v>
      </c>
      <c r="C1778" s="14" t="s">
        <v>42</v>
      </c>
      <c r="D1778" s="1">
        <v>45210</v>
      </c>
      <c r="E1778" s="14" t="s">
        <v>2057</v>
      </c>
      <c r="F1778" s="14" t="s">
        <v>33</v>
      </c>
      <c r="G1778">
        <v>484</v>
      </c>
      <c r="H1778">
        <v>10847.33</v>
      </c>
      <c r="I1778">
        <v>10745.4</v>
      </c>
      <c r="J1778">
        <v>2</v>
      </c>
      <c r="K1778" s="14" t="s">
        <v>15</v>
      </c>
      <c r="L1778" s="14" t="str">
        <f>IF(OR(Table1[[#This Row],[Order_Status]]="Delivered",Table1[[#This Row],[Delivery_Date]]&lt;&gt;"Not Yet Delivered"),Table1[[#This Row],[Delivery_Date]]-Table1[[#This Row],[Order_Date]],"Not Applicable")</f>
        <v>Not Applicable</v>
      </c>
      <c r="M1778" s="14">
        <f>Table1[[#This Row],[Unit_Cost]]-Table1[[#This Row],[Negotiated_Cost]]</f>
        <v>101.93000000000029</v>
      </c>
      <c r="N1778" s="18">
        <f>Table1[[#This Row],[Defective_Units]]/Table1[[#This Row],[Quantity]]</f>
        <v>4.1322314049586778E-3</v>
      </c>
      <c r="O1778" s="26">
        <f>(Table1[[#This Row],[Unit_Cost]]-Table1[[#This Row],[Negotiated_Cost]])/Table1[[#This Row],[Unit_Cost]]</f>
        <v>9.3967824340183519E-3</v>
      </c>
    </row>
    <row r="1779" spans="1:15" x14ac:dyDescent="0.25">
      <c r="A1779" t="s">
        <v>1814</v>
      </c>
      <c r="B1779" t="s">
        <v>32</v>
      </c>
      <c r="C1779" s="14" t="s">
        <v>21</v>
      </c>
      <c r="D1779" s="1">
        <v>45286</v>
      </c>
      <c r="E1779" s="13">
        <v>45311</v>
      </c>
      <c r="F1779" s="14" t="s">
        <v>14</v>
      </c>
      <c r="G1779">
        <v>180</v>
      </c>
      <c r="H1779">
        <v>115.67</v>
      </c>
      <c r="I1779">
        <v>109.77</v>
      </c>
      <c r="J1779">
        <v>1</v>
      </c>
      <c r="K1779" s="14" t="s">
        <v>15</v>
      </c>
      <c r="L1779" s="14">
        <f>IF(OR(Table1[[#This Row],[Order_Status]]="Delivered",Table1[[#This Row],[Delivery_Date]]&lt;&gt;"Not Yet Delivered"),Table1[[#This Row],[Delivery_Date]]-Table1[[#This Row],[Order_Date]],"Not Applicable")</f>
        <v>25</v>
      </c>
      <c r="M1779" s="14">
        <f>Table1[[#This Row],[Unit_Cost]]-Table1[[#This Row],[Negotiated_Cost]]</f>
        <v>5.9000000000000057</v>
      </c>
      <c r="N1779" s="18">
        <f>Table1[[#This Row],[Defective_Units]]/Table1[[#This Row],[Quantity]]</f>
        <v>5.5555555555555558E-3</v>
      </c>
      <c r="O1779" s="26">
        <f>(Table1[[#This Row],[Unit_Cost]]-Table1[[#This Row],[Negotiated_Cost]])/Table1[[#This Row],[Unit_Cost]]</f>
        <v>5.1007175585718038E-2</v>
      </c>
    </row>
    <row r="1780" spans="1:15" x14ac:dyDescent="0.25">
      <c r="A1780" t="s">
        <v>1815</v>
      </c>
      <c r="B1780" t="s">
        <v>32</v>
      </c>
      <c r="C1780" s="14" t="s">
        <v>42</v>
      </c>
      <c r="D1780" s="1">
        <v>45000</v>
      </c>
      <c r="E1780" s="13">
        <v>45028</v>
      </c>
      <c r="F1780" s="14" t="s">
        <v>14</v>
      </c>
      <c r="G1780">
        <v>100</v>
      </c>
      <c r="H1780">
        <v>11418.22</v>
      </c>
      <c r="I1780">
        <v>11067.35</v>
      </c>
      <c r="J1780">
        <v>1</v>
      </c>
      <c r="K1780" s="14" t="s">
        <v>15</v>
      </c>
      <c r="L1780" s="14">
        <f>IF(OR(Table1[[#This Row],[Order_Status]]="Delivered",Table1[[#This Row],[Delivery_Date]]&lt;&gt;"Not Yet Delivered"),Table1[[#This Row],[Delivery_Date]]-Table1[[#This Row],[Order_Date]],"Not Applicable")</f>
        <v>28</v>
      </c>
      <c r="M1780" s="14">
        <f>Table1[[#This Row],[Unit_Cost]]-Table1[[#This Row],[Negotiated_Cost]]</f>
        <v>350.86999999999898</v>
      </c>
      <c r="N1780" s="18">
        <f>Table1[[#This Row],[Defective_Units]]/Table1[[#This Row],[Quantity]]</f>
        <v>0.01</v>
      </c>
      <c r="O1780" s="26">
        <f>(Table1[[#This Row],[Unit_Cost]]-Table1[[#This Row],[Negotiated_Cost]])/Table1[[#This Row],[Unit_Cost]]</f>
        <v>3.0728957753485133E-2</v>
      </c>
    </row>
    <row r="1781" spans="1:15" x14ac:dyDescent="0.25">
      <c r="A1781" t="s">
        <v>1816</v>
      </c>
      <c r="B1781" t="s">
        <v>12</v>
      </c>
      <c r="C1781" s="14" t="s">
        <v>13</v>
      </c>
      <c r="D1781" s="1">
        <v>45087</v>
      </c>
      <c r="E1781" s="13">
        <v>45094</v>
      </c>
      <c r="F1781" s="14" t="s">
        <v>14</v>
      </c>
      <c r="G1781">
        <v>190</v>
      </c>
      <c r="H1781">
        <v>4533.7700000000004</v>
      </c>
      <c r="I1781">
        <v>4339.18</v>
      </c>
      <c r="J1781">
        <v>3</v>
      </c>
      <c r="K1781" s="14" t="s">
        <v>15</v>
      </c>
      <c r="L1781" s="14">
        <f>IF(OR(Table1[[#This Row],[Order_Status]]="Delivered",Table1[[#This Row],[Delivery_Date]]&lt;&gt;"Not Yet Delivered"),Table1[[#This Row],[Delivery_Date]]-Table1[[#This Row],[Order_Date]],"Not Applicable")</f>
        <v>7</v>
      </c>
      <c r="M1781" s="14">
        <f>Table1[[#This Row],[Unit_Cost]]-Table1[[#This Row],[Negotiated_Cost]]</f>
        <v>194.59000000000015</v>
      </c>
      <c r="N1781" s="18">
        <f>Table1[[#This Row],[Defective_Units]]/Table1[[#This Row],[Quantity]]</f>
        <v>1.5789473684210527E-2</v>
      </c>
      <c r="O1781" s="26">
        <f>(Table1[[#This Row],[Unit_Cost]]-Table1[[#This Row],[Negotiated_Cost]])/Table1[[#This Row],[Unit_Cost]]</f>
        <v>4.292013048743102E-2</v>
      </c>
    </row>
    <row r="1782" spans="1:15" x14ac:dyDescent="0.25">
      <c r="A1782" t="s">
        <v>1817</v>
      </c>
      <c r="B1782" t="s">
        <v>35</v>
      </c>
      <c r="C1782" s="14" t="s">
        <v>18</v>
      </c>
      <c r="D1782" s="1">
        <v>45265</v>
      </c>
      <c r="E1782" s="13">
        <v>45291</v>
      </c>
      <c r="F1782" s="14" t="s">
        <v>14</v>
      </c>
      <c r="G1782">
        <v>263</v>
      </c>
      <c r="H1782">
        <v>4982.5200000000004</v>
      </c>
      <c r="I1782">
        <v>4803.33</v>
      </c>
      <c r="J1782">
        <v>3</v>
      </c>
      <c r="K1782" s="14" t="s">
        <v>15</v>
      </c>
      <c r="L1782" s="14">
        <f>IF(OR(Table1[[#This Row],[Order_Status]]="Delivered",Table1[[#This Row],[Delivery_Date]]&lt;&gt;"Not Yet Delivered"),Table1[[#This Row],[Delivery_Date]]-Table1[[#This Row],[Order_Date]],"Not Applicable")</f>
        <v>26</v>
      </c>
      <c r="M1782" s="14">
        <f>Table1[[#This Row],[Unit_Cost]]-Table1[[#This Row],[Negotiated_Cost]]</f>
        <v>179.19000000000051</v>
      </c>
      <c r="N1782" s="18">
        <f>Table1[[#This Row],[Defective_Units]]/Table1[[#This Row],[Quantity]]</f>
        <v>1.1406844106463879E-2</v>
      </c>
      <c r="O1782" s="26">
        <f>(Table1[[#This Row],[Unit_Cost]]-Table1[[#This Row],[Negotiated_Cost]])/Table1[[#This Row],[Unit_Cost]]</f>
        <v>3.5963729197273767E-2</v>
      </c>
    </row>
    <row r="1783" spans="1:15" x14ac:dyDescent="0.25">
      <c r="A1783" t="s">
        <v>1818</v>
      </c>
      <c r="B1783" t="s">
        <v>12</v>
      </c>
      <c r="C1783" s="14" t="s">
        <v>13</v>
      </c>
      <c r="D1783" s="1">
        <v>45152</v>
      </c>
      <c r="E1783" s="14" t="s">
        <v>2057</v>
      </c>
      <c r="F1783" s="14" t="s">
        <v>33</v>
      </c>
      <c r="G1783">
        <v>63</v>
      </c>
      <c r="H1783">
        <v>4468.97</v>
      </c>
      <c r="I1783">
        <v>4219.32</v>
      </c>
      <c r="J1783">
        <v>2</v>
      </c>
      <c r="K1783" s="14" t="s">
        <v>15</v>
      </c>
      <c r="L1783" s="14" t="str">
        <f>IF(OR(Table1[[#This Row],[Order_Status]]="Delivered",Table1[[#This Row],[Delivery_Date]]&lt;&gt;"Not Yet Delivered"),Table1[[#This Row],[Delivery_Date]]-Table1[[#This Row],[Order_Date]],"Not Applicable")</f>
        <v>Not Applicable</v>
      </c>
      <c r="M1783" s="14">
        <f>Table1[[#This Row],[Unit_Cost]]-Table1[[#This Row],[Negotiated_Cost]]</f>
        <v>249.65000000000055</v>
      </c>
      <c r="N1783" s="18">
        <f>Table1[[#This Row],[Defective_Units]]/Table1[[#This Row],[Quantity]]</f>
        <v>3.1746031746031744E-2</v>
      </c>
      <c r="O1783" s="26">
        <f>(Table1[[#This Row],[Unit_Cost]]-Table1[[#This Row],[Negotiated_Cost]])/Table1[[#This Row],[Unit_Cost]]</f>
        <v>5.5862984088056206E-2</v>
      </c>
    </row>
    <row r="1784" spans="1:15" x14ac:dyDescent="0.25">
      <c r="A1784" t="s">
        <v>1819</v>
      </c>
      <c r="B1784" t="s">
        <v>17</v>
      </c>
      <c r="C1784" s="14" t="s">
        <v>50</v>
      </c>
      <c r="D1784" s="1">
        <v>45156</v>
      </c>
      <c r="E1784" s="13">
        <v>45165</v>
      </c>
      <c r="F1784" s="14" t="s">
        <v>14</v>
      </c>
      <c r="G1784">
        <v>475</v>
      </c>
      <c r="H1784">
        <v>46340.04</v>
      </c>
      <c r="I1784">
        <v>45971.67</v>
      </c>
      <c r="J1784">
        <v>3</v>
      </c>
      <c r="K1784" s="14" t="s">
        <v>15</v>
      </c>
      <c r="L1784" s="14">
        <f>IF(OR(Table1[[#This Row],[Order_Status]]="Delivered",Table1[[#This Row],[Delivery_Date]]&lt;&gt;"Not Yet Delivered"),Table1[[#This Row],[Delivery_Date]]-Table1[[#This Row],[Order_Date]],"Not Applicable")</f>
        <v>9</v>
      </c>
      <c r="M1784" s="14">
        <f>Table1[[#This Row],[Unit_Cost]]-Table1[[#This Row],[Negotiated_Cost]]</f>
        <v>368.37000000000262</v>
      </c>
      <c r="N1784" s="18">
        <f>Table1[[#This Row],[Defective_Units]]/Table1[[#This Row],[Quantity]]</f>
        <v>6.3157894736842104E-3</v>
      </c>
      <c r="O1784" s="26">
        <f>(Table1[[#This Row],[Unit_Cost]]-Table1[[#This Row],[Negotiated_Cost]])/Table1[[#This Row],[Unit_Cost]]</f>
        <v>7.9492810105473068E-3</v>
      </c>
    </row>
    <row r="1785" spans="1:15" x14ac:dyDescent="0.25">
      <c r="A1785" t="s">
        <v>1820</v>
      </c>
      <c r="B1785" t="s">
        <v>32</v>
      </c>
      <c r="C1785" s="14" t="s">
        <v>48</v>
      </c>
      <c r="D1785" s="1">
        <v>45234</v>
      </c>
      <c r="E1785" s="13">
        <v>45255</v>
      </c>
      <c r="F1785" s="14" t="s">
        <v>37</v>
      </c>
      <c r="G1785">
        <v>178</v>
      </c>
      <c r="H1785">
        <v>5734.32</v>
      </c>
      <c r="I1785">
        <v>5567.2</v>
      </c>
      <c r="J1785">
        <v>0</v>
      </c>
      <c r="K1785" s="14" t="s">
        <v>25</v>
      </c>
      <c r="L1785" s="14">
        <f>IF(OR(Table1[[#This Row],[Order_Status]]="Delivered",Table1[[#This Row],[Delivery_Date]]&lt;&gt;"Not Yet Delivered"),Table1[[#This Row],[Delivery_Date]]-Table1[[#This Row],[Order_Date]],"Not Applicable")</f>
        <v>21</v>
      </c>
      <c r="M1785" s="14">
        <f>Table1[[#This Row],[Unit_Cost]]-Table1[[#This Row],[Negotiated_Cost]]</f>
        <v>167.11999999999989</v>
      </c>
      <c r="N1785" s="18">
        <f>Table1[[#This Row],[Defective_Units]]/Table1[[#This Row],[Quantity]]</f>
        <v>0</v>
      </c>
      <c r="O1785" s="26">
        <f>(Table1[[#This Row],[Unit_Cost]]-Table1[[#This Row],[Negotiated_Cost]])/Table1[[#This Row],[Unit_Cost]]</f>
        <v>2.9143821760906245E-2</v>
      </c>
    </row>
    <row r="1786" spans="1:15" x14ac:dyDescent="0.25">
      <c r="A1786" t="s">
        <v>1821</v>
      </c>
      <c r="B1786" t="s">
        <v>27</v>
      </c>
      <c r="C1786" s="14" t="s">
        <v>24</v>
      </c>
      <c r="D1786" s="1">
        <v>45120</v>
      </c>
      <c r="E1786" s="13">
        <v>45138</v>
      </c>
      <c r="F1786" s="14" t="s">
        <v>14</v>
      </c>
      <c r="G1786">
        <v>159</v>
      </c>
      <c r="H1786">
        <v>12851.29</v>
      </c>
      <c r="I1786">
        <v>12263.67</v>
      </c>
      <c r="J1786">
        <v>2</v>
      </c>
      <c r="K1786" s="14" t="s">
        <v>15</v>
      </c>
      <c r="L1786" s="14">
        <f>IF(OR(Table1[[#This Row],[Order_Status]]="Delivered",Table1[[#This Row],[Delivery_Date]]&lt;&gt;"Not Yet Delivered"),Table1[[#This Row],[Delivery_Date]]-Table1[[#This Row],[Order_Date]],"Not Applicable")</f>
        <v>18</v>
      </c>
      <c r="M1786" s="14">
        <f>Table1[[#This Row],[Unit_Cost]]-Table1[[#This Row],[Negotiated_Cost]]</f>
        <v>587.6200000000008</v>
      </c>
      <c r="N1786" s="18">
        <f>Table1[[#This Row],[Defective_Units]]/Table1[[#This Row],[Quantity]]</f>
        <v>1.2578616352201259E-2</v>
      </c>
      <c r="O1786" s="26">
        <f>(Table1[[#This Row],[Unit_Cost]]-Table1[[#This Row],[Negotiated_Cost]])/Table1[[#This Row],[Unit_Cost]]</f>
        <v>4.572459262844436E-2</v>
      </c>
    </row>
    <row r="1787" spans="1:15" x14ac:dyDescent="0.25">
      <c r="A1787" t="s">
        <v>1822</v>
      </c>
      <c r="B1787" t="s">
        <v>20</v>
      </c>
      <c r="C1787" s="14" t="s">
        <v>18</v>
      </c>
      <c r="D1787" s="1">
        <v>45480</v>
      </c>
      <c r="E1787" s="13">
        <v>45489</v>
      </c>
      <c r="F1787" s="14" t="s">
        <v>14</v>
      </c>
      <c r="G1787">
        <v>8</v>
      </c>
      <c r="H1787">
        <v>5113.51</v>
      </c>
      <c r="I1787">
        <v>5042.51</v>
      </c>
      <c r="J1787">
        <v>0</v>
      </c>
      <c r="K1787" s="14" t="s">
        <v>15</v>
      </c>
      <c r="L1787" s="14">
        <f>IF(OR(Table1[[#This Row],[Order_Status]]="Delivered",Table1[[#This Row],[Delivery_Date]]&lt;&gt;"Not Yet Delivered"),Table1[[#This Row],[Delivery_Date]]-Table1[[#This Row],[Order_Date]],"Not Applicable")</f>
        <v>9</v>
      </c>
      <c r="M1787" s="14">
        <f>Table1[[#This Row],[Unit_Cost]]-Table1[[#This Row],[Negotiated_Cost]]</f>
        <v>71</v>
      </c>
      <c r="N1787" s="18">
        <f>Table1[[#This Row],[Defective_Units]]/Table1[[#This Row],[Quantity]]</f>
        <v>0</v>
      </c>
      <c r="O1787" s="26">
        <f>(Table1[[#This Row],[Unit_Cost]]-Table1[[#This Row],[Negotiated_Cost]])/Table1[[#This Row],[Unit_Cost]]</f>
        <v>1.3884787552972419E-2</v>
      </c>
    </row>
    <row r="1788" spans="1:15" x14ac:dyDescent="0.25">
      <c r="A1788" t="s">
        <v>1823</v>
      </c>
      <c r="B1788" t="s">
        <v>40</v>
      </c>
      <c r="C1788" s="14" t="s">
        <v>13</v>
      </c>
      <c r="D1788" s="1">
        <v>45119</v>
      </c>
      <c r="E1788" s="13">
        <v>45141</v>
      </c>
      <c r="F1788" s="14" t="s">
        <v>37</v>
      </c>
      <c r="G1788">
        <v>469</v>
      </c>
      <c r="H1788">
        <v>4759.13</v>
      </c>
      <c r="I1788">
        <v>4699.42</v>
      </c>
      <c r="J1788">
        <v>3</v>
      </c>
      <c r="K1788" s="14" t="s">
        <v>15</v>
      </c>
      <c r="L1788" s="14">
        <f>IF(OR(Table1[[#This Row],[Order_Status]]="Delivered",Table1[[#This Row],[Delivery_Date]]&lt;&gt;"Not Yet Delivered"),Table1[[#This Row],[Delivery_Date]]-Table1[[#This Row],[Order_Date]],"Not Applicable")</f>
        <v>22</v>
      </c>
      <c r="M1788" s="14">
        <f>Table1[[#This Row],[Unit_Cost]]-Table1[[#This Row],[Negotiated_Cost]]</f>
        <v>59.710000000000036</v>
      </c>
      <c r="N1788" s="18">
        <f>Table1[[#This Row],[Defective_Units]]/Table1[[#This Row],[Quantity]]</f>
        <v>6.3965884861407248E-3</v>
      </c>
      <c r="O1788" s="26">
        <f>(Table1[[#This Row],[Unit_Cost]]-Table1[[#This Row],[Negotiated_Cost]])/Table1[[#This Row],[Unit_Cost]]</f>
        <v>1.2546410793569419E-2</v>
      </c>
    </row>
    <row r="1789" spans="1:15" x14ac:dyDescent="0.25">
      <c r="A1789" t="s">
        <v>1824</v>
      </c>
      <c r="B1789" t="s">
        <v>17</v>
      </c>
      <c r="C1789" s="14" t="s">
        <v>28</v>
      </c>
      <c r="D1789" s="1">
        <v>45234</v>
      </c>
      <c r="E1789" s="13">
        <v>45244</v>
      </c>
      <c r="F1789" s="14" t="s">
        <v>14</v>
      </c>
      <c r="G1789">
        <v>458</v>
      </c>
      <c r="H1789">
        <v>45371.78</v>
      </c>
      <c r="I1789">
        <v>45245.39</v>
      </c>
      <c r="J1789">
        <v>1</v>
      </c>
      <c r="K1789" s="14" t="s">
        <v>15</v>
      </c>
      <c r="L1789" s="14">
        <f>IF(OR(Table1[[#This Row],[Order_Status]]="Delivered",Table1[[#This Row],[Delivery_Date]]&lt;&gt;"Not Yet Delivered"),Table1[[#This Row],[Delivery_Date]]-Table1[[#This Row],[Order_Date]],"Not Applicable")</f>
        <v>10</v>
      </c>
      <c r="M1789" s="14">
        <f>Table1[[#This Row],[Unit_Cost]]-Table1[[#This Row],[Negotiated_Cost]]</f>
        <v>126.38999999999942</v>
      </c>
      <c r="N1789" s="18">
        <f>Table1[[#This Row],[Defective_Units]]/Table1[[#This Row],[Quantity]]</f>
        <v>2.1834061135371178E-3</v>
      </c>
      <c r="O1789" s="26">
        <f>(Table1[[#This Row],[Unit_Cost]]-Table1[[#This Row],[Negotiated_Cost]])/Table1[[#This Row],[Unit_Cost]]</f>
        <v>2.7856522270009996E-3</v>
      </c>
    </row>
    <row r="1790" spans="1:15" x14ac:dyDescent="0.25">
      <c r="A1790" t="s">
        <v>1825</v>
      </c>
      <c r="B1790" t="s">
        <v>27</v>
      </c>
      <c r="C1790" s="14" t="s">
        <v>55</v>
      </c>
      <c r="D1790" s="1">
        <v>45032</v>
      </c>
      <c r="E1790" s="13">
        <v>45041</v>
      </c>
      <c r="F1790" s="14" t="s">
        <v>14</v>
      </c>
      <c r="G1790">
        <v>195</v>
      </c>
      <c r="H1790">
        <v>15417.48</v>
      </c>
      <c r="I1790">
        <v>14563.91</v>
      </c>
      <c r="J1790">
        <v>1</v>
      </c>
      <c r="K1790" s="14" t="s">
        <v>15</v>
      </c>
      <c r="L1790" s="14">
        <f>IF(OR(Table1[[#This Row],[Order_Status]]="Delivered",Table1[[#This Row],[Delivery_Date]]&lt;&gt;"Not Yet Delivered"),Table1[[#This Row],[Delivery_Date]]-Table1[[#This Row],[Order_Date]],"Not Applicable")</f>
        <v>9</v>
      </c>
      <c r="M1790" s="14">
        <f>Table1[[#This Row],[Unit_Cost]]-Table1[[#This Row],[Negotiated_Cost]]</f>
        <v>853.56999999999971</v>
      </c>
      <c r="N1790" s="18">
        <f>Table1[[#This Row],[Defective_Units]]/Table1[[#This Row],[Quantity]]</f>
        <v>5.1282051282051282E-3</v>
      </c>
      <c r="O1790" s="26">
        <f>(Table1[[#This Row],[Unit_Cost]]-Table1[[#This Row],[Negotiated_Cost]])/Table1[[#This Row],[Unit_Cost]]</f>
        <v>5.5363781889128424E-2</v>
      </c>
    </row>
    <row r="1791" spans="1:15" x14ac:dyDescent="0.25">
      <c r="A1791" t="s">
        <v>1826</v>
      </c>
      <c r="B1791" t="s">
        <v>32</v>
      </c>
      <c r="C1791" s="14" t="s">
        <v>21</v>
      </c>
      <c r="D1791" s="1">
        <v>45045</v>
      </c>
      <c r="E1791" s="13">
        <v>45059</v>
      </c>
      <c r="F1791" s="14" t="s">
        <v>14</v>
      </c>
      <c r="G1791">
        <v>369</v>
      </c>
      <c r="H1791">
        <v>114.5</v>
      </c>
      <c r="I1791">
        <v>110.43</v>
      </c>
      <c r="J1791">
        <v>11</v>
      </c>
      <c r="K1791" s="14" t="s">
        <v>15</v>
      </c>
      <c r="L1791" s="14">
        <f>IF(OR(Table1[[#This Row],[Order_Status]]="Delivered",Table1[[#This Row],[Delivery_Date]]&lt;&gt;"Not Yet Delivered"),Table1[[#This Row],[Delivery_Date]]-Table1[[#This Row],[Order_Date]],"Not Applicable")</f>
        <v>14</v>
      </c>
      <c r="M1791" s="14">
        <f>Table1[[#This Row],[Unit_Cost]]-Table1[[#This Row],[Negotiated_Cost]]</f>
        <v>4.0699999999999932</v>
      </c>
      <c r="N1791" s="18">
        <f>Table1[[#This Row],[Defective_Units]]/Table1[[#This Row],[Quantity]]</f>
        <v>2.9810298102981029E-2</v>
      </c>
      <c r="O1791" s="26">
        <f>(Table1[[#This Row],[Unit_Cost]]-Table1[[#This Row],[Negotiated_Cost]])/Table1[[#This Row],[Unit_Cost]]</f>
        <v>3.5545851528384222E-2</v>
      </c>
    </row>
    <row r="1792" spans="1:15" x14ac:dyDescent="0.25">
      <c r="A1792" t="s">
        <v>1827</v>
      </c>
      <c r="B1792" t="s">
        <v>17</v>
      </c>
      <c r="C1792" s="14" t="s">
        <v>24</v>
      </c>
      <c r="D1792" s="1">
        <v>44972</v>
      </c>
      <c r="E1792" s="13">
        <v>44991</v>
      </c>
      <c r="F1792" s="14" t="s">
        <v>14</v>
      </c>
      <c r="G1792">
        <v>98</v>
      </c>
      <c r="H1792">
        <v>11979.55</v>
      </c>
      <c r="I1792">
        <v>11867.66</v>
      </c>
      <c r="J1792">
        <v>2</v>
      </c>
      <c r="K1792" s="14" t="s">
        <v>15</v>
      </c>
      <c r="L1792" s="14">
        <f>IF(OR(Table1[[#This Row],[Order_Status]]="Delivered",Table1[[#This Row],[Delivery_Date]]&lt;&gt;"Not Yet Delivered"),Table1[[#This Row],[Delivery_Date]]-Table1[[#This Row],[Order_Date]],"Not Applicable")</f>
        <v>19</v>
      </c>
      <c r="M1792" s="14">
        <f>Table1[[#This Row],[Unit_Cost]]-Table1[[#This Row],[Negotiated_Cost]]</f>
        <v>111.88999999999942</v>
      </c>
      <c r="N1792" s="18">
        <f>Table1[[#This Row],[Defective_Units]]/Table1[[#This Row],[Quantity]]</f>
        <v>2.0408163265306121E-2</v>
      </c>
      <c r="O1792" s="26">
        <f>(Table1[[#This Row],[Unit_Cost]]-Table1[[#This Row],[Negotiated_Cost]])/Table1[[#This Row],[Unit_Cost]]</f>
        <v>9.340083726016371E-3</v>
      </c>
    </row>
    <row r="1793" spans="1:15" x14ac:dyDescent="0.25">
      <c r="A1793" t="s">
        <v>1828</v>
      </c>
      <c r="B1793" t="s">
        <v>20</v>
      </c>
      <c r="C1793" s="14" t="s">
        <v>18</v>
      </c>
      <c r="D1793" s="1">
        <v>44981</v>
      </c>
      <c r="E1793" s="13">
        <v>44999</v>
      </c>
      <c r="F1793" s="14" t="s">
        <v>14</v>
      </c>
      <c r="G1793">
        <v>157</v>
      </c>
      <c r="H1793">
        <v>5075.6499999999996</v>
      </c>
      <c r="I1793">
        <v>4781.6899999999996</v>
      </c>
      <c r="J1793">
        <v>0</v>
      </c>
      <c r="K1793" s="14" t="s">
        <v>15</v>
      </c>
      <c r="L1793" s="14">
        <f>IF(OR(Table1[[#This Row],[Order_Status]]="Delivered",Table1[[#This Row],[Delivery_Date]]&lt;&gt;"Not Yet Delivered"),Table1[[#This Row],[Delivery_Date]]-Table1[[#This Row],[Order_Date]],"Not Applicable")</f>
        <v>18</v>
      </c>
      <c r="M1793" s="14">
        <f>Table1[[#This Row],[Unit_Cost]]-Table1[[#This Row],[Negotiated_Cost]]</f>
        <v>293.96000000000004</v>
      </c>
      <c r="N1793" s="18">
        <f>Table1[[#This Row],[Defective_Units]]/Table1[[#This Row],[Quantity]]</f>
        <v>0</v>
      </c>
      <c r="O1793" s="26">
        <f>(Table1[[#This Row],[Unit_Cost]]-Table1[[#This Row],[Negotiated_Cost]])/Table1[[#This Row],[Unit_Cost]]</f>
        <v>5.7915734930501526E-2</v>
      </c>
    </row>
    <row r="1794" spans="1:15" x14ac:dyDescent="0.25">
      <c r="A1794" t="s">
        <v>1829</v>
      </c>
      <c r="B1794" t="s">
        <v>17</v>
      </c>
      <c r="C1794" s="14" t="s">
        <v>28</v>
      </c>
      <c r="D1794" s="1">
        <v>44935</v>
      </c>
      <c r="E1794" s="14" t="s">
        <v>2057</v>
      </c>
      <c r="F1794" s="14" t="s">
        <v>33</v>
      </c>
      <c r="G1794">
        <v>237</v>
      </c>
      <c r="H1794">
        <v>47771.56</v>
      </c>
      <c r="I1794">
        <v>45948.42</v>
      </c>
      <c r="J1794">
        <v>2</v>
      </c>
      <c r="K1794" s="14" t="s">
        <v>15</v>
      </c>
      <c r="L1794" s="14" t="str">
        <f>IF(OR(Table1[[#This Row],[Order_Status]]="Delivered",Table1[[#This Row],[Delivery_Date]]&lt;&gt;"Not Yet Delivered"),Table1[[#This Row],[Delivery_Date]]-Table1[[#This Row],[Order_Date]],"Not Applicable")</f>
        <v>Not Applicable</v>
      </c>
      <c r="M1794" s="14">
        <f>Table1[[#This Row],[Unit_Cost]]-Table1[[#This Row],[Negotiated_Cost]]</f>
        <v>1823.1399999999994</v>
      </c>
      <c r="N1794" s="18">
        <f>Table1[[#This Row],[Defective_Units]]/Table1[[#This Row],[Quantity]]</f>
        <v>8.4388185654008432E-3</v>
      </c>
      <c r="O1794" s="26">
        <f>(Table1[[#This Row],[Unit_Cost]]-Table1[[#This Row],[Negotiated_Cost]])/Table1[[#This Row],[Unit_Cost]]</f>
        <v>3.8163710793618619E-2</v>
      </c>
    </row>
    <row r="1795" spans="1:15" x14ac:dyDescent="0.25">
      <c r="A1795" t="s">
        <v>1830</v>
      </c>
      <c r="B1795" t="s">
        <v>12</v>
      </c>
      <c r="C1795" s="14" t="s">
        <v>36</v>
      </c>
      <c r="D1795" s="1">
        <v>45040</v>
      </c>
      <c r="E1795" s="13">
        <v>45047</v>
      </c>
      <c r="F1795" s="14" t="s">
        <v>14</v>
      </c>
      <c r="G1795">
        <v>67</v>
      </c>
      <c r="H1795">
        <v>561.47</v>
      </c>
      <c r="I1795">
        <v>560.95000000000005</v>
      </c>
      <c r="J1795">
        <v>2</v>
      </c>
      <c r="K1795" s="14" t="s">
        <v>15</v>
      </c>
      <c r="L1795" s="14">
        <f>IF(OR(Table1[[#This Row],[Order_Status]]="Delivered",Table1[[#This Row],[Delivery_Date]]&lt;&gt;"Not Yet Delivered"),Table1[[#This Row],[Delivery_Date]]-Table1[[#This Row],[Order_Date]],"Not Applicable")</f>
        <v>7</v>
      </c>
      <c r="M1795" s="14">
        <f>Table1[[#This Row],[Unit_Cost]]-Table1[[#This Row],[Negotiated_Cost]]</f>
        <v>0.51999999999998181</v>
      </c>
      <c r="N1795" s="18">
        <f>Table1[[#This Row],[Defective_Units]]/Table1[[#This Row],[Quantity]]</f>
        <v>2.9850746268656716E-2</v>
      </c>
      <c r="O1795" s="26">
        <f>(Table1[[#This Row],[Unit_Cost]]-Table1[[#This Row],[Negotiated_Cost]])/Table1[[#This Row],[Unit_Cost]]</f>
        <v>9.2614031025697147E-4</v>
      </c>
    </row>
    <row r="1796" spans="1:15" x14ac:dyDescent="0.25">
      <c r="A1796" t="s">
        <v>1831</v>
      </c>
      <c r="B1796" t="s">
        <v>35</v>
      </c>
      <c r="C1796" s="14" t="s">
        <v>28</v>
      </c>
      <c r="D1796" s="1">
        <v>45315</v>
      </c>
      <c r="E1796" s="13">
        <v>45326</v>
      </c>
      <c r="F1796" s="14" t="s">
        <v>14</v>
      </c>
      <c r="G1796">
        <v>68</v>
      </c>
      <c r="H1796">
        <v>50419.01</v>
      </c>
      <c r="I1796">
        <v>50394.2</v>
      </c>
      <c r="J1796">
        <v>0</v>
      </c>
      <c r="K1796" s="14" t="s">
        <v>15</v>
      </c>
      <c r="L1796" s="14">
        <f>IF(OR(Table1[[#This Row],[Order_Status]]="Delivered",Table1[[#This Row],[Delivery_Date]]&lt;&gt;"Not Yet Delivered"),Table1[[#This Row],[Delivery_Date]]-Table1[[#This Row],[Order_Date]],"Not Applicable")</f>
        <v>11</v>
      </c>
      <c r="M1796" s="14">
        <f>Table1[[#This Row],[Unit_Cost]]-Table1[[#This Row],[Negotiated_Cost]]</f>
        <v>24.810000000004948</v>
      </c>
      <c r="N1796" s="18">
        <f>Table1[[#This Row],[Defective_Units]]/Table1[[#This Row],[Quantity]]</f>
        <v>0</v>
      </c>
      <c r="O1796" s="26">
        <f>(Table1[[#This Row],[Unit_Cost]]-Table1[[#This Row],[Negotiated_Cost]])/Table1[[#This Row],[Unit_Cost]]</f>
        <v>4.920763021726319E-4</v>
      </c>
    </row>
    <row r="1797" spans="1:15" x14ac:dyDescent="0.25">
      <c r="A1797" t="s">
        <v>1832</v>
      </c>
      <c r="B1797" t="s">
        <v>20</v>
      </c>
      <c r="C1797" s="14" t="s">
        <v>24</v>
      </c>
      <c r="D1797" s="1">
        <v>45595</v>
      </c>
      <c r="E1797" s="13">
        <v>45598</v>
      </c>
      <c r="F1797" s="14" t="s">
        <v>14</v>
      </c>
      <c r="G1797">
        <v>269</v>
      </c>
      <c r="H1797">
        <v>12206.83</v>
      </c>
      <c r="I1797">
        <v>11652.92</v>
      </c>
      <c r="J1797">
        <v>1</v>
      </c>
      <c r="K1797" s="14" t="s">
        <v>15</v>
      </c>
      <c r="L1797" s="14">
        <f>IF(OR(Table1[[#This Row],[Order_Status]]="Delivered",Table1[[#This Row],[Delivery_Date]]&lt;&gt;"Not Yet Delivered"),Table1[[#This Row],[Delivery_Date]]-Table1[[#This Row],[Order_Date]],"Not Applicable")</f>
        <v>3</v>
      </c>
      <c r="M1797" s="14">
        <f>Table1[[#This Row],[Unit_Cost]]-Table1[[#This Row],[Negotiated_Cost]]</f>
        <v>553.90999999999985</v>
      </c>
      <c r="N1797" s="18">
        <f>Table1[[#This Row],[Defective_Units]]/Table1[[#This Row],[Quantity]]</f>
        <v>3.7174721189591076E-3</v>
      </c>
      <c r="O1797" s="26">
        <f>(Table1[[#This Row],[Unit_Cost]]-Table1[[#This Row],[Negotiated_Cost]])/Table1[[#This Row],[Unit_Cost]]</f>
        <v>4.5377055304284555E-2</v>
      </c>
    </row>
    <row r="1798" spans="1:15" x14ac:dyDescent="0.25">
      <c r="A1798" t="s">
        <v>1833</v>
      </c>
      <c r="B1798" t="s">
        <v>27</v>
      </c>
      <c r="C1798" s="14" t="s">
        <v>50</v>
      </c>
      <c r="D1798" s="1">
        <v>44991</v>
      </c>
      <c r="E1798" s="13">
        <v>44996</v>
      </c>
      <c r="F1798" s="14" t="s">
        <v>37</v>
      </c>
      <c r="G1798">
        <v>448</v>
      </c>
      <c r="H1798">
        <v>54979.59</v>
      </c>
      <c r="I1798">
        <v>54711.48</v>
      </c>
      <c r="J1798">
        <v>5</v>
      </c>
      <c r="K1798" s="14" t="s">
        <v>15</v>
      </c>
      <c r="L1798" s="14">
        <f>IF(OR(Table1[[#This Row],[Order_Status]]="Delivered",Table1[[#This Row],[Delivery_Date]]&lt;&gt;"Not Yet Delivered"),Table1[[#This Row],[Delivery_Date]]-Table1[[#This Row],[Order_Date]],"Not Applicable")</f>
        <v>5</v>
      </c>
      <c r="M1798" s="14">
        <f>Table1[[#This Row],[Unit_Cost]]-Table1[[#This Row],[Negotiated_Cost]]</f>
        <v>268.10999999999331</v>
      </c>
      <c r="N1798" s="18">
        <f>Table1[[#This Row],[Defective_Units]]/Table1[[#This Row],[Quantity]]</f>
        <v>1.1160714285714286E-2</v>
      </c>
      <c r="O1798" s="26">
        <f>(Table1[[#This Row],[Unit_Cost]]-Table1[[#This Row],[Negotiated_Cost]])/Table1[[#This Row],[Unit_Cost]]</f>
        <v>4.87653691124276E-3</v>
      </c>
    </row>
    <row r="1799" spans="1:15" x14ac:dyDescent="0.25">
      <c r="A1799" t="s">
        <v>1834</v>
      </c>
      <c r="B1799" t="s">
        <v>46</v>
      </c>
      <c r="C1799" s="14" t="s">
        <v>28</v>
      </c>
      <c r="D1799" s="1">
        <v>45189</v>
      </c>
      <c r="E1799" s="13">
        <v>45200</v>
      </c>
      <c r="F1799" s="14" t="s">
        <v>14</v>
      </c>
      <c r="G1799">
        <v>178</v>
      </c>
      <c r="H1799">
        <v>49965.38</v>
      </c>
      <c r="I1799">
        <v>48740.23</v>
      </c>
      <c r="J1799">
        <v>0</v>
      </c>
      <c r="K1799" s="14" t="s">
        <v>15</v>
      </c>
      <c r="L1799" s="14">
        <f>IF(OR(Table1[[#This Row],[Order_Status]]="Delivered",Table1[[#This Row],[Delivery_Date]]&lt;&gt;"Not Yet Delivered"),Table1[[#This Row],[Delivery_Date]]-Table1[[#This Row],[Order_Date]],"Not Applicable")</f>
        <v>11</v>
      </c>
      <c r="M1799" s="14">
        <f>Table1[[#This Row],[Unit_Cost]]-Table1[[#This Row],[Negotiated_Cost]]</f>
        <v>1225.1499999999942</v>
      </c>
      <c r="N1799" s="18">
        <f>Table1[[#This Row],[Defective_Units]]/Table1[[#This Row],[Quantity]]</f>
        <v>0</v>
      </c>
      <c r="O1799" s="26">
        <f>(Table1[[#This Row],[Unit_Cost]]-Table1[[#This Row],[Negotiated_Cost]])/Table1[[#This Row],[Unit_Cost]]</f>
        <v>2.4519977632512638E-2</v>
      </c>
    </row>
    <row r="1800" spans="1:15" x14ac:dyDescent="0.25">
      <c r="A1800" t="s">
        <v>1835</v>
      </c>
      <c r="B1800" t="s">
        <v>40</v>
      </c>
      <c r="C1800" s="14" t="s">
        <v>13</v>
      </c>
      <c r="D1800" s="1">
        <v>45414</v>
      </c>
      <c r="E1800" s="13">
        <v>45439</v>
      </c>
      <c r="F1800" s="14" t="s">
        <v>14</v>
      </c>
      <c r="G1800">
        <v>41</v>
      </c>
      <c r="H1800">
        <v>4505.37</v>
      </c>
      <c r="I1800">
        <v>4413.38</v>
      </c>
      <c r="J1800">
        <v>0</v>
      </c>
      <c r="K1800" s="14" t="s">
        <v>15</v>
      </c>
      <c r="L1800" s="14">
        <f>IF(OR(Table1[[#This Row],[Order_Status]]="Delivered",Table1[[#This Row],[Delivery_Date]]&lt;&gt;"Not Yet Delivered"),Table1[[#This Row],[Delivery_Date]]-Table1[[#This Row],[Order_Date]],"Not Applicable")</f>
        <v>25</v>
      </c>
      <c r="M1800" s="14">
        <f>Table1[[#This Row],[Unit_Cost]]-Table1[[#This Row],[Negotiated_Cost]]</f>
        <v>91.989999999999782</v>
      </c>
      <c r="N1800" s="18">
        <f>Table1[[#This Row],[Defective_Units]]/Table1[[#This Row],[Quantity]]</f>
        <v>0</v>
      </c>
      <c r="O1800" s="26">
        <f>(Table1[[#This Row],[Unit_Cost]]-Table1[[#This Row],[Negotiated_Cost]])/Table1[[#This Row],[Unit_Cost]]</f>
        <v>2.0417856912972692E-2</v>
      </c>
    </row>
    <row r="1801" spans="1:15" x14ac:dyDescent="0.25">
      <c r="A1801" t="s">
        <v>1836</v>
      </c>
      <c r="B1801" t="s">
        <v>27</v>
      </c>
      <c r="C1801" s="14" t="s">
        <v>42</v>
      </c>
      <c r="D1801" s="1">
        <v>45380</v>
      </c>
      <c r="E1801" s="14" t="s">
        <v>2057</v>
      </c>
      <c r="F1801" s="14" t="s">
        <v>22</v>
      </c>
      <c r="G1801">
        <v>165</v>
      </c>
      <c r="H1801">
        <v>11808.74</v>
      </c>
      <c r="I1801">
        <v>11490.55</v>
      </c>
      <c r="J1801">
        <v>2</v>
      </c>
      <c r="K1801" s="14" t="s">
        <v>15</v>
      </c>
      <c r="L1801" s="14" t="str">
        <f>IF(OR(Table1[[#This Row],[Order_Status]]="Delivered",Table1[[#This Row],[Delivery_Date]]&lt;&gt;"Not Yet Delivered"),Table1[[#This Row],[Delivery_Date]]-Table1[[#This Row],[Order_Date]],"Not Applicable")</f>
        <v>Not Applicable</v>
      </c>
      <c r="M1801" s="14">
        <f>Table1[[#This Row],[Unit_Cost]]-Table1[[#This Row],[Negotiated_Cost]]</f>
        <v>318.19000000000051</v>
      </c>
      <c r="N1801" s="18">
        <f>Table1[[#This Row],[Defective_Units]]/Table1[[#This Row],[Quantity]]</f>
        <v>1.2121212121212121E-2</v>
      </c>
      <c r="O1801" s="26">
        <f>(Table1[[#This Row],[Unit_Cost]]-Table1[[#This Row],[Negotiated_Cost]])/Table1[[#This Row],[Unit_Cost]]</f>
        <v>2.6945296449917645E-2</v>
      </c>
    </row>
    <row r="1802" spans="1:15" x14ac:dyDescent="0.25">
      <c r="A1802" t="s">
        <v>1837</v>
      </c>
      <c r="B1802" t="s">
        <v>35</v>
      </c>
      <c r="C1802" s="14" t="s">
        <v>28</v>
      </c>
      <c r="D1802" s="1">
        <v>45026</v>
      </c>
      <c r="E1802" s="13">
        <v>45029</v>
      </c>
      <c r="F1802" s="14" t="s">
        <v>14</v>
      </c>
      <c r="G1802">
        <v>149</v>
      </c>
      <c r="H1802">
        <v>45193.38</v>
      </c>
      <c r="I1802">
        <v>44132.61</v>
      </c>
      <c r="J1802">
        <v>3</v>
      </c>
      <c r="K1802" s="14" t="s">
        <v>15</v>
      </c>
      <c r="L1802" s="14">
        <f>IF(OR(Table1[[#This Row],[Order_Status]]="Delivered",Table1[[#This Row],[Delivery_Date]]&lt;&gt;"Not Yet Delivered"),Table1[[#This Row],[Delivery_Date]]-Table1[[#This Row],[Order_Date]],"Not Applicable")</f>
        <v>3</v>
      </c>
      <c r="M1802" s="14">
        <f>Table1[[#This Row],[Unit_Cost]]-Table1[[#This Row],[Negotiated_Cost]]</f>
        <v>1060.7699999999968</v>
      </c>
      <c r="N1802" s="18">
        <f>Table1[[#This Row],[Defective_Units]]/Table1[[#This Row],[Quantity]]</f>
        <v>2.0134228187919462E-2</v>
      </c>
      <c r="O1802" s="26">
        <f>(Table1[[#This Row],[Unit_Cost]]-Table1[[#This Row],[Negotiated_Cost]])/Table1[[#This Row],[Unit_Cost]]</f>
        <v>2.34718005159162E-2</v>
      </c>
    </row>
    <row r="1803" spans="1:15" x14ac:dyDescent="0.25">
      <c r="A1803" t="s">
        <v>1838</v>
      </c>
      <c r="B1803" t="s">
        <v>12</v>
      </c>
      <c r="C1803" s="14" t="s">
        <v>42</v>
      </c>
      <c r="D1803" s="1">
        <v>45439</v>
      </c>
      <c r="E1803" s="14" t="s">
        <v>2057</v>
      </c>
      <c r="F1803" s="14" t="s">
        <v>22</v>
      </c>
      <c r="G1803">
        <v>134</v>
      </c>
      <c r="H1803">
        <v>12973.32</v>
      </c>
      <c r="I1803">
        <v>12351.79</v>
      </c>
      <c r="J1803">
        <v>2</v>
      </c>
      <c r="K1803" s="14" t="s">
        <v>15</v>
      </c>
      <c r="L1803" s="14" t="str">
        <f>IF(OR(Table1[[#This Row],[Order_Status]]="Delivered",Table1[[#This Row],[Delivery_Date]]&lt;&gt;"Not Yet Delivered"),Table1[[#This Row],[Delivery_Date]]-Table1[[#This Row],[Order_Date]],"Not Applicable")</f>
        <v>Not Applicable</v>
      </c>
      <c r="M1803" s="14">
        <f>Table1[[#This Row],[Unit_Cost]]-Table1[[#This Row],[Negotiated_Cost]]</f>
        <v>621.52999999999884</v>
      </c>
      <c r="N1803" s="18">
        <f>Table1[[#This Row],[Defective_Units]]/Table1[[#This Row],[Quantity]]</f>
        <v>1.4925373134328358E-2</v>
      </c>
      <c r="O1803" s="26">
        <f>(Table1[[#This Row],[Unit_Cost]]-Table1[[#This Row],[Negotiated_Cost]])/Table1[[#This Row],[Unit_Cost]]</f>
        <v>4.790832261903652E-2</v>
      </c>
    </row>
    <row r="1804" spans="1:15" x14ac:dyDescent="0.25">
      <c r="A1804" t="s">
        <v>1839</v>
      </c>
      <c r="B1804" t="s">
        <v>35</v>
      </c>
      <c r="C1804" s="14" t="s">
        <v>28</v>
      </c>
      <c r="D1804" s="1">
        <v>45382</v>
      </c>
      <c r="E1804" s="13">
        <v>45410</v>
      </c>
      <c r="F1804" s="14" t="s">
        <v>14</v>
      </c>
      <c r="G1804">
        <v>444</v>
      </c>
      <c r="H1804">
        <v>45871.8</v>
      </c>
      <c r="I1804">
        <v>44878.07</v>
      </c>
      <c r="J1804">
        <v>7</v>
      </c>
      <c r="K1804" s="14" t="s">
        <v>15</v>
      </c>
      <c r="L1804" s="14">
        <f>IF(OR(Table1[[#This Row],[Order_Status]]="Delivered",Table1[[#This Row],[Delivery_Date]]&lt;&gt;"Not Yet Delivered"),Table1[[#This Row],[Delivery_Date]]-Table1[[#This Row],[Order_Date]],"Not Applicable")</f>
        <v>28</v>
      </c>
      <c r="M1804" s="14">
        <f>Table1[[#This Row],[Unit_Cost]]-Table1[[#This Row],[Negotiated_Cost]]</f>
        <v>993.7300000000032</v>
      </c>
      <c r="N1804" s="18">
        <f>Table1[[#This Row],[Defective_Units]]/Table1[[#This Row],[Quantity]]</f>
        <v>1.5765765765765764E-2</v>
      </c>
      <c r="O1804" s="26">
        <f>(Table1[[#This Row],[Unit_Cost]]-Table1[[#This Row],[Negotiated_Cost]])/Table1[[#This Row],[Unit_Cost]]</f>
        <v>2.1663200484829528E-2</v>
      </c>
    </row>
    <row r="1805" spans="1:15" x14ac:dyDescent="0.25">
      <c r="A1805" t="s">
        <v>1840</v>
      </c>
      <c r="B1805" t="s">
        <v>46</v>
      </c>
      <c r="C1805" s="14" t="s">
        <v>48</v>
      </c>
      <c r="D1805" s="1">
        <v>45508</v>
      </c>
      <c r="E1805" s="13">
        <v>45514</v>
      </c>
      <c r="F1805" s="14" t="s">
        <v>14</v>
      </c>
      <c r="G1805">
        <v>342</v>
      </c>
      <c r="H1805">
        <v>6287.41</v>
      </c>
      <c r="I1805">
        <v>6116.26</v>
      </c>
      <c r="J1805">
        <v>3</v>
      </c>
      <c r="K1805" s="14" t="s">
        <v>15</v>
      </c>
      <c r="L1805" s="14">
        <f>IF(OR(Table1[[#This Row],[Order_Status]]="Delivered",Table1[[#This Row],[Delivery_Date]]&lt;&gt;"Not Yet Delivered"),Table1[[#This Row],[Delivery_Date]]-Table1[[#This Row],[Order_Date]],"Not Applicable")</f>
        <v>6</v>
      </c>
      <c r="M1805" s="14">
        <f>Table1[[#This Row],[Unit_Cost]]-Table1[[#This Row],[Negotiated_Cost]]</f>
        <v>171.14999999999964</v>
      </c>
      <c r="N1805" s="18">
        <f>Table1[[#This Row],[Defective_Units]]/Table1[[#This Row],[Quantity]]</f>
        <v>8.771929824561403E-3</v>
      </c>
      <c r="O1805" s="26">
        <f>(Table1[[#This Row],[Unit_Cost]]-Table1[[#This Row],[Negotiated_Cost]])/Table1[[#This Row],[Unit_Cost]]</f>
        <v>2.7221065589805603E-2</v>
      </c>
    </row>
    <row r="1806" spans="1:15" x14ac:dyDescent="0.25">
      <c r="A1806" t="s">
        <v>1841</v>
      </c>
      <c r="B1806" t="s">
        <v>27</v>
      </c>
      <c r="C1806" s="14" t="s">
        <v>44</v>
      </c>
      <c r="D1806" s="1">
        <v>45427</v>
      </c>
      <c r="E1806" s="13">
        <v>45439</v>
      </c>
      <c r="F1806" s="14" t="s">
        <v>14</v>
      </c>
      <c r="G1806">
        <v>231</v>
      </c>
      <c r="H1806">
        <v>8631.74</v>
      </c>
      <c r="I1806">
        <v>8281.61</v>
      </c>
      <c r="J1806">
        <v>3</v>
      </c>
      <c r="K1806" s="14" t="s">
        <v>15</v>
      </c>
      <c r="L1806" s="14">
        <f>IF(OR(Table1[[#This Row],[Order_Status]]="Delivered",Table1[[#This Row],[Delivery_Date]]&lt;&gt;"Not Yet Delivered"),Table1[[#This Row],[Delivery_Date]]-Table1[[#This Row],[Order_Date]],"Not Applicable")</f>
        <v>12</v>
      </c>
      <c r="M1806" s="14">
        <f>Table1[[#This Row],[Unit_Cost]]-Table1[[#This Row],[Negotiated_Cost]]</f>
        <v>350.1299999999992</v>
      </c>
      <c r="N1806" s="18">
        <f>Table1[[#This Row],[Defective_Units]]/Table1[[#This Row],[Quantity]]</f>
        <v>1.2987012987012988E-2</v>
      </c>
      <c r="O1806" s="26">
        <f>(Table1[[#This Row],[Unit_Cost]]-Table1[[#This Row],[Negotiated_Cost]])/Table1[[#This Row],[Unit_Cost]]</f>
        <v>4.0563084615616224E-2</v>
      </c>
    </row>
    <row r="1807" spans="1:15" x14ac:dyDescent="0.25">
      <c r="A1807" t="s">
        <v>1842</v>
      </c>
      <c r="B1807" t="s">
        <v>20</v>
      </c>
      <c r="C1807" s="14" t="s">
        <v>30</v>
      </c>
      <c r="D1807" s="1">
        <v>44980</v>
      </c>
      <c r="E1807" s="13">
        <v>45009</v>
      </c>
      <c r="F1807" s="14" t="s">
        <v>14</v>
      </c>
      <c r="G1807">
        <v>41</v>
      </c>
      <c r="H1807">
        <v>862.64</v>
      </c>
      <c r="I1807">
        <v>820.94</v>
      </c>
      <c r="J1807">
        <v>0</v>
      </c>
      <c r="K1807" s="14" t="s">
        <v>15</v>
      </c>
      <c r="L1807" s="14">
        <f>IF(OR(Table1[[#This Row],[Order_Status]]="Delivered",Table1[[#This Row],[Delivery_Date]]&lt;&gt;"Not Yet Delivered"),Table1[[#This Row],[Delivery_Date]]-Table1[[#This Row],[Order_Date]],"Not Applicable")</f>
        <v>29</v>
      </c>
      <c r="M1807" s="14">
        <f>Table1[[#This Row],[Unit_Cost]]-Table1[[#This Row],[Negotiated_Cost]]</f>
        <v>41.699999999999932</v>
      </c>
      <c r="N1807" s="18">
        <f>Table1[[#This Row],[Defective_Units]]/Table1[[#This Row],[Quantity]]</f>
        <v>0</v>
      </c>
      <c r="O1807" s="26">
        <f>(Table1[[#This Row],[Unit_Cost]]-Table1[[#This Row],[Negotiated_Cost]])/Table1[[#This Row],[Unit_Cost]]</f>
        <v>4.8339979597514529E-2</v>
      </c>
    </row>
    <row r="1808" spans="1:15" x14ac:dyDescent="0.25">
      <c r="A1808" t="s">
        <v>1843</v>
      </c>
      <c r="B1808" t="s">
        <v>35</v>
      </c>
      <c r="C1808" s="14" t="s">
        <v>13</v>
      </c>
      <c r="D1808" s="1">
        <v>45422</v>
      </c>
      <c r="E1808" s="13">
        <v>45452</v>
      </c>
      <c r="F1808" s="14" t="s">
        <v>14</v>
      </c>
      <c r="G1808">
        <v>392</v>
      </c>
      <c r="H1808">
        <v>4400.26</v>
      </c>
      <c r="I1808">
        <v>4212.3999999999996</v>
      </c>
      <c r="J1808">
        <v>5</v>
      </c>
      <c r="K1808" s="14" t="s">
        <v>15</v>
      </c>
      <c r="L1808" s="14">
        <f>IF(OR(Table1[[#This Row],[Order_Status]]="Delivered",Table1[[#This Row],[Delivery_Date]]&lt;&gt;"Not Yet Delivered"),Table1[[#This Row],[Delivery_Date]]-Table1[[#This Row],[Order_Date]],"Not Applicable")</f>
        <v>30</v>
      </c>
      <c r="M1808" s="14">
        <f>Table1[[#This Row],[Unit_Cost]]-Table1[[#This Row],[Negotiated_Cost]]</f>
        <v>187.86000000000058</v>
      </c>
      <c r="N1808" s="18">
        <f>Table1[[#This Row],[Defective_Units]]/Table1[[#This Row],[Quantity]]</f>
        <v>1.2755102040816327E-2</v>
      </c>
      <c r="O1808" s="26">
        <f>(Table1[[#This Row],[Unit_Cost]]-Table1[[#This Row],[Negotiated_Cost]])/Table1[[#This Row],[Unit_Cost]]</f>
        <v>4.2692931781303962E-2</v>
      </c>
    </row>
    <row r="1809" spans="1:15" x14ac:dyDescent="0.25">
      <c r="A1809" t="s">
        <v>1844</v>
      </c>
      <c r="B1809" t="s">
        <v>12</v>
      </c>
      <c r="C1809" s="14" t="s">
        <v>36</v>
      </c>
      <c r="D1809" s="1">
        <v>45207</v>
      </c>
      <c r="E1809" s="13">
        <v>45215</v>
      </c>
      <c r="F1809" s="14" t="s">
        <v>14</v>
      </c>
      <c r="G1809">
        <v>359</v>
      </c>
      <c r="H1809">
        <v>545.44000000000005</v>
      </c>
      <c r="I1809">
        <v>537.87</v>
      </c>
      <c r="J1809">
        <v>4</v>
      </c>
      <c r="K1809" s="14" t="s">
        <v>15</v>
      </c>
      <c r="L1809" s="14">
        <f>IF(OR(Table1[[#This Row],[Order_Status]]="Delivered",Table1[[#This Row],[Delivery_Date]]&lt;&gt;"Not Yet Delivered"),Table1[[#This Row],[Delivery_Date]]-Table1[[#This Row],[Order_Date]],"Not Applicable")</f>
        <v>8</v>
      </c>
      <c r="M1809" s="14">
        <f>Table1[[#This Row],[Unit_Cost]]-Table1[[#This Row],[Negotiated_Cost]]</f>
        <v>7.57000000000005</v>
      </c>
      <c r="N1809" s="18">
        <f>Table1[[#This Row],[Defective_Units]]/Table1[[#This Row],[Quantity]]</f>
        <v>1.1142061281337047E-2</v>
      </c>
      <c r="O1809" s="26">
        <f>(Table1[[#This Row],[Unit_Cost]]-Table1[[#This Row],[Negotiated_Cost]])/Table1[[#This Row],[Unit_Cost]]</f>
        <v>1.3878703432091613E-2</v>
      </c>
    </row>
    <row r="1810" spans="1:15" x14ac:dyDescent="0.25">
      <c r="A1810" t="s">
        <v>1845</v>
      </c>
      <c r="B1810" t="s">
        <v>12</v>
      </c>
      <c r="C1810" s="14" t="s">
        <v>30</v>
      </c>
      <c r="D1810" s="1">
        <v>45099</v>
      </c>
      <c r="E1810" s="13">
        <v>45118</v>
      </c>
      <c r="F1810" s="14" t="s">
        <v>14</v>
      </c>
      <c r="G1810">
        <v>197</v>
      </c>
      <c r="H1810">
        <v>900.73</v>
      </c>
      <c r="I1810">
        <v>873.16</v>
      </c>
      <c r="J1810">
        <v>3</v>
      </c>
      <c r="K1810" s="14" t="s">
        <v>15</v>
      </c>
      <c r="L1810" s="14">
        <f>IF(OR(Table1[[#This Row],[Order_Status]]="Delivered",Table1[[#This Row],[Delivery_Date]]&lt;&gt;"Not Yet Delivered"),Table1[[#This Row],[Delivery_Date]]-Table1[[#This Row],[Order_Date]],"Not Applicable")</f>
        <v>19</v>
      </c>
      <c r="M1810" s="14">
        <f>Table1[[#This Row],[Unit_Cost]]-Table1[[#This Row],[Negotiated_Cost]]</f>
        <v>27.57000000000005</v>
      </c>
      <c r="N1810" s="18">
        <f>Table1[[#This Row],[Defective_Units]]/Table1[[#This Row],[Quantity]]</f>
        <v>1.5228426395939087E-2</v>
      </c>
      <c r="O1810" s="26">
        <f>(Table1[[#This Row],[Unit_Cost]]-Table1[[#This Row],[Negotiated_Cost]])/Table1[[#This Row],[Unit_Cost]]</f>
        <v>3.0608506433670524E-2</v>
      </c>
    </row>
    <row r="1811" spans="1:15" x14ac:dyDescent="0.25">
      <c r="A1811" t="s">
        <v>1846</v>
      </c>
      <c r="B1811" t="s">
        <v>27</v>
      </c>
      <c r="C1811" s="14" t="s">
        <v>50</v>
      </c>
      <c r="D1811" s="1">
        <v>45125</v>
      </c>
      <c r="E1811" s="13">
        <v>45135</v>
      </c>
      <c r="F1811" s="14" t="s">
        <v>14</v>
      </c>
      <c r="G1811">
        <v>63</v>
      </c>
      <c r="H1811">
        <v>55812.959999999999</v>
      </c>
      <c r="I1811">
        <v>53776.55</v>
      </c>
      <c r="J1811">
        <v>2</v>
      </c>
      <c r="K1811" s="14" t="s">
        <v>15</v>
      </c>
      <c r="L1811" s="14">
        <f>IF(OR(Table1[[#This Row],[Order_Status]]="Delivered",Table1[[#This Row],[Delivery_Date]]&lt;&gt;"Not Yet Delivered"),Table1[[#This Row],[Delivery_Date]]-Table1[[#This Row],[Order_Date]],"Not Applicable")</f>
        <v>10</v>
      </c>
      <c r="M1811" s="14">
        <f>Table1[[#This Row],[Unit_Cost]]-Table1[[#This Row],[Negotiated_Cost]]</f>
        <v>2036.4099999999962</v>
      </c>
      <c r="N1811" s="18">
        <f>Table1[[#This Row],[Defective_Units]]/Table1[[#This Row],[Quantity]]</f>
        <v>3.1746031746031744E-2</v>
      </c>
      <c r="O1811" s="26">
        <f>(Table1[[#This Row],[Unit_Cost]]-Table1[[#This Row],[Negotiated_Cost]])/Table1[[#This Row],[Unit_Cost]]</f>
        <v>3.6486328623316092E-2</v>
      </c>
    </row>
    <row r="1812" spans="1:15" x14ac:dyDescent="0.25">
      <c r="A1812" t="s">
        <v>1847</v>
      </c>
      <c r="B1812" t="s">
        <v>35</v>
      </c>
      <c r="C1812" s="14" t="s">
        <v>42</v>
      </c>
      <c r="D1812" s="1">
        <v>45079</v>
      </c>
      <c r="E1812" s="13">
        <v>45096</v>
      </c>
      <c r="F1812" s="14" t="s">
        <v>14</v>
      </c>
      <c r="G1812">
        <v>114</v>
      </c>
      <c r="H1812">
        <v>12597.33</v>
      </c>
      <c r="I1812">
        <v>12083.86</v>
      </c>
      <c r="J1812">
        <v>0</v>
      </c>
      <c r="K1812" s="14" t="s">
        <v>25</v>
      </c>
      <c r="L1812" s="14">
        <f>IF(OR(Table1[[#This Row],[Order_Status]]="Delivered",Table1[[#This Row],[Delivery_Date]]&lt;&gt;"Not Yet Delivered"),Table1[[#This Row],[Delivery_Date]]-Table1[[#This Row],[Order_Date]],"Not Applicable")</f>
        <v>17</v>
      </c>
      <c r="M1812" s="14">
        <f>Table1[[#This Row],[Unit_Cost]]-Table1[[#This Row],[Negotiated_Cost]]</f>
        <v>513.46999999999935</v>
      </c>
      <c r="N1812" s="18">
        <f>Table1[[#This Row],[Defective_Units]]/Table1[[#This Row],[Quantity]]</f>
        <v>0</v>
      </c>
      <c r="O1812" s="26">
        <f>(Table1[[#This Row],[Unit_Cost]]-Table1[[#This Row],[Negotiated_Cost]])/Table1[[#This Row],[Unit_Cost]]</f>
        <v>4.0760224587273602E-2</v>
      </c>
    </row>
    <row r="1813" spans="1:15" x14ac:dyDescent="0.25">
      <c r="A1813" t="s">
        <v>1848</v>
      </c>
      <c r="B1813" t="s">
        <v>35</v>
      </c>
      <c r="C1813" s="14" t="s">
        <v>13</v>
      </c>
      <c r="D1813" s="1">
        <v>45451</v>
      </c>
      <c r="E1813" s="14" t="s">
        <v>2057</v>
      </c>
      <c r="F1813" s="14" t="s">
        <v>33</v>
      </c>
      <c r="G1813">
        <v>319</v>
      </c>
      <c r="H1813">
        <v>4028.83</v>
      </c>
      <c r="I1813">
        <v>3857.05</v>
      </c>
      <c r="J1813">
        <v>2</v>
      </c>
      <c r="K1813" s="14" t="s">
        <v>15</v>
      </c>
      <c r="L1813" s="14" t="str">
        <f>IF(OR(Table1[[#This Row],[Order_Status]]="Delivered",Table1[[#This Row],[Delivery_Date]]&lt;&gt;"Not Yet Delivered"),Table1[[#This Row],[Delivery_Date]]-Table1[[#This Row],[Order_Date]],"Not Applicable")</f>
        <v>Not Applicable</v>
      </c>
      <c r="M1813" s="14">
        <f>Table1[[#This Row],[Unit_Cost]]-Table1[[#This Row],[Negotiated_Cost]]</f>
        <v>171.77999999999975</v>
      </c>
      <c r="N1813" s="18">
        <f>Table1[[#This Row],[Defective_Units]]/Table1[[#This Row],[Quantity]]</f>
        <v>6.269592476489028E-3</v>
      </c>
      <c r="O1813" s="26">
        <f>(Table1[[#This Row],[Unit_Cost]]-Table1[[#This Row],[Negotiated_Cost]])/Table1[[#This Row],[Unit_Cost]]</f>
        <v>4.2637688857559079E-2</v>
      </c>
    </row>
    <row r="1814" spans="1:15" x14ac:dyDescent="0.25">
      <c r="A1814" t="s">
        <v>1849</v>
      </c>
      <c r="B1814" t="s">
        <v>27</v>
      </c>
      <c r="C1814" s="14" t="s">
        <v>24</v>
      </c>
      <c r="D1814" s="1">
        <v>45002</v>
      </c>
      <c r="E1814" s="13">
        <v>45030</v>
      </c>
      <c r="F1814" s="14" t="s">
        <v>14</v>
      </c>
      <c r="G1814">
        <v>476</v>
      </c>
      <c r="H1814">
        <v>12112.29</v>
      </c>
      <c r="I1814">
        <v>11592.86</v>
      </c>
      <c r="J1814">
        <v>2</v>
      </c>
      <c r="K1814" s="14" t="s">
        <v>15</v>
      </c>
      <c r="L1814" s="14">
        <f>IF(OR(Table1[[#This Row],[Order_Status]]="Delivered",Table1[[#This Row],[Delivery_Date]]&lt;&gt;"Not Yet Delivered"),Table1[[#This Row],[Delivery_Date]]-Table1[[#This Row],[Order_Date]],"Not Applicable")</f>
        <v>28</v>
      </c>
      <c r="M1814" s="14">
        <f>Table1[[#This Row],[Unit_Cost]]-Table1[[#This Row],[Negotiated_Cost]]</f>
        <v>519.43000000000029</v>
      </c>
      <c r="N1814" s="18">
        <f>Table1[[#This Row],[Defective_Units]]/Table1[[#This Row],[Quantity]]</f>
        <v>4.2016806722689074E-3</v>
      </c>
      <c r="O1814" s="26">
        <f>(Table1[[#This Row],[Unit_Cost]]-Table1[[#This Row],[Negotiated_Cost]])/Table1[[#This Row],[Unit_Cost]]</f>
        <v>4.2884541238692293E-2</v>
      </c>
    </row>
    <row r="1815" spans="1:15" x14ac:dyDescent="0.25">
      <c r="A1815" t="s">
        <v>1850</v>
      </c>
      <c r="B1815" t="s">
        <v>17</v>
      </c>
      <c r="C1815" s="14" t="s">
        <v>36</v>
      </c>
      <c r="D1815" s="1">
        <v>45344</v>
      </c>
      <c r="E1815" s="14" t="s">
        <v>2057</v>
      </c>
      <c r="F1815" s="14" t="s">
        <v>33</v>
      </c>
      <c r="G1815">
        <v>124</v>
      </c>
      <c r="H1815">
        <v>511.36</v>
      </c>
      <c r="I1815">
        <v>481.55</v>
      </c>
      <c r="J1815">
        <v>2</v>
      </c>
      <c r="K1815" s="14" t="s">
        <v>15</v>
      </c>
      <c r="L1815" s="14" t="str">
        <f>IF(OR(Table1[[#This Row],[Order_Status]]="Delivered",Table1[[#This Row],[Delivery_Date]]&lt;&gt;"Not Yet Delivered"),Table1[[#This Row],[Delivery_Date]]-Table1[[#This Row],[Order_Date]],"Not Applicable")</f>
        <v>Not Applicable</v>
      </c>
      <c r="M1815" s="14">
        <f>Table1[[#This Row],[Unit_Cost]]-Table1[[#This Row],[Negotiated_Cost]]</f>
        <v>29.810000000000002</v>
      </c>
      <c r="N1815" s="18">
        <f>Table1[[#This Row],[Defective_Units]]/Table1[[#This Row],[Quantity]]</f>
        <v>1.6129032258064516E-2</v>
      </c>
      <c r="O1815" s="26">
        <f>(Table1[[#This Row],[Unit_Cost]]-Table1[[#This Row],[Negotiated_Cost]])/Table1[[#This Row],[Unit_Cost]]</f>
        <v>5.8295525657071343E-2</v>
      </c>
    </row>
    <row r="1816" spans="1:15" x14ac:dyDescent="0.25">
      <c r="A1816" t="s">
        <v>1851</v>
      </c>
      <c r="B1816" t="s">
        <v>17</v>
      </c>
      <c r="C1816" s="14" t="s">
        <v>55</v>
      </c>
      <c r="D1816" s="1">
        <v>45297</v>
      </c>
      <c r="E1816" s="13">
        <v>45307</v>
      </c>
      <c r="F1816" s="14" t="s">
        <v>14</v>
      </c>
      <c r="G1816">
        <v>175</v>
      </c>
      <c r="H1816">
        <v>13711.26</v>
      </c>
      <c r="I1816">
        <v>12952.84</v>
      </c>
      <c r="J1816">
        <v>3</v>
      </c>
      <c r="K1816" s="14" t="s">
        <v>15</v>
      </c>
      <c r="L1816" s="14">
        <f>IF(OR(Table1[[#This Row],[Order_Status]]="Delivered",Table1[[#This Row],[Delivery_Date]]&lt;&gt;"Not Yet Delivered"),Table1[[#This Row],[Delivery_Date]]-Table1[[#This Row],[Order_Date]],"Not Applicable")</f>
        <v>10</v>
      </c>
      <c r="M1816" s="14">
        <f>Table1[[#This Row],[Unit_Cost]]-Table1[[#This Row],[Negotiated_Cost]]</f>
        <v>758.42000000000007</v>
      </c>
      <c r="N1816" s="18">
        <f>Table1[[#This Row],[Defective_Units]]/Table1[[#This Row],[Quantity]]</f>
        <v>1.7142857142857144E-2</v>
      </c>
      <c r="O1816" s="26">
        <f>(Table1[[#This Row],[Unit_Cost]]-Table1[[#This Row],[Negotiated_Cost]])/Table1[[#This Row],[Unit_Cost]]</f>
        <v>5.5313661909992227E-2</v>
      </c>
    </row>
    <row r="1817" spans="1:15" x14ac:dyDescent="0.25">
      <c r="A1817" t="s">
        <v>1852</v>
      </c>
      <c r="B1817" t="s">
        <v>46</v>
      </c>
      <c r="C1817" s="14" t="s">
        <v>30</v>
      </c>
      <c r="D1817" s="1">
        <v>45455</v>
      </c>
      <c r="E1817" s="13">
        <v>45467</v>
      </c>
      <c r="F1817" s="14" t="s">
        <v>14</v>
      </c>
      <c r="G1817">
        <v>38</v>
      </c>
      <c r="H1817">
        <v>855.89</v>
      </c>
      <c r="I1817">
        <v>852.36</v>
      </c>
      <c r="J1817">
        <v>0</v>
      </c>
      <c r="K1817" s="14" t="s">
        <v>15</v>
      </c>
      <c r="L1817" s="14">
        <f>IF(OR(Table1[[#This Row],[Order_Status]]="Delivered",Table1[[#This Row],[Delivery_Date]]&lt;&gt;"Not Yet Delivered"),Table1[[#This Row],[Delivery_Date]]-Table1[[#This Row],[Order_Date]],"Not Applicable")</f>
        <v>12</v>
      </c>
      <c r="M1817" s="14">
        <f>Table1[[#This Row],[Unit_Cost]]-Table1[[#This Row],[Negotiated_Cost]]</f>
        <v>3.5299999999999727</v>
      </c>
      <c r="N1817" s="18">
        <f>Table1[[#This Row],[Defective_Units]]/Table1[[#This Row],[Quantity]]</f>
        <v>0</v>
      </c>
      <c r="O1817" s="26">
        <f>(Table1[[#This Row],[Unit_Cost]]-Table1[[#This Row],[Negotiated_Cost]])/Table1[[#This Row],[Unit_Cost]]</f>
        <v>4.1243617754617686E-3</v>
      </c>
    </row>
    <row r="1818" spans="1:15" x14ac:dyDescent="0.25">
      <c r="A1818" t="s">
        <v>1853</v>
      </c>
      <c r="B1818" t="s">
        <v>20</v>
      </c>
      <c r="C1818" s="14" t="s">
        <v>42</v>
      </c>
      <c r="D1818" s="1">
        <v>44997</v>
      </c>
      <c r="E1818" s="13">
        <v>45012</v>
      </c>
      <c r="F1818" s="14" t="s">
        <v>14</v>
      </c>
      <c r="G1818">
        <v>435</v>
      </c>
      <c r="H1818">
        <v>11873.15</v>
      </c>
      <c r="I1818">
        <v>11570.08</v>
      </c>
      <c r="J1818">
        <v>9</v>
      </c>
      <c r="K1818" s="14" t="s">
        <v>15</v>
      </c>
      <c r="L1818" s="14">
        <f>IF(OR(Table1[[#This Row],[Order_Status]]="Delivered",Table1[[#This Row],[Delivery_Date]]&lt;&gt;"Not Yet Delivered"),Table1[[#This Row],[Delivery_Date]]-Table1[[#This Row],[Order_Date]],"Not Applicable")</f>
        <v>15</v>
      </c>
      <c r="M1818" s="14">
        <f>Table1[[#This Row],[Unit_Cost]]-Table1[[#This Row],[Negotiated_Cost]]</f>
        <v>303.06999999999971</v>
      </c>
      <c r="N1818" s="18">
        <f>Table1[[#This Row],[Defective_Units]]/Table1[[#This Row],[Quantity]]</f>
        <v>2.0689655172413793E-2</v>
      </c>
      <c r="O1818" s="26">
        <f>(Table1[[#This Row],[Unit_Cost]]-Table1[[#This Row],[Negotiated_Cost]])/Table1[[#This Row],[Unit_Cost]]</f>
        <v>2.5525660839793966E-2</v>
      </c>
    </row>
    <row r="1819" spans="1:15" x14ac:dyDescent="0.25">
      <c r="A1819" t="s">
        <v>1854</v>
      </c>
      <c r="B1819" t="s">
        <v>27</v>
      </c>
      <c r="C1819" s="14" t="s">
        <v>42</v>
      </c>
      <c r="D1819" s="1">
        <v>45623</v>
      </c>
      <c r="E1819" s="13">
        <v>45642</v>
      </c>
      <c r="F1819" s="14" t="s">
        <v>37</v>
      </c>
      <c r="G1819">
        <v>118</v>
      </c>
      <c r="H1819">
        <v>12038.96</v>
      </c>
      <c r="I1819">
        <v>11502.32</v>
      </c>
      <c r="J1819">
        <v>2</v>
      </c>
      <c r="K1819" s="14" t="s">
        <v>15</v>
      </c>
      <c r="L1819" s="14">
        <f>IF(OR(Table1[[#This Row],[Order_Status]]="Delivered",Table1[[#This Row],[Delivery_Date]]&lt;&gt;"Not Yet Delivered"),Table1[[#This Row],[Delivery_Date]]-Table1[[#This Row],[Order_Date]],"Not Applicable")</f>
        <v>19</v>
      </c>
      <c r="M1819" s="14">
        <f>Table1[[#This Row],[Unit_Cost]]-Table1[[#This Row],[Negotiated_Cost]]</f>
        <v>536.63999999999942</v>
      </c>
      <c r="N1819" s="18">
        <f>Table1[[#This Row],[Defective_Units]]/Table1[[#This Row],[Quantity]]</f>
        <v>1.6949152542372881E-2</v>
      </c>
      <c r="O1819" s="26">
        <f>(Table1[[#This Row],[Unit_Cost]]-Table1[[#This Row],[Negotiated_Cost]])/Table1[[#This Row],[Unit_Cost]]</f>
        <v>4.4575278927747868E-2</v>
      </c>
    </row>
    <row r="1820" spans="1:15" x14ac:dyDescent="0.25">
      <c r="A1820" t="s">
        <v>1855</v>
      </c>
      <c r="B1820" t="s">
        <v>40</v>
      </c>
      <c r="C1820" s="14" t="s">
        <v>30</v>
      </c>
      <c r="D1820" s="1">
        <v>45542</v>
      </c>
      <c r="E1820" s="13">
        <v>45564</v>
      </c>
      <c r="F1820" s="14" t="s">
        <v>37</v>
      </c>
      <c r="G1820">
        <v>19</v>
      </c>
      <c r="H1820">
        <v>968.69</v>
      </c>
      <c r="I1820">
        <v>955.86</v>
      </c>
      <c r="J1820">
        <v>0</v>
      </c>
      <c r="K1820" s="14" t="s">
        <v>15</v>
      </c>
      <c r="L1820" s="14">
        <f>IF(OR(Table1[[#This Row],[Order_Status]]="Delivered",Table1[[#This Row],[Delivery_Date]]&lt;&gt;"Not Yet Delivered"),Table1[[#This Row],[Delivery_Date]]-Table1[[#This Row],[Order_Date]],"Not Applicable")</f>
        <v>22</v>
      </c>
      <c r="M1820" s="14">
        <f>Table1[[#This Row],[Unit_Cost]]-Table1[[#This Row],[Negotiated_Cost]]</f>
        <v>12.830000000000041</v>
      </c>
      <c r="N1820" s="18">
        <f>Table1[[#This Row],[Defective_Units]]/Table1[[#This Row],[Quantity]]</f>
        <v>0</v>
      </c>
      <c r="O1820" s="26">
        <f>(Table1[[#This Row],[Unit_Cost]]-Table1[[#This Row],[Negotiated_Cost]])/Table1[[#This Row],[Unit_Cost]]</f>
        <v>1.3244691284105379E-2</v>
      </c>
    </row>
    <row r="1821" spans="1:15" x14ac:dyDescent="0.25">
      <c r="A1821" t="s">
        <v>1856</v>
      </c>
      <c r="B1821" t="s">
        <v>17</v>
      </c>
      <c r="C1821" s="14" t="s">
        <v>30</v>
      </c>
      <c r="D1821" s="1">
        <v>45318</v>
      </c>
      <c r="E1821" s="13">
        <v>45323</v>
      </c>
      <c r="F1821" s="14" t="s">
        <v>14</v>
      </c>
      <c r="G1821">
        <v>71</v>
      </c>
      <c r="H1821">
        <v>892.98</v>
      </c>
      <c r="I1821">
        <v>847.61</v>
      </c>
      <c r="J1821">
        <v>0</v>
      </c>
      <c r="K1821" s="14" t="s">
        <v>15</v>
      </c>
      <c r="L1821" s="14">
        <f>IF(OR(Table1[[#This Row],[Order_Status]]="Delivered",Table1[[#This Row],[Delivery_Date]]&lt;&gt;"Not Yet Delivered"),Table1[[#This Row],[Delivery_Date]]-Table1[[#This Row],[Order_Date]],"Not Applicable")</f>
        <v>5</v>
      </c>
      <c r="M1821" s="14">
        <f>Table1[[#This Row],[Unit_Cost]]-Table1[[#This Row],[Negotiated_Cost]]</f>
        <v>45.370000000000005</v>
      </c>
      <c r="N1821" s="18">
        <f>Table1[[#This Row],[Defective_Units]]/Table1[[#This Row],[Quantity]]</f>
        <v>0</v>
      </c>
      <c r="O1821" s="26">
        <f>(Table1[[#This Row],[Unit_Cost]]-Table1[[#This Row],[Negotiated_Cost]])/Table1[[#This Row],[Unit_Cost]]</f>
        <v>5.0807408900535291E-2</v>
      </c>
    </row>
    <row r="1822" spans="1:15" x14ac:dyDescent="0.25">
      <c r="A1822" t="s">
        <v>1857</v>
      </c>
      <c r="B1822" t="s">
        <v>20</v>
      </c>
      <c r="C1822" s="14" t="s">
        <v>55</v>
      </c>
      <c r="D1822" s="1">
        <v>45372</v>
      </c>
      <c r="E1822" s="14" t="s">
        <v>2057</v>
      </c>
      <c r="F1822" s="14" t="s">
        <v>33</v>
      </c>
      <c r="G1822">
        <v>174</v>
      </c>
      <c r="H1822">
        <v>14006.51</v>
      </c>
      <c r="I1822">
        <v>13219.9</v>
      </c>
      <c r="J1822">
        <v>2</v>
      </c>
      <c r="K1822" s="14" t="s">
        <v>15</v>
      </c>
      <c r="L1822" s="14" t="str">
        <f>IF(OR(Table1[[#This Row],[Order_Status]]="Delivered",Table1[[#This Row],[Delivery_Date]]&lt;&gt;"Not Yet Delivered"),Table1[[#This Row],[Delivery_Date]]-Table1[[#This Row],[Order_Date]],"Not Applicable")</f>
        <v>Not Applicable</v>
      </c>
      <c r="M1822" s="14">
        <f>Table1[[#This Row],[Unit_Cost]]-Table1[[#This Row],[Negotiated_Cost]]</f>
        <v>786.61000000000058</v>
      </c>
      <c r="N1822" s="18">
        <f>Table1[[#This Row],[Defective_Units]]/Table1[[#This Row],[Quantity]]</f>
        <v>1.1494252873563218E-2</v>
      </c>
      <c r="O1822" s="26">
        <f>(Table1[[#This Row],[Unit_Cost]]-Table1[[#This Row],[Negotiated_Cost]])/Table1[[#This Row],[Unit_Cost]]</f>
        <v>5.6160314025406798E-2</v>
      </c>
    </row>
    <row r="1823" spans="1:15" x14ac:dyDescent="0.25">
      <c r="A1823" t="s">
        <v>1858</v>
      </c>
      <c r="B1823" t="s">
        <v>32</v>
      </c>
      <c r="C1823" s="14" t="s">
        <v>21</v>
      </c>
      <c r="D1823" s="1">
        <v>45059</v>
      </c>
      <c r="E1823" s="13">
        <v>45086</v>
      </c>
      <c r="F1823" s="14" t="s">
        <v>14</v>
      </c>
      <c r="G1823">
        <v>393</v>
      </c>
      <c r="H1823">
        <v>109.79</v>
      </c>
      <c r="I1823">
        <v>103.75</v>
      </c>
      <c r="J1823">
        <v>4</v>
      </c>
      <c r="K1823" s="14" t="s">
        <v>25</v>
      </c>
      <c r="L1823" s="14">
        <f>IF(OR(Table1[[#This Row],[Order_Status]]="Delivered",Table1[[#This Row],[Delivery_Date]]&lt;&gt;"Not Yet Delivered"),Table1[[#This Row],[Delivery_Date]]-Table1[[#This Row],[Order_Date]],"Not Applicable")</f>
        <v>27</v>
      </c>
      <c r="M1823" s="14">
        <f>Table1[[#This Row],[Unit_Cost]]-Table1[[#This Row],[Negotiated_Cost]]</f>
        <v>6.0400000000000063</v>
      </c>
      <c r="N1823" s="18">
        <f>Table1[[#This Row],[Defective_Units]]/Table1[[#This Row],[Quantity]]</f>
        <v>1.0178117048346057E-2</v>
      </c>
      <c r="O1823" s="26">
        <f>(Table1[[#This Row],[Unit_Cost]]-Table1[[#This Row],[Negotiated_Cost]])/Table1[[#This Row],[Unit_Cost]]</f>
        <v>5.5014117861371767E-2</v>
      </c>
    </row>
    <row r="1824" spans="1:15" x14ac:dyDescent="0.25">
      <c r="A1824" t="s">
        <v>1859</v>
      </c>
      <c r="B1824" t="s">
        <v>17</v>
      </c>
      <c r="C1824" s="14" t="s">
        <v>48</v>
      </c>
      <c r="D1824" s="1">
        <v>45560</v>
      </c>
      <c r="E1824" s="13">
        <v>45577</v>
      </c>
      <c r="F1824" s="14" t="s">
        <v>14</v>
      </c>
      <c r="G1824">
        <v>360</v>
      </c>
      <c r="H1824">
        <v>6214.66</v>
      </c>
      <c r="I1824">
        <v>5854.16</v>
      </c>
      <c r="J1824">
        <v>1</v>
      </c>
      <c r="K1824" s="14" t="s">
        <v>15</v>
      </c>
      <c r="L1824" s="14">
        <f>IF(OR(Table1[[#This Row],[Order_Status]]="Delivered",Table1[[#This Row],[Delivery_Date]]&lt;&gt;"Not Yet Delivered"),Table1[[#This Row],[Delivery_Date]]-Table1[[#This Row],[Order_Date]],"Not Applicable")</f>
        <v>17</v>
      </c>
      <c r="M1824" s="14">
        <f>Table1[[#This Row],[Unit_Cost]]-Table1[[#This Row],[Negotiated_Cost]]</f>
        <v>360.5</v>
      </c>
      <c r="N1824" s="18">
        <f>Table1[[#This Row],[Defective_Units]]/Table1[[#This Row],[Quantity]]</f>
        <v>2.7777777777777779E-3</v>
      </c>
      <c r="O1824" s="26">
        <f>(Table1[[#This Row],[Unit_Cost]]-Table1[[#This Row],[Negotiated_Cost]])/Table1[[#This Row],[Unit_Cost]]</f>
        <v>5.8008000437674789E-2</v>
      </c>
    </row>
    <row r="1825" spans="1:15" x14ac:dyDescent="0.25">
      <c r="A1825" t="s">
        <v>1860</v>
      </c>
      <c r="B1825" t="s">
        <v>40</v>
      </c>
      <c r="C1825" s="14" t="s">
        <v>42</v>
      </c>
      <c r="D1825" s="1">
        <v>45278</v>
      </c>
      <c r="E1825" s="13">
        <v>45295</v>
      </c>
      <c r="F1825" s="14" t="s">
        <v>14</v>
      </c>
      <c r="G1825">
        <v>160</v>
      </c>
      <c r="H1825">
        <v>12687.56</v>
      </c>
      <c r="I1825">
        <v>12527</v>
      </c>
      <c r="J1825">
        <v>4</v>
      </c>
      <c r="K1825" s="14" t="s">
        <v>15</v>
      </c>
      <c r="L1825" s="14">
        <f>IF(OR(Table1[[#This Row],[Order_Status]]="Delivered",Table1[[#This Row],[Delivery_Date]]&lt;&gt;"Not Yet Delivered"),Table1[[#This Row],[Delivery_Date]]-Table1[[#This Row],[Order_Date]],"Not Applicable")</f>
        <v>17</v>
      </c>
      <c r="M1825" s="14">
        <f>Table1[[#This Row],[Unit_Cost]]-Table1[[#This Row],[Negotiated_Cost]]</f>
        <v>160.55999999999949</v>
      </c>
      <c r="N1825" s="18">
        <f>Table1[[#This Row],[Defective_Units]]/Table1[[#This Row],[Quantity]]</f>
        <v>2.5000000000000001E-2</v>
      </c>
      <c r="O1825" s="26">
        <f>(Table1[[#This Row],[Unit_Cost]]-Table1[[#This Row],[Negotiated_Cost]])/Table1[[#This Row],[Unit_Cost]]</f>
        <v>1.2654915523552164E-2</v>
      </c>
    </row>
    <row r="1826" spans="1:15" x14ac:dyDescent="0.25">
      <c r="A1826" t="s">
        <v>1861</v>
      </c>
      <c r="B1826" t="s">
        <v>27</v>
      </c>
      <c r="C1826" s="14" t="s">
        <v>30</v>
      </c>
      <c r="D1826" s="1">
        <v>45049</v>
      </c>
      <c r="E1826" s="14" t="s">
        <v>2057</v>
      </c>
      <c r="F1826" s="14" t="s">
        <v>33</v>
      </c>
      <c r="G1826">
        <v>381</v>
      </c>
      <c r="H1826">
        <v>880.24</v>
      </c>
      <c r="I1826">
        <v>838.54</v>
      </c>
      <c r="J1826">
        <v>2</v>
      </c>
      <c r="K1826" s="14" t="s">
        <v>15</v>
      </c>
      <c r="L1826" s="14" t="str">
        <f>IF(OR(Table1[[#This Row],[Order_Status]]="Delivered",Table1[[#This Row],[Delivery_Date]]&lt;&gt;"Not Yet Delivered"),Table1[[#This Row],[Delivery_Date]]-Table1[[#This Row],[Order_Date]],"Not Applicable")</f>
        <v>Not Applicable</v>
      </c>
      <c r="M1826" s="14">
        <f>Table1[[#This Row],[Unit_Cost]]-Table1[[#This Row],[Negotiated_Cost]]</f>
        <v>41.700000000000045</v>
      </c>
      <c r="N1826" s="18">
        <f>Table1[[#This Row],[Defective_Units]]/Table1[[#This Row],[Quantity]]</f>
        <v>5.2493438320209973E-3</v>
      </c>
      <c r="O1826" s="26">
        <f>(Table1[[#This Row],[Unit_Cost]]-Table1[[#This Row],[Negotiated_Cost]])/Table1[[#This Row],[Unit_Cost]]</f>
        <v>4.7373443606289242E-2</v>
      </c>
    </row>
    <row r="1827" spans="1:15" x14ac:dyDescent="0.25">
      <c r="A1827" t="s">
        <v>1862</v>
      </c>
      <c r="B1827" t="s">
        <v>46</v>
      </c>
      <c r="C1827" s="14" t="s">
        <v>50</v>
      </c>
      <c r="D1827" s="1">
        <v>45074</v>
      </c>
      <c r="E1827" s="13">
        <v>45081</v>
      </c>
      <c r="F1827" s="14" t="s">
        <v>14</v>
      </c>
      <c r="G1827">
        <v>289</v>
      </c>
      <c r="H1827">
        <v>52216.12</v>
      </c>
      <c r="I1827">
        <v>51654.83</v>
      </c>
      <c r="J1827">
        <v>1</v>
      </c>
      <c r="K1827" s="14" t="s">
        <v>15</v>
      </c>
      <c r="L1827" s="14">
        <f>IF(OR(Table1[[#This Row],[Order_Status]]="Delivered",Table1[[#This Row],[Delivery_Date]]&lt;&gt;"Not Yet Delivered"),Table1[[#This Row],[Delivery_Date]]-Table1[[#This Row],[Order_Date]],"Not Applicable")</f>
        <v>7</v>
      </c>
      <c r="M1827" s="14">
        <f>Table1[[#This Row],[Unit_Cost]]-Table1[[#This Row],[Negotiated_Cost]]</f>
        <v>561.29000000000087</v>
      </c>
      <c r="N1827" s="18">
        <f>Table1[[#This Row],[Defective_Units]]/Table1[[#This Row],[Quantity]]</f>
        <v>3.4602076124567475E-3</v>
      </c>
      <c r="O1827" s="26">
        <f>(Table1[[#This Row],[Unit_Cost]]-Table1[[#This Row],[Negotiated_Cost]])/Table1[[#This Row],[Unit_Cost]]</f>
        <v>1.074936245741738E-2</v>
      </c>
    </row>
    <row r="1828" spans="1:15" x14ac:dyDescent="0.25">
      <c r="A1828" t="s">
        <v>1863</v>
      </c>
      <c r="B1828" t="s">
        <v>32</v>
      </c>
      <c r="C1828" s="14" t="s">
        <v>48</v>
      </c>
      <c r="D1828" s="1">
        <v>45017</v>
      </c>
      <c r="E1828" s="13">
        <v>45033</v>
      </c>
      <c r="F1828" s="14" t="s">
        <v>14</v>
      </c>
      <c r="G1828">
        <v>92</v>
      </c>
      <c r="H1828">
        <v>5702.62</v>
      </c>
      <c r="I1828">
        <v>5378.74</v>
      </c>
      <c r="J1828">
        <v>2</v>
      </c>
      <c r="K1828" s="14" t="s">
        <v>15</v>
      </c>
      <c r="L1828" s="14">
        <f>IF(OR(Table1[[#This Row],[Order_Status]]="Delivered",Table1[[#This Row],[Delivery_Date]]&lt;&gt;"Not Yet Delivered"),Table1[[#This Row],[Delivery_Date]]-Table1[[#This Row],[Order_Date]],"Not Applicable")</f>
        <v>16</v>
      </c>
      <c r="M1828" s="14">
        <f>Table1[[#This Row],[Unit_Cost]]-Table1[[#This Row],[Negotiated_Cost]]</f>
        <v>323.88000000000011</v>
      </c>
      <c r="N1828" s="18">
        <f>Table1[[#This Row],[Defective_Units]]/Table1[[#This Row],[Quantity]]</f>
        <v>2.1739130434782608E-2</v>
      </c>
      <c r="O1828" s="26">
        <f>(Table1[[#This Row],[Unit_Cost]]-Table1[[#This Row],[Negotiated_Cost]])/Table1[[#This Row],[Unit_Cost]]</f>
        <v>5.6794946884063835E-2</v>
      </c>
    </row>
    <row r="1829" spans="1:15" x14ac:dyDescent="0.25">
      <c r="A1829" t="s">
        <v>1864</v>
      </c>
      <c r="B1829" t="s">
        <v>35</v>
      </c>
      <c r="C1829" s="14" t="s">
        <v>55</v>
      </c>
      <c r="D1829" s="1">
        <v>45535</v>
      </c>
      <c r="E1829" s="14" t="s">
        <v>2057</v>
      </c>
      <c r="F1829" s="14" t="s">
        <v>33</v>
      </c>
      <c r="G1829">
        <v>287</v>
      </c>
      <c r="H1829">
        <v>14112.54</v>
      </c>
      <c r="I1829">
        <v>13439.61</v>
      </c>
      <c r="J1829">
        <v>2</v>
      </c>
      <c r="K1829" s="14" t="s">
        <v>15</v>
      </c>
      <c r="L1829" s="14" t="str">
        <f>IF(OR(Table1[[#This Row],[Order_Status]]="Delivered",Table1[[#This Row],[Delivery_Date]]&lt;&gt;"Not Yet Delivered"),Table1[[#This Row],[Delivery_Date]]-Table1[[#This Row],[Order_Date]],"Not Applicable")</f>
        <v>Not Applicable</v>
      </c>
      <c r="M1829" s="14">
        <f>Table1[[#This Row],[Unit_Cost]]-Table1[[#This Row],[Negotiated_Cost]]</f>
        <v>672.93000000000029</v>
      </c>
      <c r="N1829" s="18">
        <f>Table1[[#This Row],[Defective_Units]]/Table1[[#This Row],[Quantity]]</f>
        <v>6.9686411149825784E-3</v>
      </c>
      <c r="O1829" s="26">
        <f>(Table1[[#This Row],[Unit_Cost]]-Table1[[#This Row],[Negotiated_Cost]])/Table1[[#This Row],[Unit_Cost]]</f>
        <v>4.7683124370240949E-2</v>
      </c>
    </row>
    <row r="1830" spans="1:15" x14ac:dyDescent="0.25">
      <c r="A1830" t="s">
        <v>1865</v>
      </c>
      <c r="B1830" t="s">
        <v>40</v>
      </c>
      <c r="C1830" s="14" t="s">
        <v>55</v>
      </c>
      <c r="D1830" s="1">
        <v>45049</v>
      </c>
      <c r="E1830" s="13">
        <v>45057</v>
      </c>
      <c r="F1830" s="14" t="s">
        <v>14</v>
      </c>
      <c r="G1830">
        <v>424</v>
      </c>
      <c r="H1830">
        <v>15279.88</v>
      </c>
      <c r="I1830">
        <v>14877.17</v>
      </c>
      <c r="J1830">
        <v>3</v>
      </c>
      <c r="K1830" s="14" t="s">
        <v>15</v>
      </c>
      <c r="L1830" s="14">
        <f>IF(OR(Table1[[#This Row],[Order_Status]]="Delivered",Table1[[#This Row],[Delivery_Date]]&lt;&gt;"Not Yet Delivered"),Table1[[#This Row],[Delivery_Date]]-Table1[[#This Row],[Order_Date]],"Not Applicable")</f>
        <v>8</v>
      </c>
      <c r="M1830" s="14">
        <f>Table1[[#This Row],[Unit_Cost]]-Table1[[#This Row],[Negotiated_Cost]]</f>
        <v>402.70999999999913</v>
      </c>
      <c r="N1830" s="18">
        <f>Table1[[#This Row],[Defective_Units]]/Table1[[#This Row],[Quantity]]</f>
        <v>7.0754716981132077E-3</v>
      </c>
      <c r="O1830" s="26">
        <f>(Table1[[#This Row],[Unit_Cost]]-Table1[[#This Row],[Negotiated_Cost]])/Table1[[#This Row],[Unit_Cost]]</f>
        <v>2.6355573473090046E-2</v>
      </c>
    </row>
    <row r="1831" spans="1:15" x14ac:dyDescent="0.25">
      <c r="A1831" t="s">
        <v>1866</v>
      </c>
      <c r="B1831" t="s">
        <v>35</v>
      </c>
      <c r="C1831" s="14" t="s">
        <v>36</v>
      </c>
      <c r="D1831" s="1">
        <v>45413</v>
      </c>
      <c r="E1831" s="13">
        <v>45431</v>
      </c>
      <c r="F1831" s="14" t="s">
        <v>14</v>
      </c>
      <c r="G1831">
        <v>41</v>
      </c>
      <c r="H1831">
        <v>575.86</v>
      </c>
      <c r="I1831">
        <v>563.16</v>
      </c>
      <c r="J1831">
        <v>2</v>
      </c>
      <c r="K1831" s="14" t="s">
        <v>15</v>
      </c>
      <c r="L1831" s="14">
        <f>IF(OR(Table1[[#This Row],[Order_Status]]="Delivered",Table1[[#This Row],[Delivery_Date]]&lt;&gt;"Not Yet Delivered"),Table1[[#This Row],[Delivery_Date]]-Table1[[#This Row],[Order_Date]],"Not Applicable")</f>
        <v>18</v>
      </c>
      <c r="M1831" s="14">
        <f>Table1[[#This Row],[Unit_Cost]]-Table1[[#This Row],[Negotiated_Cost]]</f>
        <v>12.700000000000045</v>
      </c>
      <c r="N1831" s="18">
        <f>Table1[[#This Row],[Defective_Units]]/Table1[[#This Row],[Quantity]]</f>
        <v>4.878048780487805E-2</v>
      </c>
      <c r="O1831" s="26">
        <f>(Table1[[#This Row],[Unit_Cost]]-Table1[[#This Row],[Negotiated_Cost]])/Table1[[#This Row],[Unit_Cost]]</f>
        <v>2.2053971451394514E-2</v>
      </c>
    </row>
    <row r="1832" spans="1:15" x14ac:dyDescent="0.25">
      <c r="A1832" t="s">
        <v>1867</v>
      </c>
      <c r="B1832" t="s">
        <v>46</v>
      </c>
      <c r="C1832" s="14" t="s">
        <v>36</v>
      </c>
      <c r="D1832" s="1">
        <v>45373</v>
      </c>
      <c r="E1832" s="13">
        <v>45401</v>
      </c>
      <c r="F1832" s="14" t="s">
        <v>14</v>
      </c>
      <c r="G1832">
        <v>304</v>
      </c>
      <c r="H1832">
        <v>535.72</v>
      </c>
      <c r="I1832">
        <v>505.04</v>
      </c>
      <c r="J1832">
        <v>0</v>
      </c>
      <c r="K1832" s="14" t="s">
        <v>15</v>
      </c>
      <c r="L1832" s="14">
        <f>IF(OR(Table1[[#This Row],[Order_Status]]="Delivered",Table1[[#This Row],[Delivery_Date]]&lt;&gt;"Not Yet Delivered"),Table1[[#This Row],[Delivery_Date]]-Table1[[#This Row],[Order_Date]],"Not Applicable")</f>
        <v>28</v>
      </c>
      <c r="M1832" s="14">
        <f>Table1[[#This Row],[Unit_Cost]]-Table1[[#This Row],[Negotiated_Cost]]</f>
        <v>30.680000000000007</v>
      </c>
      <c r="N1832" s="18">
        <f>Table1[[#This Row],[Defective_Units]]/Table1[[#This Row],[Quantity]]</f>
        <v>0</v>
      </c>
      <c r="O1832" s="26">
        <f>(Table1[[#This Row],[Unit_Cost]]-Table1[[#This Row],[Negotiated_Cost]])/Table1[[#This Row],[Unit_Cost]]</f>
        <v>5.726872246696036E-2</v>
      </c>
    </row>
    <row r="1833" spans="1:15" x14ac:dyDescent="0.25">
      <c r="A1833" t="s">
        <v>1868</v>
      </c>
      <c r="B1833" t="s">
        <v>27</v>
      </c>
      <c r="C1833" s="14" t="s">
        <v>50</v>
      </c>
      <c r="D1833" s="1">
        <v>45120</v>
      </c>
      <c r="E1833" s="13">
        <v>45123</v>
      </c>
      <c r="F1833" s="14" t="s">
        <v>14</v>
      </c>
      <c r="G1833">
        <v>107</v>
      </c>
      <c r="H1833">
        <v>51463.39</v>
      </c>
      <c r="I1833">
        <v>49612.85</v>
      </c>
      <c r="J1833">
        <v>2</v>
      </c>
      <c r="K1833" s="14" t="s">
        <v>15</v>
      </c>
      <c r="L1833" s="14">
        <f>IF(OR(Table1[[#This Row],[Order_Status]]="Delivered",Table1[[#This Row],[Delivery_Date]]&lt;&gt;"Not Yet Delivered"),Table1[[#This Row],[Delivery_Date]]-Table1[[#This Row],[Order_Date]],"Not Applicable")</f>
        <v>3</v>
      </c>
      <c r="M1833" s="14">
        <f>Table1[[#This Row],[Unit_Cost]]-Table1[[#This Row],[Negotiated_Cost]]</f>
        <v>1850.5400000000009</v>
      </c>
      <c r="N1833" s="18">
        <f>Table1[[#This Row],[Defective_Units]]/Table1[[#This Row],[Quantity]]</f>
        <v>1.8691588785046728E-2</v>
      </c>
      <c r="O1833" s="26">
        <f>(Table1[[#This Row],[Unit_Cost]]-Table1[[#This Row],[Negotiated_Cost]])/Table1[[#This Row],[Unit_Cost]]</f>
        <v>3.5958377401877351E-2</v>
      </c>
    </row>
    <row r="1834" spans="1:15" x14ac:dyDescent="0.25">
      <c r="A1834" t="s">
        <v>1869</v>
      </c>
      <c r="B1834" t="s">
        <v>20</v>
      </c>
      <c r="C1834" s="14" t="s">
        <v>24</v>
      </c>
      <c r="D1834" s="1">
        <v>45384</v>
      </c>
      <c r="E1834" s="13">
        <v>45401</v>
      </c>
      <c r="F1834" s="14" t="s">
        <v>14</v>
      </c>
      <c r="G1834">
        <v>183</v>
      </c>
      <c r="H1834">
        <v>12698.9</v>
      </c>
      <c r="I1834">
        <v>12385.07</v>
      </c>
      <c r="J1834">
        <v>3</v>
      </c>
      <c r="K1834" s="14" t="s">
        <v>15</v>
      </c>
      <c r="L1834" s="14">
        <f>IF(OR(Table1[[#This Row],[Order_Status]]="Delivered",Table1[[#This Row],[Delivery_Date]]&lt;&gt;"Not Yet Delivered"),Table1[[#This Row],[Delivery_Date]]-Table1[[#This Row],[Order_Date]],"Not Applicable")</f>
        <v>17</v>
      </c>
      <c r="M1834" s="14">
        <f>Table1[[#This Row],[Unit_Cost]]-Table1[[#This Row],[Negotiated_Cost]]</f>
        <v>313.82999999999993</v>
      </c>
      <c r="N1834" s="18">
        <f>Table1[[#This Row],[Defective_Units]]/Table1[[#This Row],[Quantity]]</f>
        <v>1.6393442622950821E-2</v>
      </c>
      <c r="O1834" s="26">
        <f>(Table1[[#This Row],[Unit_Cost]]-Table1[[#This Row],[Negotiated_Cost]])/Table1[[#This Row],[Unit_Cost]]</f>
        <v>2.4713164132326416E-2</v>
      </c>
    </row>
    <row r="1835" spans="1:15" x14ac:dyDescent="0.25">
      <c r="A1835" t="s">
        <v>1870</v>
      </c>
      <c r="B1835" t="s">
        <v>27</v>
      </c>
      <c r="C1835" s="14" t="s">
        <v>36</v>
      </c>
      <c r="D1835" s="1">
        <v>45150</v>
      </c>
      <c r="E1835" s="13">
        <v>45165</v>
      </c>
      <c r="F1835" s="14" t="s">
        <v>14</v>
      </c>
      <c r="G1835">
        <v>266</v>
      </c>
      <c r="H1835">
        <v>588.41999999999996</v>
      </c>
      <c r="I1835">
        <v>583.95000000000005</v>
      </c>
      <c r="J1835">
        <v>3</v>
      </c>
      <c r="K1835" s="14" t="s">
        <v>15</v>
      </c>
      <c r="L1835" s="14">
        <f>IF(OR(Table1[[#This Row],[Order_Status]]="Delivered",Table1[[#This Row],[Delivery_Date]]&lt;&gt;"Not Yet Delivered"),Table1[[#This Row],[Delivery_Date]]-Table1[[#This Row],[Order_Date]],"Not Applicable")</f>
        <v>15</v>
      </c>
      <c r="M1835" s="14">
        <f>Table1[[#This Row],[Unit_Cost]]-Table1[[#This Row],[Negotiated_Cost]]</f>
        <v>4.4699999999999136</v>
      </c>
      <c r="N1835" s="18">
        <f>Table1[[#This Row],[Defective_Units]]/Table1[[#This Row],[Quantity]]</f>
        <v>1.1278195488721804E-2</v>
      </c>
      <c r="O1835" s="26">
        <f>(Table1[[#This Row],[Unit_Cost]]-Table1[[#This Row],[Negotiated_Cost]])/Table1[[#This Row],[Unit_Cost]]</f>
        <v>7.5966146629956729E-3</v>
      </c>
    </row>
    <row r="1836" spans="1:15" x14ac:dyDescent="0.25">
      <c r="A1836" t="s">
        <v>1871</v>
      </c>
      <c r="B1836" t="s">
        <v>27</v>
      </c>
      <c r="C1836" s="14" t="s">
        <v>30</v>
      </c>
      <c r="D1836" s="1">
        <v>45062</v>
      </c>
      <c r="E1836" s="13">
        <v>45082</v>
      </c>
      <c r="F1836" s="14" t="s">
        <v>14</v>
      </c>
      <c r="G1836">
        <v>493</v>
      </c>
      <c r="H1836">
        <v>932.17</v>
      </c>
      <c r="I1836">
        <v>925.75</v>
      </c>
      <c r="J1836">
        <v>2</v>
      </c>
      <c r="K1836" s="14" t="s">
        <v>15</v>
      </c>
      <c r="L1836" s="14">
        <f>IF(OR(Table1[[#This Row],[Order_Status]]="Delivered",Table1[[#This Row],[Delivery_Date]]&lt;&gt;"Not Yet Delivered"),Table1[[#This Row],[Delivery_Date]]-Table1[[#This Row],[Order_Date]],"Not Applicable")</f>
        <v>20</v>
      </c>
      <c r="M1836" s="14">
        <f>Table1[[#This Row],[Unit_Cost]]-Table1[[#This Row],[Negotiated_Cost]]</f>
        <v>6.4199999999999591</v>
      </c>
      <c r="N1836" s="18">
        <f>Table1[[#This Row],[Defective_Units]]/Table1[[#This Row],[Quantity]]</f>
        <v>4.0567951318458417E-3</v>
      </c>
      <c r="O1836" s="26">
        <f>(Table1[[#This Row],[Unit_Cost]]-Table1[[#This Row],[Negotiated_Cost]])/Table1[[#This Row],[Unit_Cost]]</f>
        <v>6.8871557763068528E-3</v>
      </c>
    </row>
    <row r="1837" spans="1:15" x14ac:dyDescent="0.25">
      <c r="A1837" t="s">
        <v>1872</v>
      </c>
      <c r="B1837" t="s">
        <v>46</v>
      </c>
      <c r="C1837" s="14" t="s">
        <v>50</v>
      </c>
      <c r="D1837" s="1">
        <v>45408</v>
      </c>
      <c r="E1837" s="13">
        <v>45414</v>
      </c>
      <c r="F1837" s="14" t="s">
        <v>14</v>
      </c>
      <c r="G1837">
        <v>223</v>
      </c>
      <c r="H1837">
        <v>49212.85</v>
      </c>
      <c r="I1837">
        <v>46742.73</v>
      </c>
      <c r="J1837">
        <v>4</v>
      </c>
      <c r="K1837" s="14" t="s">
        <v>15</v>
      </c>
      <c r="L1837" s="14">
        <f>IF(OR(Table1[[#This Row],[Order_Status]]="Delivered",Table1[[#This Row],[Delivery_Date]]&lt;&gt;"Not Yet Delivered"),Table1[[#This Row],[Delivery_Date]]-Table1[[#This Row],[Order_Date]],"Not Applicable")</f>
        <v>6</v>
      </c>
      <c r="M1837" s="14">
        <f>Table1[[#This Row],[Unit_Cost]]-Table1[[#This Row],[Negotiated_Cost]]</f>
        <v>2470.1199999999953</v>
      </c>
      <c r="N1837" s="18">
        <f>Table1[[#This Row],[Defective_Units]]/Table1[[#This Row],[Quantity]]</f>
        <v>1.7937219730941704E-2</v>
      </c>
      <c r="O1837" s="26">
        <f>(Table1[[#This Row],[Unit_Cost]]-Table1[[#This Row],[Negotiated_Cost]])/Table1[[#This Row],[Unit_Cost]]</f>
        <v>5.0192581815521664E-2</v>
      </c>
    </row>
    <row r="1838" spans="1:15" x14ac:dyDescent="0.25">
      <c r="A1838" t="s">
        <v>1873</v>
      </c>
      <c r="B1838" t="s">
        <v>35</v>
      </c>
      <c r="C1838" s="14" t="s">
        <v>36</v>
      </c>
      <c r="D1838" s="1">
        <v>45536</v>
      </c>
      <c r="E1838" s="13">
        <v>45546</v>
      </c>
      <c r="F1838" s="14" t="s">
        <v>14</v>
      </c>
      <c r="G1838">
        <v>374</v>
      </c>
      <c r="H1838">
        <v>525.21</v>
      </c>
      <c r="I1838">
        <v>510.4</v>
      </c>
      <c r="J1838">
        <v>6</v>
      </c>
      <c r="K1838" s="14" t="s">
        <v>15</v>
      </c>
      <c r="L1838" s="14">
        <f>IF(OR(Table1[[#This Row],[Order_Status]]="Delivered",Table1[[#This Row],[Delivery_Date]]&lt;&gt;"Not Yet Delivered"),Table1[[#This Row],[Delivery_Date]]-Table1[[#This Row],[Order_Date]],"Not Applicable")</f>
        <v>10</v>
      </c>
      <c r="M1838" s="14">
        <f>Table1[[#This Row],[Unit_Cost]]-Table1[[#This Row],[Negotiated_Cost]]</f>
        <v>14.810000000000059</v>
      </c>
      <c r="N1838" s="18">
        <f>Table1[[#This Row],[Defective_Units]]/Table1[[#This Row],[Quantity]]</f>
        <v>1.6042780748663103E-2</v>
      </c>
      <c r="O1838" s="26">
        <f>(Table1[[#This Row],[Unit_Cost]]-Table1[[#This Row],[Negotiated_Cost]])/Table1[[#This Row],[Unit_Cost]]</f>
        <v>2.8198244511719234E-2</v>
      </c>
    </row>
    <row r="1839" spans="1:15" x14ac:dyDescent="0.25">
      <c r="A1839" t="s">
        <v>1874</v>
      </c>
      <c r="B1839" t="s">
        <v>27</v>
      </c>
      <c r="C1839" s="14" t="s">
        <v>30</v>
      </c>
      <c r="D1839" s="1">
        <v>45179</v>
      </c>
      <c r="E1839" s="13">
        <v>45187</v>
      </c>
      <c r="F1839" s="14" t="s">
        <v>14</v>
      </c>
      <c r="G1839">
        <v>164</v>
      </c>
      <c r="H1839">
        <v>869.04</v>
      </c>
      <c r="I1839">
        <v>849.53</v>
      </c>
      <c r="J1839">
        <v>3</v>
      </c>
      <c r="K1839" s="14" t="s">
        <v>15</v>
      </c>
      <c r="L1839" s="14">
        <f>IF(OR(Table1[[#This Row],[Order_Status]]="Delivered",Table1[[#This Row],[Delivery_Date]]&lt;&gt;"Not Yet Delivered"),Table1[[#This Row],[Delivery_Date]]-Table1[[#This Row],[Order_Date]],"Not Applicable")</f>
        <v>8</v>
      </c>
      <c r="M1839" s="14">
        <f>Table1[[#This Row],[Unit_Cost]]-Table1[[#This Row],[Negotiated_Cost]]</f>
        <v>19.509999999999991</v>
      </c>
      <c r="N1839" s="18">
        <f>Table1[[#This Row],[Defective_Units]]/Table1[[#This Row],[Quantity]]</f>
        <v>1.8292682926829267E-2</v>
      </c>
      <c r="O1839" s="26">
        <f>(Table1[[#This Row],[Unit_Cost]]-Table1[[#This Row],[Negotiated_Cost]])/Table1[[#This Row],[Unit_Cost]]</f>
        <v>2.2450059836141019E-2</v>
      </c>
    </row>
    <row r="1840" spans="1:15" x14ac:dyDescent="0.25">
      <c r="A1840" t="s">
        <v>1875</v>
      </c>
      <c r="B1840" t="s">
        <v>12</v>
      </c>
      <c r="C1840" s="14" t="s">
        <v>30</v>
      </c>
      <c r="D1840" s="1">
        <v>45149</v>
      </c>
      <c r="E1840" s="13">
        <v>45173</v>
      </c>
      <c r="F1840" s="14" t="s">
        <v>14</v>
      </c>
      <c r="G1840">
        <v>362</v>
      </c>
      <c r="H1840">
        <v>925.56</v>
      </c>
      <c r="I1840">
        <v>871.52</v>
      </c>
      <c r="J1840">
        <v>8</v>
      </c>
      <c r="K1840" s="14" t="s">
        <v>15</v>
      </c>
      <c r="L1840" s="14">
        <f>IF(OR(Table1[[#This Row],[Order_Status]]="Delivered",Table1[[#This Row],[Delivery_Date]]&lt;&gt;"Not Yet Delivered"),Table1[[#This Row],[Delivery_Date]]-Table1[[#This Row],[Order_Date]],"Not Applicable")</f>
        <v>24</v>
      </c>
      <c r="M1840" s="14">
        <f>Table1[[#This Row],[Unit_Cost]]-Table1[[#This Row],[Negotiated_Cost]]</f>
        <v>54.039999999999964</v>
      </c>
      <c r="N1840" s="18">
        <f>Table1[[#This Row],[Defective_Units]]/Table1[[#This Row],[Quantity]]</f>
        <v>2.2099447513812154E-2</v>
      </c>
      <c r="O1840" s="26">
        <f>(Table1[[#This Row],[Unit_Cost]]-Table1[[#This Row],[Negotiated_Cost]])/Table1[[#This Row],[Unit_Cost]]</f>
        <v>5.838627425558577E-2</v>
      </c>
    </row>
    <row r="1841" spans="1:15" x14ac:dyDescent="0.25">
      <c r="A1841" t="s">
        <v>1876</v>
      </c>
      <c r="B1841" t="s">
        <v>12</v>
      </c>
      <c r="C1841" s="14" t="s">
        <v>24</v>
      </c>
      <c r="D1841" s="1">
        <v>45501</v>
      </c>
      <c r="E1841" s="13">
        <v>45512</v>
      </c>
      <c r="F1841" s="14" t="s">
        <v>14</v>
      </c>
      <c r="G1841">
        <v>33</v>
      </c>
      <c r="H1841">
        <v>13722.43</v>
      </c>
      <c r="I1841">
        <v>13026.35</v>
      </c>
      <c r="J1841">
        <v>0</v>
      </c>
      <c r="K1841" s="14" t="s">
        <v>15</v>
      </c>
      <c r="L1841" s="14">
        <f>IF(OR(Table1[[#This Row],[Order_Status]]="Delivered",Table1[[#This Row],[Delivery_Date]]&lt;&gt;"Not Yet Delivered"),Table1[[#This Row],[Delivery_Date]]-Table1[[#This Row],[Order_Date]],"Not Applicable")</f>
        <v>11</v>
      </c>
      <c r="M1841" s="14">
        <f>Table1[[#This Row],[Unit_Cost]]-Table1[[#This Row],[Negotiated_Cost]]</f>
        <v>696.07999999999993</v>
      </c>
      <c r="N1841" s="18">
        <f>Table1[[#This Row],[Defective_Units]]/Table1[[#This Row],[Quantity]]</f>
        <v>0</v>
      </c>
      <c r="O1841" s="26">
        <f>(Table1[[#This Row],[Unit_Cost]]-Table1[[#This Row],[Negotiated_Cost]])/Table1[[#This Row],[Unit_Cost]]</f>
        <v>5.0725709659295029E-2</v>
      </c>
    </row>
    <row r="1842" spans="1:15" x14ac:dyDescent="0.25">
      <c r="A1842" t="s">
        <v>1877</v>
      </c>
      <c r="B1842" t="s">
        <v>27</v>
      </c>
      <c r="C1842" s="14" t="s">
        <v>30</v>
      </c>
      <c r="D1842" s="1">
        <v>45505</v>
      </c>
      <c r="E1842" s="13">
        <v>45515</v>
      </c>
      <c r="F1842" s="14" t="s">
        <v>14</v>
      </c>
      <c r="G1842">
        <v>149</v>
      </c>
      <c r="H1842">
        <v>907.68</v>
      </c>
      <c r="I1842">
        <v>854.93</v>
      </c>
      <c r="J1842">
        <v>2</v>
      </c>
      <c r="K1842" s="14" t="s">
        <v>15</v>
      </c>
      <c r="L1842" s="14">
        <f>IF(OR(Table1[[#This Row],[Order_Status]]="Delivered",Table1[[#This Row],[Delivery_Date]]&lt;&gt;"Not Yet Delivered"),Table1[[#This Row],[Delivery_Date]]-Table1[[#This Row],[Order_Date]],"Not Applicable")</f>
        <v>10</v>
      </c>
      <c r="M1842" s="14">
        <f>Table1[[#This Row],[Unit_Cost]]-Table1[[#This Row],[Negotiated_Cost]]</f>
        <v>52.75</v>
      </c>
      <c r="N1842" s="18">
        <f>Table1[[#This Row],[Defective_Units]]/Table1[[#This Row],[Quantity]]</f>
        <v>1.3422818791946308E-2</v>
      </c>
      <c r="O1842" s="26">
        <f>(Table1[[#This Row],[Unit_Cost]]-Table1[[#This Row],[Negotiated_Cost]])/Table1[[#This Row],[Unit_Cost]]</f>
        <v>5.8115194782302135E-2</v>
      </c>
    </row>
    <row r="1843" spans="1:15" x14ac:dyDescent="0.25">
      <c r="A1843" t="s">
        <v>1878</v>
      </c>
      <c r="B1843" t="s">
        <v>35</v>
      </c>
      <c r="C1843" s="14" t="s">
        <v>24</v>
      </c>
      <c r="D1843" s="1">
        <v>45203</v>
      </c>
      <c r="E1843" s="13">
        <v>45222</v>
      </c>
      <c r="F1843" s="14" t="s">
        <v>14</v>
      </c>
      <c r="G1843">
        <v>337</v>
      </c>
      <c r="H1843">
        <v>11917.59</v>
      </c>
      <c r="I1843">
        <v>11403.98</v>
      </c>
      <c r="J1843">
        <v>2</v>
      </c>
      <c r="K1843" s="14" t="s">
        <v>15</v>
      </c>
      <c r="L1843" s="14">
        <f>IF(OR(Table1[[#This Row],[Order_Status]]="Delivered",Table1[[#This Row],[Delivery_Date]]&lt;&gt;"Not Yet Delivered"),Table1[[#This Row],[Delivery_Date]]-Table1[[#This Row],[Order_Date]],"Not Applicable")</f>
        <v>19</v>
      </c>
      <c r="M1843" s="14">
        <f>Table1[[#This Row],[Unit_Cost]]-Table1[[#This Row],[Negotiated_Cost]]</f>
        <v>513.61000000000058</v>
      </c>
      <c r="N1843" s="18">
        <f>Table1[[#This Row],[Defective_Units]]/Table1[[#This Row],[Quantity]]</f>
        <v>5.9347181008902079E-3</v>
      </c>
      <c r="O1843" s="26">
        <f>(Table1[[#This Row],[Unit_Cost]]-Table1[[#This Row],[Negotiated_Cost]])/Table1[[#This Row],[Unit_Cost]]</f>
        <v>4.3096800611533086E-2</v>
      </c>
    </row>
    <row r="1844" spans="1:15" x14ac:dyDescent="0.25">
      <c r="A1844" t="s">
        <v>1879</v>
      </c>
      <c r="B1844" t="s">
        <v>40</v>
      </c>
      <c r="C1844" s="14" t="s">
        <v>36</v>
      </c>
      <c r="D1844" s="1">
        <v>45259</v>
      </c>
      <c r="E1844" s="13">
        <v>45288</v>
      </c>
      <c r="F1844" s="14" t="s">
        <v>14</v>
      </c>
      <c r="G1844">
        <v>435</v>
      </c>
      <c r="H1844">
        <v>568.29999999999995</v>
      </c>
      <c r="I1844">
        <v>543.79</v>
      </c>
      <c r="J1844">
        <v>9</v>
      </c>
      <c r="K1844" s="14" t="s">
        <v>15</v>
      </c>
      <c r="L1844" s="14">
        <f>IF(OR(Table1[[#This Row],[Order_Status]]="Delivered",Table1[[#This Row],[Delivery_Date]]&lt;&gt;"Not Yet Delivered"),Table1[[#This Row],[Delivery_Date]]-Table1[[#This Row],[Order_Date]],"Not Applicable")</f>
        <v>29</v>
      </c>
      <c r="M1844" s="14">
        <f>Table1[[#This Row],[Unit_Cost]]-Table1[[#This Row],[Negotiated_Cost]]</f>
        <v>24.509999999999991</v>
      </c>
      <c r="N1844" s="18">
        <f>Table1[[#This Row],[Defective_Units]]/Table1[[#This Row],[Quantity]]</f>
        <v>2.0689655172413793E-2</v>
      </c>
      <c r="O1844" s="26">
        <f>(Table1[[#This Row],[Unit_Cost]]-Table1[[#This Row],[Negotiated_Cost]])/Table1[[#This Row],[Unit_Cost]]</f>
        <v>4.3128629245117005E-2</v>
      </c>
    </row>
    <row r="1845" spans="1:15" x14ac:dyDescent="0.25">
      <c r="A1845" t="s">
        <v>1880</v>
      </c>
      <c r="B1845" t="s">
        <v>12</v>
      </c>
      <c r="C1845" s="14" t="s">
        <v>28</v>
      </c>
      <c r="D1845" s="1">
        <v>45146</v>
      </c>
      <c r="E1845" s="13">
        <v>45157</v>
      </c>
      <c r="F1845" s="14" t="s">
        <v>14</v>
      </c>
      <c r="G1845">
        <v>477</v>
      </c>
      <c r="H1845">
        <v>50735.71</v>
      </c>
      <c r="I1845">
        <v>50100.52</v>
      </c>
      <c r="J1845">
        <v>2</v>
      </c>
      <c r="K1845" s="14" t="s">
        <v>15</v>
      </c>
      <c r="L1845" s="14">
        <f>IF(OR(Table1[[#This Row],[Order_Status]]="Delivered",Table1[[#This Row],[Delivery_Date]]&lt;&gt;"Not Yet Delivered"),Table1[[#This Row],[Delivery_Date]]-Table1[[#This Row],[Order_Date]],"Not Applicable")</f>
        <v>11</v>
      </c>
      <c r="M1845" s="14">
        <f>Table1[[#This Row],[Unit_Cost]]-Table1[[#This Row],[Negotiated_Cost]]</f>
        <v>635.19000000000233</v>
      </c>
      <c r="N1845" s="18">
        <f>Table1[[#This Row],[Defective_Units]]/Table1[[#This Row],[Quantity]]</f>
        <v>4.1928721174004195E-3</v>
      </c>
      <c r="O1845" s="26">
        <f>(Table1[[#This Row],[Unit_Cost]]-Table1[[#This Row],[Negotiated_Cost]])/Table1[[#This Row],[Unit_Cost]]</f>
        <v>1.2519584332218911E-2</v>
      </c>
    </row>
    <row r="1846" spans="1:15" x14ac:dyDescent="0.25">
      <c r="A1846" t="s">
        <v>1881</v>
      </c>
      <c r="B1846" t="s">
        <v>12</v>
      </c>
      <c r="C1846" s="14" t="s">
        <v>50</v>
      </c>
      <c r="D1846" s="1">
        <v>45140</v>
      </c>
      <c r="E1846" s="13">
        <v>45147</v>
      </c>
      <c r="F1846" s="14" t="s">
        <v>14</v>
      </c>
      <c r="G1846">
        <v>102</v>
      </c>
      <c r="H1846">
        <v>55151.8</v>
      </c>
      <c r="I1846">
        <v>53123.75</v>
      </c>
      <c r="J1846">
        <v>3</v>
      </c>
      <c r="K1846" s="14" t="s">
        <v>15</v>
      </c>
      <c r="L1846" s="14">
        <f>IF(OR(Table1[[#This Row],[Order_Status]]="Delivered",Table1[[#This Row],[Delivery_Date]]&lt;&gt;"Not Yet Delivered"),Table1[[#This Row],[Delivery_Date]]-Table1[[#This Row],[Order_Date]],"Not Applicable")</f>
        <v>7</v>
      </c>
      <c r="M1846" s="14">
        <f>Table1[[#This Row],[Unit_Cost]]-Table1[[#This Row],[Negotiated_Cost]]</f>
        <v>2028.0500000000029</v>
      </c>
      <c r="N1846" s="18">
        <f>Table1[[#This Row],[Defective_Units]]/Table1[[#This Row],[Quantity]]</f>
        <v>2.9411764705882353E-2</v>
      </c>
      <c r="O1846" s="26">
        <f>(Table1[[#This Row],[Unit_Cost]]-Table1[[#This Row],[Negotiated_Cost]])/Table1[[#This Row],[Unit_Cost]]</f>
        <v>3.6772145242766383E-2</v>
      </c>
    </row>
    <row r="1847" spans="1:15" x14ac:dyDescent="0.25">
      <c r="A1847" t="s">
        <v>1882</v>
      </c>
      <c r="B1847" t="s">
        <v>32</v>
      </c>
      <c r="C1847" s="14" t="s">
        <v>30</v>
      </c>
      <c r="D1847" s="1">
        <v>45444</v>
      </c>
      <c r="E1847" s="14" t="s">
        <v>2057</v>
      </c>
      <c r="F1847" s="14" t="s">
        <v>33</v>
      </c>
      <c r="G1847">
        <v>36</v>
      </c>
      <c r="H1847">
        <v>862.7</v>
      </c>
      <c r="I1847">
        <v>829.21</v>
      </c>
      <c r="J1847">
        <v>2</v>
      </c>
      <c r="K1847" s="14" t="s">
        <v>15</v>
      </c>
      <c r="L1847" s="14" t="str">
        <f>IF(OR(Table1[[#This Row],[Order_Status]]="Delivered",Table1[[#This Row],[Delivery_Date]]&lt;&gt;"Not Yet Delivered"),Table1[[#This Row],[Delivery_Date]]-Table1[[#This Row],[Order_Date]],"Not Applicable")</f>
        <v>Not Applicable</v>
      </c>
      <c r="M1847" s="14">
        <f>Table1[[#This Row],[Unit_Cost]]-Table1[[#This Row],[Negotiated_Cost]]</f>
        <v>33.490000000000009</v>
      </c>
      <c r="N1847" s="18">
        <f>Table1[[#This Row],[Defective_Units]]/Table1[[#This Row],[Quantity]]</f>
        <v>5.5555555555555552E-2</v>
      </c>
      <c r="O1847" s="26">
        <f>(Table1[[#This Row],[Unit_Cost]]-Table1[[#This Row],[Negotiated_Cost]])/Table1[[#This Row],[Unit_Cost]]</f>
        <v>3.8819983771878994E-2</v>
      </c>
    </row>
    <row r="1848" spans="1:15" x14ac:dyDescent="0.25">
      <c r="A1848" t="s">
        <v>1883</v>
      </c>
      <c r="B1848" t="s">
        <v>40</v>
      </c>
      <c r="C1848" s="14" t="s">
        <v>55</v>
      </c>
      <c r="D1848" s="1">
        <v>44933</v>
      </c>
      <c r="E1848" s="13">
        <v>44950</v>
      </c>
      <c r="F1848" s="14" t="s">
        <v>14</v>
      </c>
      <c r="G1848">
        <v>410</v>
      </c>
      <c r="H1848">
        <v>16065.43</v>
      </c>
      <c r="I1848">
        <v>15604.47</v>
      </c>
      <c r="J1848">
        <v>7</v>
      </c>
      <c r="K1848" s="14" t="s">
        <v>15</v>
      </c>
      <c r="L1848" s="14">
        <f>IF(OR(Table1[[#This Row],[Order_Status]]="Delivered",Table1[[#This Row],[Delivery_Date]]&lt;&gt;"Not Yet Delivered"),Table1[[#This Row],[Delivery_Date]]-Table1[[#This Row],[Order_Date]],"Not Applicable")</f>
        <v>17</v>
      </c>
      <c r="M1848" s="14">
        <f>Table1[[#This Row],[Unit_Cost]]-Table1[[#This Row],[Negotiated_Cost]]</f>
        <v>460.96000000000095</v>
      </c>
      <c r="N1848" s="18">
        <f>Table1[[#This Row],[Defective_Units]]/Table1[[#This Row],[Quantity]]</f>
        <v>1.7073170731707318E-2</v>
      </c>
      <c r="O1848" s="26">
        <f>(Table1[[#This Row],[Unit_Cost]]-Table1[[#This Row],[Negotiated_Cost]])/Table1[[#This Row],[Unit_Cost]]</f>
        <v>2.8692664933338288E-2</v>
      </c>
    </row>
    <row r="1849" spans="1:15" x14ac:dyDescent="0.25">
      <c r="A1849" t="s">
        <v>1884</v>
      </c>
      <c r="B1849" t="s">
        <v>27</v>
      </c>
      <c r="C1849" s="14" t="s">
        <v>44</v>
      </c>
      <c r="D1849" s="1">
        <v>45441</v>
      </c>
      <c r="E1849" s="14" t="s">
        <v>2057</v>
      </c>
      <c r="F1849" s="14" t="s">
        <v>22</v>
      </c>
      <c r="G1849">
        <v>133</v>
      </c>
      <c r="H1849">
        <v>8895.9599999999991</v>
      </c>
      <c r="I1849">
        <v>8759.89</v>
      </c>
      <c r="J1849">
        <v>2</v>
      </c>
      <c r="K1849" s="14" t="s">
        <v>25</v>
      </c>
      <c r="L1849" s="14" t="str">
        <f>IF(OR(Table1[[#This Row],[Order_Status]]="Delivered",Table1[[#This Row],[Delivery_Date]]&lt;&gt;"Not Yet Delivered"),Table1[[#This Row],[Delivery_Date]]-Table1[[#This Row],[Order_Date]],"Not Applicable")</f>
        <v>Not Applicable</v>
      </c>
      <c r="M1849" s="14">
        <f>Table1[[#This Row],[Unit_Cost]]-Table1[[#This Row],[Negotiated_Cost]]</f>
        <v>136.06999999999971</v>
      </c>
      <c r="N1849" s="18">
        <f>Table1[[#This Row],[Defective_Units]]/Table1[[#This Row],[Quantity]]</f>
        <v>1.5037593984962405E-2</v>
      </c>
      <c r="O1849" s="26">
        <f>(Table1[[#This Row],[Unit_Cost]]-Table1[[#This Row],[Negotiated_Cost]])/Table1[[#This Row],[Unit_Cost]]</f>
        <v>1.5295707264870765E-2</v>
      </c>
    </row>
    <row r="1850" spans="1:15" x14ac:dyDescent="0.25">
      <c r="A1850" t="s">
        <v>1885</v>
      </c>
      <c r="B1850" t="s">
        <v>40</v>
      </c>
      <c r="C1850" s="14" t="s">
        <v>30</v>
      </c>
      <c r="D1850" s="1">
        <v>44992</v>
      </c>
      <c r="E1850" s="13">
        <v>44995</v>
      </c>
      <c r="F1850" s="14" t="s">
        <v>14</v>
      </c>
      <c r="G1850">
        <v>210</v>
      </c>
      <c r="H1850">
        <v>975.56</v>
      </c>
      <c r="I1850">
        <v>929.59</v>
      </c>
      <c r="J1850">
        <v>2</v>
      </c>
      <c r="K1850" s="14" t="s">
        <v>15</v>
      </c>
      <c r="L1850" s="14">
        <f>IF(OR(Table1[[#This Row],[Order_Status]]="Delivered",Table1[[#This Row],[Delivery_Date]]&lt;&gt;"Not Yet Delivered"),Table1[[#This Row],[Delivery_Date]]-Table1[[#This Row],[Order_Date]],"Not Applicable")</f>
        <v>3</v>
      </c>
      <c r="M1850" s="14">
        <f>Table1[[#This Row],[Unit_Cost]]-Table1[[#This Row],[Negotiated_Cost]]</f>
        <v>45.969999999999914</v>
      </c>
      <c r="N1850" s="18">
        <f>Table1[[#This Row],[Defective_Units]]/Table1[[#This Row],[Quantity]]</f>
        <v>9.5238095238095247E-3</v>
      </c>
      <c r="O1850" s="26">
        <f>(Table1[[#This Row],[Unit_Cost]]-Table1[[#This Row],[Negotiated_Cost]])/Table1[[#This Row],[Unit_Cost]]</f>
        <v>4.7121653204313337E-2</v>
      </c>
    </row>
    <row r="1851" spans="1:15" x14ac:dyDescent="0.25">
      <c r="A1851" t="s">
        <v>1886</v>
      </c>
      <c r="B1851" t="s">
        <v>32</v>
      </c>
      <c r="C1851" s="14" t="s">
        <v>24</v>
      </c>
      <c r="D1851" s="1">
        <v>45015</v>
      </c>
      <c r="E1851" s="13">
        <v>45017</v>
      </c>
      <c r="F1851" s="14" t="s">
        <v>14</v>
      </c>
      <c r="G1851">
        <v>190</v>
      </c>
      <c r="H1851">
        <v>11212.51</v>
      </c>
      <c r="I1851">
        <v>10847.4</v>
      </c>
      <c r="J1851">
        <v>5</v>
      </c>
      <c r="K1851" s="14" t="s">
        <v>25</v>
      </c>
      <c r="L1851" s="14">
        <f>IF(OR(Table1[[#This Row],[Order_Status]]="Delivered",Table1[[#This Row],[Delivery_Date]]&lt;&gt;"Not Yet Delivered"),Table1[[#This Row],[Delivery_Date]]-Table1[[#This Row],[Order_Date]],"Not Applicable")</f>
        <v>2</v>
      </c>
      <c r="M1851" s="14">
        <f>Table1[[#This Row],[Unit_Cost]]-Table1[[#This Row],[Negotiated_Cost]]</f>
        <v>365.11000000000058</v>
      </c>
      <c r="N1851" s="18">
        <f>Table1[[#This Row],[Defective_Units]]/Table1[[#This Row],[Quantity]]</f>
        <v>2.6315789473684209E-2</v>
      </c>
      <c r="O1851" s="26">
        <f>(Table1[[#This Row],[Unit_Cost]]-Table1[[#This Row],[Negotiated_Cost]])/Table1[[#This Row],[Unit_Cost]]</f>
        <v>3.2562735730001631E-2</v>
      </c>
    </row>
    <row r="1852" spans="1:15" x14ac:dyDescent="0.25">
      <c r="A1852" t="s">
        <v>1887</v>
      </c>
      <c r="B1852" t="s">
        <v>40</v>
      </c>
      <c r="C1852" s="14" t="s">
        <v>55</v>
      </c>
      <c r="D1852" s="1">
        <v>45504</v>
      </c>
      <c r="E1852" s="13">
        <v>45511</v>
      </c>
      <c r="F1852" s="14" t="s">
        <v>37</v>
      </c>
      <c r="G1852">
        <v>36</v>
      </c>
      <c r="H1852">
        <v>15479.03</v>
      </c>
      <c r="I1852">
        <v>15080.84</v>
      </c>
      <c r="J1852">
        <v>1</v>
      </c>
      <c r="K1852" s="14" t="s">
        <v>15</v>
      </c>
      <c r="L1852" s="14">
        <f>IF(OR(Table1[[#This Row],[Order_Status]]="Delivered",Table1[[#This Row],[Delivery_Date]]&lt;&gt;"Not Yet Delivered"),Table1[[#This Row],[Delivery_Date]]-Table1[[#This Row],[Order_Date]],"Not Applicable")</f>
        <v>7</v>
      </c>
      <c r="M1852" s="14">
        <f>Table1[[#This Row],[Unit_Cost]]-Table1[[#This Row],[Negotiated_Cost]]</f>
        <v>398.19000000000051</v>
      </c>
      <c r="N1852" s="18">
        <f>Table1[[#This Row],[Defective_Units]]/Table1[[#This Row],[Quantity]]</f>
        <v>2.7777777777777776E-2</v>
      </c>
      <c r="O1852" s="26">
        <f>(Table1[[#This Row],[Unit_Cost]]-Table1[[#This Row],[Negotiated_Cost]])/Table1[[#This Row],[Unit_Cost]]</f>
        <v>2.5724480151534074E-2</v>
      </c>
    </row>
    <row r="1853" spans="1:15" x14ac:dyDescent="0.25">
      <c r="A1853" t="s">
        <v>1888</v>
      </c>
      <c r="B1853" t="s">
        <v>35</v>
      </c>
      <c r="C1853" s="14" t="s">
        <v>24</v>
      </c>
      <c r="D1853" s="1">
        <v>45315</v>
      </c>
      <c r="E1853" s="13">
        <v>45323</v>
      </c>
      <c r="F1853" s="14" t="s">
        <v>14</v>
      </c>
      <c r="G1853">
        <v>412</v>
      </c>
      <c r="H1853">
        <v>12439.73</v>
      </c>
      <c r="I1853">
        <v>11850.22</v>
      </c>
      <c r="J1853">
        <v>9</v>
      </c>
      <c r="K1853" s="14" t="s">
        <v>15</v>
      </c>
      <c r="L1853" s="14">
        <f>IF(OR(Table1[[#This Row],[Order_Status]]="Delivered",Table1[[#This Row],[Delivery_Date]]&lt;&gt;"Not Yet Delivered"),Table1[[#This Row],[Delivery_Date]]-Table1[[#This Row],[Order_Date]],"Not Applicable")</f>
        <v>8</v>
      </c>
      <c r="M1853" s="14">
        <f>Table1[[#This Row],[Unit_Cost]]-Table1[[#This Row],[Negotiated_Cost]]</f>
        <v>589.51000000000022</v>
      </c>
      <c r="N1853" s="18">
        <f>Table1[[#This Row],[Defective_Units]]/Table1[[#This Row],[Quantity]]</f>
        <v>2.1844660194174758E-2</v>
      </c>
      <c r="O1853" s="26">
        <f>(Table1[[#This Row],[Unit_Cost]]-Table1[[#This Row],[Negotiated_Cost]])/Table1[[#This Row],[Unit_Cost]]</f>
        <v>4.7389292211326151E-2</v>
      </c>
    </row>
    <row r="1854" spans="1:15" x14ac:dyDescent="0.25">
      <c r="A1854" t="s">
        <v>1889</v>
      </c>
      <c r="B1854" t="s">
        <v>40</v>
      </c>
      <c r="C1854" s="14" t="s">
        <v>30</v>
      </c>
      <c r="D1854" s="1">
        <v>45508</v>
      </c>
      <c r="E1854" s="13">
        <v>45518</v>
      </c>
      <c r="F1854" s="14" t="s">
        <v>14</v>
      </c>
      <c r="G1854">
        <v>374</v>
      </c>
      <c r="H1854">
        <v>959.24</v>
      </c>
      <c r="I1854">
        <v>907.99</v>
      </c>
      <c r="J1854">
        <v>2</v>
      </c>
      <c r="K1854" s="14" t="s">
        <v>15</v>
      </c>
      <c r="L1854" s="14">
        <f>IF(OR(Table1[[#This Row],[Order_Status]]="Delivered",Table1[[#This Row],[Delivery_Date]]&lt;&gt;"Not Yet Delivered"),Table1[[#This Row],[Delivery_Date]]-Table1[[#This Row],[Order_Date]],"Not Applicable")</f>
        <v>10</v>
      </c>
      <c r="M1854" s="14">
        <f>Table1[[#This Row],[Unit_Cost]]-Table1[[#This Row],[Negotiated_Cost]]</f>
        <v>51.25</v>
      </c>
      <c r="N1854" s="18">
        <f>Table1[[#This Row],[Defective_Units]]/Table1[[#This Row],[Quantity]]</f>
        <v>5.3475935828877002E-3</v>
      </c>
      <c r="O1854" s="26">
        <f>(Table1[[#This Row],[Unit_Cost]]-Table1[[#This Row],[Negotiated_Cost]])/Table1[[#This Row],[Unit_Cost]]</f>
        <v>5.3427713606605226E-2</v>
      </c>
    </row>
    <row r="1855" spans="1:15" x14ac:dyDescent="0.25">
      <c r="A1855" t="s">
        <v>1890</v>
      </c>
      <c r="B1855" t="s">
        <v>17</v>
      </c>
      <c r="C1855" s="14" t="s">
        <v>42</v>
      </c>
      <c r="D1855" s="1">
        <v>45625</v>
      </c>
      <c r="E1855" s="13">
        <v>45640</v>
      </c>
      <c r="F1855" s="14" t="s">
        <v>37</v>
      </c>
      <c r="G1855">
        <v>15</v>
      </c>
      <c r="H1855">
        <v>11370.62</v>
      </c>
      <c r="I1855">
        <v>11209.91</v>
      </c>
      <c r="J1855">
        <v>1</v>
      </c>
      <c r="K1855" s="14" t="s">
        <v>15</v>
      </c>
      <c r="L1855" s="14">
        <f>IF(OR(Table1[[#This Row],[Order_Status]]="Delivered",Table1[[#This Row],[Delivery_Date]]&lt;&gt;"Not Yet Delivered"),Table1[[#This Row],[Delivery_Date]]-Table1[[#This Row],[Order_Date]],"Not Applicable")</f>
        <v>15</v>
      </c>
      <c r="M1855" s="14">
        <f>Table1[[#This Row],[Unit_Cost]]-Table1[[#This Row],[Negotiated_Cost]]</f>
        <v>160.71000000000095</v>
      </c>
      <c r="N1855" s="18">
        <f>Table1[[#This Row],[Defective_Units]]/Table1[[#This Row],[Quantity]]</f>
        <v>6.6666666666666666E-2</v>
      </c>
      <c r="O1855" s="26">
        <f>(Table1[[#This Row],[Unit_Cost]]-Table1[[#This Row],[Negotiated_Cost]])/Table1[[#This Row],[Unit_Cost]]</f>
        <v>1.4133793935599021E-2</v>
      </c>
    </row>
    <row r="1856" spans="1:15" x14ac:dyDescent="0.25">
      <c r="A1856" t="s">
        <v>1891</v>
      </c>
      <c r="B1856" t="s">
        <v>17</v>
      </c>
      <c r="C1856" s="14" t="s">
        <v>50</v>
      </c>
      <c r="D1856" s="1">
        <v>45307</v>
      </c>
      <c r="E1856" s="13">
        <v>45320</v>
      </c>
      <c r="F1856" s="14" t="s">
        <v>37</v>
      </c>
      <c r="G1856">
        <v>320</v>
      </c>
      <c r="H1856">
        <v>51793.599999999999</v>
      </c>
      <c r="I1856">
        <v>50036.25</v>
      </c>
      <c r="J1856">
        <v>4</v>
      </c>
      <c r="K1856" s="14" t="s">
        <v>25</v>
      </c>
      <c r="L1856" s="14">
        <f>IF(OR(Table1[[#This Row],[Order_Status]]="Delivered",Table1[[#This Row],[Delivery_Date]]&lt;&gt;"Not Yet Delivered"),Table1[[#This Row],[Delivery_Date]]-Table1[[#This Row],[Order_Date]],"Not Applicable")</f>
        <v>13</v>
      </c>
      <c r="M1856" s="14">
        <f>Table1[[#This Row],[Unit_Cost]]-Table1[[#This Row],[Negotiated_Cost]]</f>
        <v>1757.3499999999985</v>
      </c>
      <c r="N1856" s="18">
        <f>Table1[[#This Row],[Defective_Units]]/Table1[[#This Row],[Quantity]]</f>
        <v>1.2500000000000001E-2</v>
      </c>
      <c r="O1856" s="26">
        <f>(Table1[[#This Row],[Unit_Cost]]-Table1[[#This Row],[Negotiated_Cost]])/Table1[[#This Row],[Unit_Cost]]</f>
        <v>3.3929867782892066E-2</v>
      </c>
    </row>
    <row r="1857" spans="1:15" x14ac:dyDescent="0.25">
      <c r="A1857" t="s">
        <v>1892</v>
      </c>
      <c r="B1857" t="s">
        <v>46</v>
      </c>
      <c r="C1857" s="14" t="s">
        <v>28</v>
      </c>
      <c r="D1857" s="1">
        <v>45479</v>
      </c>
      <c r="E1857" s="13">
        <v>45503</v>
      </c>
      <c r="F1857" s="14" t="s">
        <v>14</v>
      </c>
      <c r="G1857">
        <v>445</v>
      </c>
      <c r="H1857">
        <v>48253.55</v>
      </c>
      <c r="I1857">
        <v>48064.88</v>
      </c>
      <c r="J1857">
        <v>2</v>
      </c>
      <c r="K1857" s="14" t="s">
        <v>15</v>
      </c>
      <c r="L1857" s="14">
        <f>IF(OR(Table1[[#This Row],[Order_Status]]="Delivered",Table1[[#This Row],[Delivery_Date]]&lt;&gt;"Not Yet Delivered"),Table1[[#This Row],[Delivery_Date]]-Table1[[#This Row],[Order_Date]],"Not Applicable")</f>
        <v>24</v>
      </c>
      <c r="M1857" s="14">
        <f>Table1[[#This Row],[Unit_Cost]]-Table1[[#This Row],[Negotiated_Cost]]</f>
        <v>188.67000000000553</v>
      </c>
      <c r="N1857" s="18">
        <f>Table1[[#This Row],[Defective_Units]]/Table1[[#This Row],[Quantity]]</f>
        <v>4.4943820224719105E-3</v>
      </c>
      <c r="O1857" s="26">
        <f>(Table1[[#This Row],[Unit_Cost]]-Table1[[#This Row],[Negotiated_Cost]])/Table1[[#This Row],[Unit_Cost]]</f>
        <v>3.9099713907060829E-3</v>
      </c>
    </row>
    <row r="1858" spans="1:15" x14ac:dyDescent="0.25">
      <c r="A1858" t="s">
        <v>1893</v>
      </c>
      <c r="B1858" t="s">
        <v>17</v>
      </c>
      <c r="C1858" s="14" t="s">
        <v>28</v>
      </c>
      <c r="D1858" s="1">
        <v>45098</v>
      </c>
      <c r="E1858" s="13">
        <v>45105</v>
      </c>
      <c r="F1858" s="14" t="s">
        <v>14</v>
      </c>
      <c r="G1858">
        <v>105</v>
      </c>
      <c r="H1858">
        <v>43366.1</v>
      </c>
      <c r="I1858">
        <v>41453.410000000003</v>
      </c>
      <c r="J1858">
        <v>1</v>
      </c>
      <c r="K1858" s="14" t="s">
        <v>15</v>
      </c>
      <c r="L1858" s="14">
        <f>IF(OR(Table1[[#This Row],[Order_Status]]="Delivered",Table1[[#This Row],[Delivery_Date]]&lt;&gt;"Not Yet Delivered"),Table1[[#This Row],[Delivery_Date]]-Table1[[#This Row],[Order_Date]],"Not Applicable")</f>
        <v>7</v>
      </c>
      <c r="M1858" s="14">
        <f>Table1[[#This Row],[Unit_Cost]]-Table1[[#This Row],[Negotiated_Cost]]</f>
        <v>1912.6899999999951</v>
      </c>
      <c r="N1858" s="18">
        <f>Table1[[#This Row],[Defective_Units]]/Table1[[#This Row],[Quantity]]</f>
        <v>9.5238095238095247E-3</v>
      </c>
      <c r="O1858" s="26">
        <f>(Table1[[#This Row],[Unit_Cost]]-Table1[[#This Row],[Negotiated_Cost]])/Table1[[#This Row],[Unit_Cost]]</f>
        <v>4.4105649343611601E-2</v>
      </c>
    </row>
    <row r="1859" spans="1:15" x14ac:dyDescent="0.25">
      <c r="A1859" t="s">
        <v>1894</v>
      </c>
      <c r="B1859" t="s">
        <v>32</v>
      </c>
      <c r="C1859" s="14" t="s">
        <v>42</v>
      </c>
      <c r="D1859" s="1">
        <v>45571</v>
      </c>
      <c r="E1859" s="13">
        <v>45577</v>
      </c>
      <c r="F1859" s="14" t="s">
        <v>14</v>
      </c>
      <c r="G1859">
        <v>37</v>
      </c>
      <c r="H1859">
        <v>11686.51</v>
      </c>
      <c r="I1859">
        <v>11187.92</v>
      </c>
      <c r="J1859">
        <v>1</v>
      </c>
      <c r="K1859" s="14" t="s">
        <v>25</v>
      </c>
      <c r="L1859" s="14">
        <f>IF(OR(Table1[[#This Row],[Order_Status]]="Delivered",Table1[[#This Row],[Delivery_Date]]&lt;&gt;"Not Yet Delivered"),Table1[[#This Row],[Delivery_Date]]-Table1[[#This Row],[Order_Date]],"Not Applicable")</f>
        <v>6</v>
      </c>
      <c r="M1859" s="14">
        <f>Table1[[#This Row],[Unit_Cost]]-Table1[[#This Row],[Negotiated_Cost]]</f>
        <v>498.59000000000015</v>
      </c>
      <c r="N1859" s="18">
        <f>Table1[[#This Row],[Defective_Units]]/Table1[[#This Row],[Quantity]]</f>
        <v>2.7027027027027029E-2</v>
      </c>
      <c r="O1859" s="26">
        <f>(Table1[[#This Row],[Unit_Cost]]-Table1[[#This Row],[Negotiated_Cost]])/Table1[[#This Row],[Unit_Cost]]</f>
        <v>4.2663720819988184E-2</v>
      </c>
    </row>
    <row r="1860" spans="1:15" x14ac:dyDescent="0.25">
      <c r="A1860" t="s">
        <v>1895</v>
      </c>
      <c r="B1860" t="s">
        <v>40</v>
      </c>
      <c r="C1860" s="14" t="s">
        <v>44</v>
      </c>
      <c r="D1860" s="1">
        <v>45085</v>
      </c>
      <c r="E1860" s="13">
        <v>45114</v>
      </c>
      <c r="F1860" s="14" t="s">
        <v>14</v>
      </c>
      <c r="G1860">
        <v>450</v>
      </c>
      <c r="H1860">
        <v>9389.4500000000007</v>
      </c>
      <c r="I1860">
        <v>9047.4500000000007</v>
      </c>
      <c r="J1860">
        <v>3</v>
      </c>
      <c r="K1860" s="14" t="s">
        <v>15</v>
      </c>
      <c r="L1860" s="14">
        <f>IF(OR(Table1[[#This Row],[Order_Status]]="Delivered",Table1[[#This Row],[Delivery_Date]]&lt;&gt;"Not Yet Delivered"),Table1[[#This Row],[Delivery_Date]]-Table1[[#This Row],[Order_Date]],"Not Applicable")</f>
        <v>29</v>
      </c>
      <c r="M1860" s="14">
        <f>Table1[[#This Row],[Unit_Cost]]-Table1[[#This Row],[Negotiated_Cost]]</f>
        <v>342</v>
      </c>
      <c r="N1860" s="18">
        <f>Table1[[#This Row],[Defective_Units]]/Table1[[#This Row],[Quantity]]</f>
        <v>6.6666666666666671E-3</v>
      </c>
      <c r="O1860" s="26">
        <f>(Table1[[#This Row],[Unit_Cost]]-Table1[[#This Row],[Negotiated_Cost]])/Table1[[#This Row],[Unit_Cost]]</f>
        <v>3.6423858692468669E-2</v>
      </c>
    </row>
    <row r="1861" spans="1:15" x14ac:dyDescent="0.25">
      <c r="A1861" t="s">
        <v>1896</v>
      </c>
      <c r="B1861" t="s">
        <v>35</v>
      </c>
      <c r="C1861" s="14" t="s">
        <v>24</v>
      </c>
      <c r="D1861" s="1">
        <v>45029</v>
      </c>
      <c r="E1861" s="13">
        <v>45053</v>
      </c>
      <c r="F1861" s="14" t="s">
        <v>14</v>
      </c>
      <c r="G1861">
        <v>304</v>
      </c>
      <c r="H1861">
        <v>12603.18</v>
      </c>
      <c r="I1861">
        <v>11935.12</v>
      </c>
      <c r="J1861">
        <v>4</v>
      </c>
      <c r="K1861" s="14" t="s">
        <v>15</v>
      </c>
      <c r="L1861" s="14">
        <f>IF(OR(Table1[[#This Row],[Order_Status]]="Delivered",Table1[[#This Row],[Delivery_Date]]&lt;&gt;"Not Yet Delivered"),Table1[[#This Row],[Delivery_Date]]-Table1[[#This Row],[Order_Date]],"Not Applicable")</f>
        <v>24</v>
      </c>
      <c r="M1861" s="14">
        <f>Table1[[#This Row],[Unit_Cost]]-Table1[[#This Row],[Negotiated_Cost]]</f>
        <v>668.05999999999949</v>
      </c>
      <c r="N1861" s="18">
        <f>Table1[[#This Row],[Defective_Units]]/Table1[[#This Row],[Quantity]]</f>
        <v>1.3157894736842105E-2</v>
      </c>
      <c r="O1861" s="26">
        <f>(Table1[[#This Row],[Unit_Cost]]-Table1[[#This Row],[Negotiated_Cost]])/Table1[[#This Row],[Unit_Cost]]</f>
        <v>5.3007256898655694E-2</v>
      </c>
    </row>
    <row r="1862" spans="1:15" x14ac:dyDescent="0.25">
      <c r="A1862" t="s">
        <v>1897</v>
      </c>
      <c r="B1862" t="s">
        <v>17</v>
      </c>
      <c r="C1862" s="14" t="s">
        <v>44</v>
      </c>
      <c r="D1862" s="1">
        <v>45489</v>
      </c>
      <c r="E1862" s="13">
        <v>45493</v>
      </c>
      <c r="F1862" s="14" t="s">
        <v>14</v>
      </c>
      <c r="G1862">
        <v>396</v>
      </c>
      <c r="H1862">
        <v>8182.47</v>
      </c>
      <c r="I1862">
        <v>7966.69</v>
      </c>
      <c r="J1862">
        <v>10</v>
      </c>
      <c r="K1862" s="14" t="s">
        <v>15</v>
      </c>
      <c r="L1862" s="14">
        <f>IF(OR(Table1[[#This Row],[Order_Status]]="Delivered",Table1[[#This Row],[Delivery_Date]]&lt;&gt;"Not Yet Delivered"),Table1[[#This Row],[Delivery_Date]]-Table1[[#This Row],[Order_Date]],"Not Applicable")</f>
        <v>4</v>
      </c>
      <c r="M1862" s="14">
        <f>Table1[[#This Row],[Unit_Cost]]-Table1[[#This Row],[Negotiated_Cost]]</f>
        <v>215.78000000000065</v>
      </c>
      <c r="N1862" s="18">
        <f>Table1[[#This Row],[Defective_Units]]/Table1[[#This Row],[Quantity]]</f>
        <v>2.5252525252525252E-2</v>
      </c>
      <c r="O1862" s="26">
        <f>(Table1[[#This Row],[Unit_Cost]]-Table1[[#This Row],[Negotiated_Cost]])/Table1[[#This Row],[Unit_Cost]]</f>
        <v>2.6371010220630282E-2</v>
      </c>
    </row>
    <row r="1863" spans="1:15" x14ac:dyDescent="0.25">
      <c r="A1863" t="s">
        <v>1898</v>
      </c>
      <c r="B1863" t="s">
        <v>46</v>
      </c>
      <c r="C1863" s="14" t="s">
        <v>30</v>
      </c>
      <c r="D1863" s="1">
        <v>45391</v>
      </c>
      <c r="E1863" s="13">
        <v>45417</v>
      </c>
      <c r="F1863" s="14" t="s">
        <v>14</v>
      </c>
      <c r="G1863">
        <v>91</v>
      </c>
      <c r="H1863">
        <v>871.39</v>
      </c>
      <c r="I1863">
        <v>869.46</v>
      </c>
      <c r="J1863">
        <v>0</v>
      </c>
      <c r="K1863" s="14" t="s">
        <v>15</v>
      </c>
      <c r="L1863" s="14">
        <f>IF(OR(Table1[[#This Row],[Order_Status]]="Delivered",Table1[[#This Row],[Delivery_Date]]&lt;&gt;"Not Yet Delivered"),Table1[[#This Row],[Delivery_Date]]-Table1[[#This Row],[Order_Date]],"Not Applicable")</f>
        <v>26</v>
      </c>
      <c r="M1863" s="14">
        <f>Table1[[#This Row],[Unit_Cost]]-Table1[[#This Row],[Negotiated_Cost]]</f>
        <v>1.92999999999995</v>
      </c>
      <c r="N1863" s="18">
        <f>Table1[[#This Row],[Defective_Units]]/Table1[[#This Row],[Quantity]]</f>
        <v>0</v>
      </c>
      <c r="O1863" s="26">
        <f>(Table1[[#This Row],[Unit_Cost]]-Table1[[#This Row],[Negotiated_Cost]])/Table1[[#This Row],[Unit_Cost]]</f>
        <v>2.2148521327992631E-3</v>
      </c>
    </row>
    <row r="1864" spans="1:15" x14ac:dyDescent="0.25">
      <c r="A1864" t="s">
        <v>1899</v>
      </c>
      <c r="B1864" t="s">
        <v>35</v>
      </c>
      <c r="C1864" s="14" t="s">
        <v>30</v>
      </c>
      <c r="D1864" s="1">
        <v>45202</v>
      </c>
      <c r="E1864" s="13">
        <v>45205</v>
      </c>
      <c r="F1864" s="14" t="s">
        <v>14</v>
      </c>
      <c r="G1864">
        <v>237</v>
      </c>
      <c r="H1864">
        <v>887.1</v>
      </c>
      <c r="I1864">
        <v>882.23</v>
      </c>
      <c r="J1864">
        <v>2</v>
      </c>
      <c r="K1864" s="14" t="s">
        <v>25</v>
      </c>
      <c r="L1864" s="14">
        <f>IF(OR(Table1[[#This Row],[Order_Status]]="Delivered",Table1[[#This Row],[Delivery_Date]]&lt;&gt;"Not Yet Delivered"),Table1[[#This Row],[Delivery_Date]]-Table1[[#This Row],[Order_Date]],"Not Applicable")</f>
        <v>3</v>
      </c>
      <c r="M1864" s="14">
        <f>Table1[[#This Row],[Unit_Cost]]-Table1[[#This Row],[Negotiated_Cost]]</f>
        <v>4.8700000000000045</v>
      </c>
      <c r="N1864" s="18">
        <f>Table1[[#This Row],[Defective_Units]]/Table1[[#This Row],[Quantity]]</f>
        <v>8.4388185654008432E-3</v>
      </c>
      <c r="O1864" s="26">
        <f>(Table1[[#This Row],[Unit_Cost]]-Table1[[#This Row],[Negotiated_Cost]])/Table1[[#This Row],[Unit_Cost]]</f>
        <v>5.4897982189155729E-3</v>
      </c>
    </row>
    <row r="1865" spans="1:15" x14ac:dyDescent="0.25">
      <c r="A1865" t="s">
        <v>1900</v>
      </c>
      <c r="B1865" t="s">
        <v>32</v>
      </c>
      <c r="C1865" s="14" t="s">
        <v>44</v>
      </c>
      <c r="D1865" s="1">
        <v>45277</v>
      </c>
      <c r="E1865" s="13">
        <v>45302</v>
      </c>
      <c r="F1865" s="14" t="s">
        <v>14</v>
      </c>
      <c r="G1865">
        <v>303</v>
      </c>
      <c r="H1865">
        <v>7755.77</v>
      </c>
      <c r="I1865">
        <v>7588.66</v>
      </c>
      <c r="J1865">
        <v>5</v>
      </c>
      <c r="K1865" s="14" t="s">
        <v>15</v>
      </c>
      <c r="L1865" s="14">
        <f>IF(OR(Table1[[#This Row],[Order_Status]]="Delivered",Table1[[#This Row],[Delivery_Date]]&lt;&gt;"Not Yet Delivered"),Table1[[#This Row],[Delivery_Date]]-Table1[[#This Row],[Order_Date]],"Not Applicable")</f>
        <v>25</v>
      </c>
      <c r="M1865" s="14">
        <f>Table1[[#This Row],[Unit_Cost]]-Table1[[#This Row],[Negotiated_Cost]]</f>
        <v>167.11000000000058</v>
      </c>
      <c r="N1865" s="18">
        <f>Table1[[#This Row],[Defective_Units]]/Table1[[#This Row],[Quantity]]</f>
        <v>1.65016501650165E-2</v>
      </c>
      <c r="O1865" s="26">
        <f>(Table1[[#This Row],[Unit_Cost]]-Table1[[#This Row],[Negotiated_Cost]])/Table1[[#This Row],[Unit_Cost]]</f>
        <v>2.154653889942592E-2</v>
      </c>
    </row>
    <row r="1866" spans="1:15" x14ac:dyDescent="0.25">
      <c r="A1866" t="s">
        <v>1901</v>
      </c>
      <c r="B1866" t="s">
        <v>27</v>
      </c>
      <c r="C1866" s="14" t="s">
        <v>24</v>
      </c>
      <c r="D1866" s="1">
        <v>45318</v>
      </c>
      <c r="E1866" s="13">
        <v>45328</v>
      </c>
      <c r="F1866" s="14" t="s">
        <v>14</v>
      </c>
      <c r="G1866">
        <v>356</v>
      </c>
      <c r="H1866">
        <v>12144.14</v>
      </c>
      <c r="I1866">
        <v>11987.7</v>
      </c>
      <c r="J1866">
        <v>8</v>
      </c>
      <c r="K1866" s="14" t="s">
        <v>15</v>
      </c>
      <c r="L1866" s="14">
        <f>IF(OR(Table1[[#This Row],[Order_Status]]="Delivered",Table1[[#This Row],[Delivery_Date]]&lt;&gt;"Not Yet Delivered"),Table1[[#This Row],[Delivery_Date]]-Table1[[#This Row],[Order_Date]],"Not Applicable")</f>
        <v>10</v>
      </c>
      <c r="M1866" s="14">
        <f>Table1[[#This Row],[Unit_Cost]]-Table1[[#This Row],[Negotiated_Cost]]</f>
        <v>156.43999999999869</v>
      </c>
      <c r="N1866" s="18">
        <f>Table1[[#This Row],[Defective_Units]]/Table1[[#This Row],[Quantity]]</f>
        <v>2.247191011235955E-2</v>
      </c>
      <c r="O1866" s="26">
        <f>(Table1[[#This Row],[Unit_Cost]]-Table1[[#This Row],[Negotiated_Cost]])/Table1[[#This Row],[Unit_Cost]]</f>
        <v>1.2881933179294598E-2</v>
      </c>
    </row>
    <row r="1867" spans="1:15" x14ac:dyDescent="0.25">
      <c r="A1867" t="s">
        <v>1902</v>
      </c>
      <c r="B1867" t="s">
        <v>27</v>
      </c>
      <c r="C1867" s="14" t="s">
        <v>55</v>
      </c>
      <c r="D1867" s="1">
        <v>45475</v>
      </c>
      <c r="E1867" s="13">
        <v>45503</v>
      </c>
      <c r="F1867" s="14" t="s">
        <v>14</v>
      </c>
      <c r="G1867">
        <v>86</v>
      </c>
      <c r="H1867">
        <v>15155.05</v>
      </c>
      <c r="I1867">
        <v>14383.93</v>
      </c>
      <c r="J1867">
        <v>0</v>
      </c>
      <c r="K1867" s="14" t="s">
        <v>15</v>
      </c>
      <c r="L1867" s="14">
        <f>IF(OR(Table1[[#This Row],[Order_Status]]="Delivered",Table1[[#This Row],[Delivery_Date]]&lt;&gt;"Not Yet Delivered"),Table1[[#This Row],[Delivery_Date]]-Table1[[#This Row],[Order_Date]],"Not Applicable")</f>
        <v>28</v>
      </c>
      <c r="M1867" s="14">
        <f>Table1[[#This Row],[Unit_Cost]]-Table1[[#This Row],[Negotiated_Cost]]</f>
        <v>771.11999999999898</v>
      </c>
      <c r="N1867" s="18">
        <f>Table1[[#This Row],[Defective_Units]]/Table1[[#This Row],[Quantity]]</f>
        <v>0</v>
      </c>
      <c r="O1867" s="26">
        <f>(Table1[[#This Row],[Unit_Cost]]-Table1[[#This Row],[Negotiated_Cost]])/Table1[[#This Row],[Unit_Cost]]</f>
        <v>5.0882049217917398E-2</v>
      </c>
    </row>
    <row r="1868" spans="1:15" x14ac:dyDescent="0.25">
      <c r="A1868" t="s">
        <v>1903</v>
      </c>
      <c r="B1868" t="s">
        <v>12</v>
      </c>
      <c r="C1868" s="14" t="s">
        <v>30</v>
      </c>
      <c r="D1868" s="1">
        <v>45482</v>
      </c>
      <c r="E1868" s="13">
        <v>45494</v>
      </c>
      <c r="F1868" s="14" t="s">
        <v>14</v>
      </c>
      <c r="G1868">
        <v>147</v>
      </c>
      <c r="H1868">
        <v>889.79</v>
      </c>
      <c r="I1868">
        <v>880.25</v>
      </c>
      <c r="J1868">
        <v>2</v>
      </c>
      <c r="K1868" s="14" t="s">
        <v>15</v>
      </c>
      <c r="L1868" s="14">
        <f>IF(OR(Table1[[#This Row],[Order_Status]]="Delivered",Table1[[#This Row],[Delivery_Date]]&lt;&gt;"Not Yet Delivered"),Table1[[#This Row],[Delivery_Date]]-Table1[[#This Row],[Order_Date]],"Not Applicable")</f>
        <v>12</v>
      </c>
      <c r="M1868" s="14">
        <f>Table1[[#This Row],[Unit_Cost]]-Table1[[#This Row],[Negotiated_Cost]]</f>
        <v>9.5399999999999636</v>
      </c>
      <c r="N1868" s="18">
        <f>Table1[[#This Row],[Defective_Units]]/Table1[[#This Row],[Quantity]]</f>
        <v>1.3605442176870748E-2</v>
      </c>
      <c r="O1868" s="26">
        <f>(Table1[[#This Row],[Unit_Cost]]-Table1[[#This Row],[Negotiated_Cost]])/Table1[[#This Row],[Unit_Cost]]</f>
        <v>1.0721630946627815E-2</v>
      </c>
    </row>
    <row r="1869" spans="1:15" x14ac:dyDescent="0.25">
      <c r="A1869" t="s">
        <v>1904</v>
      </c>
      <c r="B1869" t="s">
        <v>46</v>
      </c>
      <c r="C1869" s="14" t="s">
        <v>36</v>
      </c>
      <c r="D1869" s="1">
        <v>44998</v>
      </c>
      <c r="E1869" s="13">
        <v>45027</v>
      </c>
      <c r="F1869" s="14" t="s">
        <v>14</v>
      </c>
      <c r="G1869">
        <v>133</v>
      </c>
      <c r="H1869">
        <v>526.04999999999995</v>
      </c>
      <c r="I1869">
        <v>520.49</v>
      </c>
      <c r="J1869">
        <v>1</v>
      </c>
      <c r="K1869" s="14" t="s">
        <v>15</v>
      </c>
      <c r="L1869" s="14">
        <f>IF(OR(Table1[[#This Row],[Order_Status]]="Delivered",Table1[[#This Row],[Delivery_Date]]&lt;&gt;"Not Yet Delivered"),Table1[[#This Row],[Delivery_Date]]-Table1[[#This Row],[Order_Date]],"Not Applicable")</f>
        <v>29</v>
      </c>
      <c r="M1869" s="14">
        <f>Table1[[#This Row],[Unit_Cost]]-Table1[[#This Row],[Negotiated_Cost]]</f>
        <v>5.5599999999999454</v>
      </c>
      <c r="N1869" s="18">
        <f>Table1[[#This Row],[Defective_Units]]/Table1[[#This Row],[Quantity]]</f>
        <v>7.5187969924812026E-3</v>
      </c>
      <c r="O1869" s="26">
        <f>(Table1[[#This Row],[Unit_Cost]]-Table1[[#This Row],[Negotiated_Cost]])/Table1[[#This Row],[Unit_Cost]]</f>
        <v>1.0569337515445197E-2</v>
      </c>
    </row>
    <row r="1870" spans="1:15" x14ac:dyDescent="0.25">
      <c r="A1870" t="s">
        <v>1905</v>
      </c>
      <c r="B1870" t="s">
        <v>12</v>
      </c>
      <c r="C1870" s="14" t="s">
        <v>48</v>
      </c>
      <c r="D1870" s="1">
        <v>45524</v>
      </c>
      <c r="E1870" s="13">
        <v>45537</v>
      </c>
      <c r="F1870" s="14" t="s">
        <v>14</v>
      </c>
      <c r="G1870">
        <v>184</v>
      </c>
      <c r="H1870">
        <v>6444.22</v>
      </c>
      <c r="I1870">
        <v>6363.69</v>
      </c>
      <c r="J1870">
        <v>2</v>
      </c>
      <c r="K1870" s="14" t="s">
        <v>15</v>
      </c>
      <c r="L1870" s="14">
        <f>IF(OR(Table1[[#This Row],[Order_Status]]="Delivered",Table1[[#This Row],[Delivery_Date]]&lt;&gt;"Not Yet Delivered"),Table1[[#This Row],[Delivery_Date]]-Table1[[#This Row],[Order_Date]],"Not Applicable")</f>
        <v>13</v>
      </c>
      <c r="M1870" s="14">
        <f>Table1[[#This Row],[Unit_Cost]]-Table1[[#This Row],[Negotiated_Cost]]</f>
        <v>80.530000000000655</v>
      </c>
      <c r="N1870" s="18">
        <f>Table1[[#This Row],[Defective_Units]]/Table1[[#This Row],[Quantity]]</f>
        <v>1.0869565217391304E-2</v>
      </c>
      <c r="O1870" s="26">
        <f>(Table1[[#This Row],[Unit_Cost]]-Table1[[#This Row],[Negotiated_Cost]])/Table1[[#This Row],[Unit_Cost]]</f>
        <v>1.2496469704634642E-2</v>
      </c>
    </row>
    <row r="1871" spans="1:15" x14ac:dyDescent="0.25">
      <c r="A1871" t="s">
        <v>1906</v>
      </c>
      <c r="B1871" t="s">
        <v>35</v>
      </c>
      <c r="C1871" s="14" t="s">
        <v>48</v>
      </c>
      <c r="D1871" s="1">
        <v>45480</v>
      </c>
      <c r="E1871" s="13">
        <v>45508</v>
      </c>
      <c r="F1871" s="14" t="s">
        <v>14</v>
      </c>
      <c r="G1871">
        <v>47</v>
      </c>
      <c r="H1871">
        <v>6136.72</v>
      </c>
      <c r="I1871">
        <v>5869.51</v>
      </c>
      <c r="J1871">
        <v>1</v>
      </c>
      <c r="K1871" s="14" t="s">
        <v>15</v>
      </c>
      <c r="L1871" s="14">
        <f>IF(OR(Table1[[#This Row],[Order_Status]]="Delivered",Table1[[#This Row],[Delivery_Date]]&lt;&gt;"Not Yet Delivered"),Table1[[#This Row],[Delivery_Date]]-Table1[[#This Row],[Order_Date]],"Not Applicable")</f>
        <v>28</v>
      </c>
      <c r="M1871" s="14">
        <f>Table1[[#This Row],[Unit_Cost]]-Table1[[#This Row],[Negotiated_Cost]]</f>
        <v>267.21000000000004</v>
      </c>
      <c r="N1871" s="18">
        <f>Table1[[#This Row],[Defective_Units]]/Table1[[#This Row],[Quantity]]</f>
        <v>2.1276595744680851E-2</v>
      </c>
      <c r="O1871" s="26">
        <f>(Table1[[#This Row],[Unit_Cost]]-Table1[[#This Row],[Negotiated_Cost]])/Table1[[#This Row],[Unit_Cost]]</f>
        <v>4.3542804625272137E-2</v>
      </c>
    </row>
    <row r="1872" spans="1:15" x14ac:dyDescent="0.25">
      <c r="A1872" t="s">
        <v>1907</v>
      </c>
      <c r="B1872" t="s">
        <v>17</v>
      </c>
      <c r="C1872" s="14" t="s">
        <v>21</v>
      </c>
      <c r="D1872" s="1">
        <v>45503</v>
      </c>
      <c r="E1872" s="13">
        <v>45511</v>
      </c>
      <c r="F1872" s="14" t="s">
        <v>14</v>
      </c>
      <c r="G1872">
        <v>434</v>
      </c>
      <c r="H1872">
        <v>116.38</v>
      </c>
      <c r="I1872">
        <v>114.83</v>
      </c>
      <c r="J1872">
        <v>1</v>
      </c>
      <c r="K1872" s="14" t="s">
        <v>15</v>
      </c>
      <c r="L1872" s="14">
        <f>IF(OR(Table1[[#This Row],[Order_Status]]="Delivered",Table1[[#This Row],[Delivery_Date]]&lt;&gt;"Not Yet Delivered"),Table1[[#This Row],[Delivery_Date]]-Table1[[#This Row],[Order_Date]],"Not Applicable")</f>
        <v>8</v>
      </c>
      <c r="M1872" s="14">
        <f>Table1[[#This Row],[Unit_Cost]]-Table1[[#This Row],[Negotiated_Cost]]</f>
        <v>1.5499999999999972</v>
      </c>
      <c r="N1872" s="18">
        <f>Table1[[#This Row],[Defective_Units]]/Table1[[#This Row],[Quantity]]</f>
        <v>2.304147465437788E-3</v>
      </c>
      <c r="O1872" s="26">
        <f>(Table1[[#This Row],[Unit_Cost]]-Table1[[#This Row],[Negotiated_Cost]])/Table1[[#This Row],[Unit_Cost]]</f>
        <v>1.3318439594432008E-2</v>
      </c>
    </row>
    <row r="1873" spans="1:15" x14ac:dyDescent="0.25">
      <c r="A1873" t="s">
        <v>1908</v>
      </c>
      <c r="B1873" t="s">
        <v>46</v>
      </c>
      <c r="C1873" s="14" t="s">
        <v>18</v>
      </c>
      <c r="D1873" s="1">
        <v>44968</v>
      </c>
      <c r="E1873" s="14" t="s">
        <v>2057</v>
      </c>
      <c r="F1873" s="14" t="s">
        <v>22</v>
      </c>
      <c r="G1873">
        <v>439</v>
      </c>
      <c r="H1873">
        <v>4981.8</v>
      </c>
      <c r="I1873">
        <v>4802.21</v>
      </c>
      <c r="J1873">
        <v>2</v>
      </c>
      <c r="K1873" s="14" t="s">
        <v>15</v>
      </c>
      <c r="L1873" s="14" t="str">
        <f>IF(OR(Table1[[#This Row],[Order_Status]]="Delivered",Table1[[#This Row],[Delivery_Date]]&lt;&gt;"Not Yet Delivered"),Table1[[#This Row],[Delivery_Date]]-Table1[[#This Row],[Order_Date]],"Not Applicable")</f>
        <v>Not Applicable</v>
      </c>
      <c r="M1873" s="14">
        <f>Table1[[#This Row],[Unit_Cost]]-Table1[[#This Row],[Negotiated_Cost]]</f>
        <v>179.59000000000015</v>
      </c>
      <c r="N1873" s="18">
        <f>Table1[[#This Row],[Defective_Units]]/Table1[[#This Row],[Quantity]]</f>
        <v>4.5558086560364463E-3</v>
      </c>
      <c r="O1873" s="26">
        <f>(Table1[[#This Row],[Unit_Cost]]-Table1[[#This Row],[Negotiated_Cost]])/Table1[[#This Row],[Unit_Cost]]</f>
        <v>3.604921915773418E-2</v>
      </c>
    </row>
    <row r="1874" spans="1:15" x14ac:dyDescent="0.25">
      <c r="A1874" t="s">
        <v>1909</v>
      </c>
      <c r="B1874" t="s">
        <v>17</v>
      </c>
      <c r="C1874" s="14" t="s">
        <v>18</v>
      </c>
      <c r="D1874" s="1">
        <v>45534</v>
      </c>
      <c r="E1874" s="13">
        <v>45539</v>
      </c>
      <c r="F1874" s="14" t="s">
        <v>14</v>
      </c>
      <c r="G1874">
        <v>396</v>
      </c>
      <c r="H1874">
        <v>4785.95</v>
      </c>
      <c r="I1874">
        <v>4684.16</v>
      </c>
      <c r="J1874">
        <v>8</v>
      </c>
      <c r="K1874" s="14" t="s">
        <v>15</v>
      </c>
      <c r="L1874" s="14">
        <f>IF(OR(Table1[[#This Row],[Order_Status]]="Delivered",Table1[[#This Row],[Delivery_Date]]&lt;&gt;"Not Yet Delivered"),Table1[[#This Row],[Delivery_Date]]-Table1[[#This Row],[Order_Date]],"Not Applicable")</f>
        <v>5</v>
      </c>
      <c r="M1874" s="14">
        <f>Table1[[#This Row],[Unit_Cost]]-Table1[[#This Row],[Negotiated_Cost]]</f>
        <v>101.78999999999996</v>
      </c>
      <c r="N1874" s="18">
        <f>Table1[[#This Row],[Defective_Units]]/Table1[[#This Row],[Quantity]]</f>
        <v>2.0202020202020204E-2</v>
      </c>
      <c r="O1874" s="26">
        <f>(Table1[[#This Row],[Unit_Cost]]-Table1[[#This Row],[Negotiated_Cost]])/Table1[[#This Row],[Unit_Cost]]</f>
        <v>2.1268504685590106E-2</v>
      </c>
    </row>
    <row r="1875" spans="1:15" x14ac:dyDescent="0.25">
      <c r="A1875" t="s">
        <v>1910</v>
      </c>
      <c r="B1875" t="s">
        <v>32</v>
      </c>
      <c r="C1875" s="14" t="s">
        <v>18</v>
      </c>
      <c r="D1875" s="1">
        <v>45135</v>
      </c>
      <c r="E1875" s="14" t="s">
        <v>2057</v>
      </c>
      <c r="F1875" s="14" t="s">
        <v>22</v>
      </c>
      <c r="G1875">
        <v>221</v>
      </c>
      <c r="H1875">
        <v>4793.79</v>
      </c>
      <c r="I1875">
        <v>4519.3100000000004</v>
      </c>
      <c r="J1875">
        <v>2</v>
      </c>
      <c r="K1875" s="14" t="s">
        <v>15</v>
      </c>
      <c r="L1875" s="14" t="str">
        <f>IF(OR(Table1[[#This Row],[Order_Status]]="Delivered",Table1[[#This Row],[Delivery_Date]]&lt;&gt;"Not Yet Delivered"),Table1[[#This Row],[Delivery_Date]]-Table1[[#This Row],[Order_Date]],"Not Applicable")</f>
        <v>Not Applicable</v>
      </c>
      <c r="M1875" s="14">
        <f>Table1[[#This Row],[Unit_Cost]]-Table1[[#This Row],[Negotiated_Cost]]</f>
        <v>274.47999999999956</v>
      </c>
      <c r="N1875" s="18">
        <f>Table1[[#This Row],[Defective_Units]]/Table1[[#This Row],[Quantity]]</f>
        <v>9.0497737556561094E-3</v>
      </c>
      <c r="O1875" s="26">
        <f>(Table1[[#This Row],[Unit_Cost]]-Table1[[#This Row],[Negotiated_Cost]])/Table1[[#This Row],[Unit_Cost]]</f>
        <v>5.7257410107660028E-2</v>
      </c>
    </row>
    <row r="1876" spans="1:15" x14ac:dyDescent="0.25">
      <c r="A1876" t="s">
        <v>1911</v>
      </c>
      <c r="B1876" t="s">
        <v>12</v>
      </c>
      <c r="C1876" s="14" t="s">
        <v>44</v>
      </c>
      <c r="D1876" s="1">
        <v>44929</v>
      </c>
      <c r="E1876" s="13">
        <v>44934</v>
      </c>
      <c r="F1876" s="14" t="s">
        <v>14</v>
      </c>
      <c r="G1876">
        <v>6</v>
      </c>
      <c r="H1876">
        <v>9234.7099999999991</v>
      </c>
      <c r="I1876">
        <v>9215.0499999999993</v>
      </c>
      <c r="J1876">
        <v>0</v>
      </c>
      <c r="K1876" s="14" t="s">
        <v>15</v>
      </c>
      <c r="L1876" s="14">
        <f>IF(OR(Table1[[#This Row],[Order_Status]]="Delivered",Table1[[#This Row],[Delivery_Date]]&lt;&gt;"Not Yet Delivered"),Table1[[#This Row],[Delivery_Date]]-Table1[[#This Row],[Order_Date]],"Not Applicable")</f>
        <v>5</v>
      </c>
      <c r="M1876" s="14">
        <f>Table1[[#This Row],[Unit_Cost]]-Table1[[#This Row],[Negotiated_Cost]]</f>
        <v>19.659999999999854</v>
      </c>
      <c r="N1876" s="18">
        <f>Table1[[#This Row],[Defective_Units]]/Table1[[#This Row],[Quantity]]</f>
        <v>0</v>
      </c>
      <c r="O1876" s="26">
        <f>(Table1[[#This Row],[Unit_Cost]]-Table1[[#This Row],[Negotiated_Cost]])/Table1[[#This Row],[Unit_Cost]]</f>
        <v>2.1289244599992699E-3</v>
      </c>
    </row>
    <row r="1877" spans="1:15" x14ac:dyDescent="0.25">
      <c r="A1877" t="s">
        <v>1912</v>
      </c>
      <c r="B1877" t="s">
        <v>12</v>
      </c>
      <c r="C1877" s="14" t="s">
        <v>44</v>
      </c>
      <c r="D1877" s="1">
        <v>45080</v>
      </c>
      <c r="E1877" s="13">
        <v>45096</v>
      </c>
      <c r="F1877" s="14" t="s">
        <v>14</v>
      </c>
      <c r="G1877">
        <v>416</v>
      </c>
      <c r="H1877">
        <v>9176.09</v>
      </c>
      <c r="I1877">
        <v>8901.3700000000008</v>
      </c>
      <c r="J1877">
        <v>7</v>
      </c>
      <c r="K1877" s="14" t="s">
        <v>25</v>
      </c>
      <c r="L1877" s="14">
        <f>IF(OR(Table1[[#This Row],[Order_Status]]="Delivered",Table1[[#This Row],[Delivery_Date]]&lt;&gt;"Not Yet Delivered"),Table1[[#This Row],[Delivery_Date]]-Table1[[#This Row],[Order_Date]],"Not Applicable")</f>
        <v>16</v>
      </c>
      <c r="M1877" s="14">
        <f>Table1[[#This Row],[Unit_Cost]]-Table1[[#This Row],[Negotiated_Cost]]</f>
        <v>274.71999999999935</v>
      </c>
      <c r="N1877" s="18">
        <f>Table1[[#This Row],[Defective_Units]]/Table1[[#This Row],[Quantity]]</f>
        <v>1.6826923076923076E-2</v>
      </c>
      <c r="O1877" s="26">
        <f>(Table1[[#This Row],[Unit_Cost]]-Table1[[#This Row],[Negotiated_Cost]])/Table1[[#This Row],[Unit_Cost]]</f>
        <v>2.99386775848972E-2</v>
      </c>
    </row>
    <row r="1878" spans="1:15" x14ac:dyDescent="0.25">
      <c r="A1878" t="s">
        <v>1913</v>
      </c>
      <c r="B1878" t="s">
        <v>12</v>
      </c>
      <c r="C1878" s="14" t="s">
        <v>55</v>
      </c>
      <c r="D1878" s="1">
        <v>44941</v>
      </c>
      <c r="E1878" s="13">
        <v>44968</v>
      </c>
      <c r="F1878" s="14" t="s">
        <v>14</v>
      </c>
      <c r="G1878">
        <v>277</v>
      </c>
      <c r="H1878">
        <v>15869.81</v>
      </c>
      <c r="I1878">
        <v>15219.91</v>
      </c>
      <c r="J1878">
        <v>1</v>
      </c>
      <c r="K1878" s="14" t="s">
        <v>15</v>
      </c>
      <c r="L1878" s="14">
        <f>IF(OR(Table1[[#This Row],[Order_Status]]="Delivered",Table1[[#This Row],[Delivery_Date]]&lt;&gt;"Not Yet Delivered"),Table1[[#This Row],[Delivery_Date]]-Table1[[#This Row],[Order_Date]],"Not Applicable")</f>
        <v>27</v>
      </c>
      <c r="M1878" s="14">
        <f>Table1[[#This Row],[Unit_Cost]]-Table1[[#This Row],[Negotiated_Cost]]</f>
        <v>649.89999999999964</v>
      </c>
      <c r="N1878" s="18">
        <f>Table1[[#This Row],[Defective_Units]]/Table1[[#This Row],[Quantity]]</f>
        <v>3.6101083032490976E-3</v>
      </c>
      <c r="O1878" s="26">
        <f>(Table1[[#This Row],[Unit_Cost]]-Table1[[#This Row],[Negotiated_Cost]])/Table1[[#This Row],[Unit_Cost]]</f>
        <v>4.0951971069596908E-2</v>
      </c>
    </row>
    <row r="1879" spans="1:15" x14ac:dyDescent="0.25">
      <c r="A1879" t="s">
        <v>1914</v>
      </c>
      <c r="B1879" t="s">
        <v>12</v>
      </c>
      <c r="C1879" s="14" t="s">
        <v>50</v>
      </c>
      <c r="D1879" s="1">
        <v>45172</v>
      </c>
      <c r="E1879" s="13">
        <v>45184</v>
      </c>
      <c r="F1879" s="14" t="s">
        <v>37</v>
      </c>
      <c r="G1879">
        <v>395</v>
      </c>
      <c r="H1879">
        <v>56149.919999999998</v>
      </c>
      <c r="I1879">
        <v>53075.54</v>
      </c>
      <c r="J1879">
        <v>3</v>
      </c>
      <c r="K1879" s="14" t="s">
        <v>15</v>
      </c>
      <c r="L1879" s="14">
        <f>IF(OR(Table1[[#This Row],[Order_Status]]="Delivered",Table1[[#This Row],[Delivery_Date]]&lt;&gt;"Not Yet Delivered"),Table1[[#This Row],[Delivery_Date]]-Table1[[#This Row],[Order_Date]],"Not Applicable")</f>
        <v>12</v>
      </c>
      <c r="M1879" s="14">
        <f>Table1[[#This Row],[Unit_Cost]]-Table1[[#This Row],[Negotiated_Cost]]</f>
        <v>3074.3799999999974</v>
      </c>
      <c r="N1879" s="18">
        <f>Table1[[#This Row],[Defective_Units]]/Table1[[#This Row],[Quantity]]</f>
        <v>7.5949367088607592E-3</v>
      </c>
      <c r="O1879" s="26">
        <f>(Table1[[#This Row],[Unit_Cost]]-Table1[[#This Row],[Negotiated_Cost]])/Table1[[#This Row],[Unit_Cost]]</f>
        <v>5.4753061090737042E-2</v>
      </c>
    </row>
    <row r="1880" spans="1:15" x14ac:dyDescent="0.25">
      <c r="A1880" t="s">
        <v>1915</v>
      </c>
      <c r="B1880" t="s">
        <v>35</v>
      </c>
      <c r="C1880" s="14" t="s">
        <v>50</v>
      </c>
      <c r="D1880" s="1">
        <v>45541</v>
      </c>
      <c r="E1880" s="13">
        <v>45563</v>
      </c>
      <c r="F1880" s="14" t="s">
        <v>14</v>
      </c>
      <c r="G1880">
        <v>318</v>
      </c>
      <c r="H1880">
        <v>53760.89</v>
      </c>
      <c r="I1880">
        <v>53618.35</v>
      </c>
      <c r="J1880">
        <v>8</v>
      </c>
      <c r="K1880" s="14" t="s">
        <v>15</v>
      </c>
      <c r="L1880" s="14">
        <f>IF(OR(Table1[[#This Row],[Order_Status]]="Delivered",Table1[[#This Row],[Delivery_Date]]&lt;&gt;"Not Yet Delivered"),Table1[[#This Row],[Delivery_Date]]-Table1[[#This Row],[Order_Date]],"Not Applicable")</f>
        <v>22</v>
      </c>
      <c r="M1880" s="14">
        <f>Table1[[#This Row],[Unit_Cost]]-Table1[[#This Row],[Negotiated_Cost]]</f>
        <v>142.54000000000087</v>
      </c>
      <c r="N1880" s="18">
        <f>Table1[[#This Row],[Defective_Units]]/Table1[[#This Row],[Quantity]]</f>
        <v>2.5157232704402517E-2</v>
      </c>
      <c r="O1880" s="26">
        <f>(Table1[[#This Row],[Unit_Cost]]-Table1[[#This Row],[Negotiated_Cost]])/Table1[[#This Row],[Unit_Cost]]</f>
        <v>2.6513697968913994E-3</v>
      </c>
    </row>
    <row r="1881" spans="1:15" x14ac:dyDescent="0.25">
      <c r="A1881" t="s">
        <v>1916</v>
      </c>
      <c r="B1881" t="s">
        <v>17</v>
      </c>
      <c r="C1881" s="14" t="s">
        <v>48</v>
      </c>
      <c r="D1881" s="1">
        <v>45451</v>
      </c>
      <c r="E1881" s="13">
        <v>45476</v>
      </c>
      <c r="F1881" s="14" t="s">
        <v>14</v>
      </c>
      <c r="G1881">
        <v>323</v>
      </c>
      <c r="H1881">
        <v>6322.52</v>
      </c>
      <c r="I1881">
        <v>6008.28</v>
      </c>
      <c r="J1881">
        <v>6</v>
      </c>
      <c r="K1881" s="14" t="s">
        <v>15</v>
      </c>
      <c r="L1881" s="14">
        <f>IF(OR(Table1[[#This Row],[Order_Status]]="Delivered",Table1[[#This Row],[Delivery_Date]]&lt;&gt;"Not Yet Delivered"),Table1[[#This Row],[Delivery_Date]]-Table1[[#This Row],[Order_Date]],"Not Applicable")</f>
        <v>25</v>
      </c>
      <c r="M1881" s="14">
        <f>Table1[[#This Row],[Unit_Cost]]-Table1[[#This Row],[Negotiated_Cost]]</f>
        <v>314.24000000000069</v>
      </c>
      <c r="N1881" s="18">
        <f>Table1[[#This Row],[Defective_Units]]/Table1[[#This Row],[Quantity]]</f>
        <v>1.8575851393188854E-2</v>
      </c>
      <c r="O1881" s="26">
        <f>(Table1[[#This Row],[Unit_Cost]]-Table1[[#This Row],[Negotiated_Cost]])/Table1[[#This Row],[Unit_Cost]]</f>
        <v>4.9701701220399568E-2</v>
      </c>
    </row>
    <row r="1882" spans="1:15" x14ac:dyDescent="0.25">
      <c r="A1882" t="s">
        <v>1917</v>
      </c>
      <c r="B1882" t="s">
        <v>17</v>
      </c>
      <c r="C1882" s="14" t="s">
        <v>21</v>
      </c>
      <c r="D1882" s="1">
        <v>45395</v>
      </c>
      <c r="E1882" s="14" t="s">
        <v>2057</v>
      </c>
      <c r="F1882" s="14" t="s">
        <v>22</v>
      </c>
      <c r="G1882">
        <v>73</v>
      </c>
      <c r="H1882">
        <v>113.97</v>
      </c>
      <c r="I1882">
        <v>111.46</v>
      </c>
      <c r="J1882">
        <v>2</v>
      </c>
      <c r="K1882" s="14" t="s">
        <v>15</v>
      </c>
      <c r="L1882" s="14" t="str">
        <f>IF(OR(Table1[[#This Row],[Order_Status]]="Delivered",Table1[[#This Row],[Delivery_Date]]&lt;&gt;"Not Yet Delivered"),Table1[[#This Row],[Delivery_Date]]-Table1[[#This Row],[Order_Date]],"Not Applicable")</f>
        <v>Not Applicable</v>
      </c>
      <c r="M1882" s="14">
        <f>Table1[[#This Row],[Unit_Cost]]-Table1[[#This Row],[Negotiated_Cost]]</f>
        <v>2.5100000000000051</v>
      </c>
      <c r="N1882" s="18">
        <f>Table1[[#This Row],[Defective_Units]]/Table1[[#This Row],[Quantity]]</f>
        <v>2.7397260273972601E-2</v>
      </c>
      <c r="O1882" s="26">
        <f>(Table1[[#This Row],[Unit_Cost]]-Table1[[#This Row],[Negotiated_Cost]])/Table1[[#This Row],[Unit_Cost]]</f>
        <v>2.2023339475300562E-2</v>
      </c>
    </row>
    <row r="1883" spans="1:15" x14ac:dyDescent="0.25">
      <c r="A1883" t="s">
        <v>1918</v>
      </c>
      <c r="B1883" t="s">
        <v>17</v>
      </c>
      <c r="C1883" s="14" t="s">
        <v>30</v>
      </c>
      <c r="D1883" s="1">
        <v>45127</v>
      </c>
      <c r="E1883" s="13">
        <v>45133</v>
      </c>
      <c r="F1883" s="14" t="s">
        <v>37</v>
      </c>
      <c r="G1883">
        <v>458</v>
      </c>
      <c r="H1883">
        <v>827.76</v>
      </c>
      <c r="I1883">
        <v>787.82</v>
      </c>
      <c r="J1883">
        <v>5</v>
      </c>
      <c r="K1883" s="14" t="s">
        <v>15</v>
      </c>
      <c r="L1883" s="14">
        <f>IF(OR(Table1[[#This Row],[Order_Status]]="Delivered",Table1[[#This Row],[Delivery_Date]]&lt;&gt;"Not Yet Delivered"),Table1[[#This Row],[Delivery_Date]]-Table1[[#This Row],[Order_Date]],"Not Applicable")</f>
        <v>6</v>
      </c>
      <c r="M1883" s="14">
        <f>Table1[[#This Row],[Unit_Cost]]-Table1[[#This Row],[Negotiated_Cost]]</f>
        <v>39.939999999999941</v>
      </c>
      <c r="N1883" s="18">
        <f>Table1[[#This Row],[Defective_Units]]/Table1[[#This Row],[Quantity]]</f>
        <v>1.0917030567685589E-2</v>
      </c>
      <c r="O1883" s="26">
        <f>(Table1[[#This Row],[Unit_Cost]]-Table1[[#This Row],[Negotiated_Cost]])/Table1[[#This Row],[Unit_Cost]]</f>
        <v>4.8250700686189162E-2</v>
      </c>
    </row>
    <row r="1884" spans="1:15" x14ac:dyDescent="0.25">
      <c r="A1884" t="s">
        <v>1919</v>
      </c>
      <c r="B1884" t="s">
        <v>17</v>
      </c>
      <c r="C1884" s="14" t="s">
        <v>50</v>
      </c>
      <c r="D1884" s="1">
        <v>45033</v>
      </c>
      <c r="E1884" s="13">
        <v>45052</v>
      </c>
      <c r="F1884" s="14" t="s">
        <v>14</v>
      </c>
      <c r="G1884">
        <v>269</v>
      </c>
      <c r="H1884">
        <v>49795.839999999997</v>
      </c>
      <c r="I1884">
        <v>48049.45</v>
      </c>
      <c r="J1884">
        <v>0</v>
      </c>
      <c r="K1884" s="14" t="s">
        <v>15</v>
      </c>
      <c r="L1884" s="14">
        <f>IF(OR(Table1[[#This Row],[Order_Status]]="Delivered",Table1[[#This Row],[Delivery_Date]]&lt;&gt;"Not Yet Delivered"),Table1[[#This Row],[Delivery_Date]]-Table1[[#This Row],[Order_Date]],"Not Applicable")</f>
        <v>19</v>
      </c>
      <c r="M1884" s="14">
        <f>Table1[[#This Row],[Unit_Cost]]-Table1[[#This Row],[Negotiated_Cost]]</f>
        <v>1746.3899999999994</v>
      </c>
      <c r="N1884" s="18">
        <f>Table1[[#This Row],[Defective_Units]]/Table1[[#This Row],[Quantity]]</f>
        <v>0</v>
      </c>
      <c r="O1884" s="26">
        <f>(Table1[[#This Row],[Unit_Cost]]-Table1[[#This Row],[Negotiated_Cost]])/Table1[[#This Row],[Unit_Cost]]</f>
        <v>3.5071001915019398E-2</v>
      </c>
    </row>
    <row r="1885" spans="1:15" x14ac:dyDescent="0.25">
      <c r="A1885" t="s">
        <v>1920</v>
      </c>
      <c r="B1885" t="s">
        <v>32</v>
      </c>
      <c r="C1885" s="14" t="s">
        <v>13</v>
      </c>
      <c r="D1885" s="1">
        <v>45240</v>
      </c>
      <c r="E1885" s="13">
        <v>45266</v>
      </c>
      <c r="F1885" s="14" t="s">
        <v>14</v>
      </c>
      <c r="G1885">
        <v>308</v>
      </c>
      <c r="H1885">
        <v>3948.48</v>
      </c>
      <c r="I1885">
        <v>3815.98</v>
      </c>
      <c r="J1885">
        <v>2</v>
      </c>
      <c r="K1885" s="14" t="s">
        <v>15</v>
      </c>
      <c r="L1885" s="14">
        <f>IF(OR(Table1[[#This Row],[Order_Status]]="Delivered",Table1[[#This Row],[Delivery_Date]]&lt;&gt;"Not Yet Delivered"),Table1[[#This Row],[Delivery_Date]]-Table1[[#This Row],[Order_Date]],"Not Applicable")</f>
        <v>26</v>
      </c>
      <c r="M1885" s="14">
        <f>Table1[[#This Row],[Unit_Cost]]-Table1[[#This Row],[Negotiated_Cost]]</f>
        <v>132.5</v>
      </c>
      <c r="N1885" s="18">
        <f>Table1[[#This Row],[Defective_Units]]/Table1[[#This Row],[Quantity]]</f>
        <v>6.4935064935064939E-3</v>
      </c>
      <c r="O1885" s="26">
        <f>(Table1[[#This Row],[Unit_Cost]]-Table1[[#This Row],[Negotiated_Cost]])/Table1[[#This Row],[Unit_Cost]]</f>
        <v>3.3557216954372318E-2</v>
      </c>
    </row>
    <row r="1886" spans="1:15" x14ac:dyDescent="0.25">
      <c r="A1886" t="s">
        <v>1921</v>
      </c>
      <c r="B1886" t="s">
        <v>35</v>
      </c>
      <c r="C1886" s="14" t="s">
        <v>36</v>
      </c>
      <c r="D1886" s="1">
        <v>44952</v>
      </c>
      <c r="E1886" s="14" t="s">
        <v>2057</v>
      </c>
      <c r="F1886" s="14" t="s">
        <v>33</v>
      </c>
      <c r="G1886">
        <v>439</v>
      </c>
      <c r="H1886">
        <v>549.71</v>
      </c>
      <c r="I1886">
        <v>517.15</v>
      </c>
      <c r="J1886">
        <v>2</v>
      </c>
      <c r="K1886" s="14" t="s">
        <v>15</v>
      </c>
      <c r="L1886" s="14" t="str">
        <f>IF(OR(Table1[[#This Row],[Order_Status]]="Delivered",Table1[[#This Row],[Delivery_Date]]&lt;&gt;"Not Yet Delivered"),Table1[[#This Row],[Delivery_Date]]-Table1[[#This Row],[Order_Date]],"Not Applicable")</f>
        <v>Not Applicable</v>
      </c>
      <c r="M1886" s="14">
        <f>Table1[[#This Row],[Unit_Cost]]-Table1[[#This Row],[Negotiated_Cost]]</f>
        <v>32.560000000000059</v>
      </c>
      <c r="N1886" s="18">
        <f>Table1[[#This Row],[Defective_Units]]/Table1[[#This Row],[Quantity]]</f>
        <v>4.5558086560364463E-3</v>
      </c>
      <c r="O1886" s="26">
        <f>(Table1[[#This Row],[Unit_Cost]]-Table1[[#This Row],[Negotiated_Cost]])/Table1[[#This Row],[Unit_Cost]]</f>
        <v>5.92312310127159E-2</v>
      </c>
    </row>
    <row r="1887" spans="1:15" x14ac:dyDescent="0.25">
      <c r="A1887" t="s">
        <v>1922</v>
      </c>
      <c r="B1887" t="s">
        <v>12</v>
      </c>
      <c r="C1887" s="14" t="s">
        <v>30</v>
      </c>
      <c r="D1887" s="1">
        <v>45255</v>
      </c>
      <c r="E1887" s="13">
        <v>45279</v>
      </c>
      <c r="F1887" s="14" t="s">
        <v>14</v>
      </c>
      <c r="G1887">
        <v>140</v>
      </c>
      <c r="H1887">
        <v>991.04</v>
      </c>
      <c r="I1887">
        <v>945.52</v>
      </c>
      <c r="J1887">
        <v>3</v>
      </c>
      <c r="K1887" s="14" t="s">
        <v>15</v>
      </c>
      <c r="L1887" s="14">
        <f>IF(OR(Table1[[#This Row],[Order_Status]]="Delivered",Table1[[#This Row],[Delivery_Date]]&lt;&gt;"Not Yet Delivered"),Table1[[#This Row],[Delivery_Date]]-Table1[[#This Row],[Order_Date]],"Not Applicable")</f>
        <v>24</v>
      </c>
      <c r="M1887" s="14">
        <f>Table1[[#This Row],[Unit_Cost]]-Table1[[#This Row],[Negotiated_Cost]]</f>
        <v>45.519999999999982</v>
      </c>
      <c r="N1887" s="18">
        <f>Table1[[#This Row],[Defective_Units]]/Table1[[#This Row],[Quantity]]</f>
        <v>2.1428571428571429E-2</v>
      </c>
      <c r="O1887" s="26">
        <f>(Table1[[#This Row],[Unit_Cost]]-Table1[[#This Row],[Negotiated_Cost]])/Table1[[#This Row],[Unit_Cost]]</f>
        <v>4.5931546658056169E-2</v>
      </c>
    </row>
    <row r="1888" spans="1:15" x14ac:dyDescent="0.25">
      <c r="A1888" t="s">
        <v>1923</v>
      </c>
      <c r="B1888" t="s">
        <v>20</v>
      </c>
      <c r="C1888" s="14" t="s">
        <v>42</v>
      </c>
      <c r="D1888" s="1">
        <v>45336</v>
      </c>
      <c r="E1888" s="13">
        <v>45359</v>
      </c>
      <c r="F1888" s="14" t="s">
        <v>14</v>
      </c>
      <c r="G1888">
        <v>133</v>
      </c>
      <c r="H1888">
        <v>12109.14</v>
      </c>
      <c r="I1888">
        <v>11456.72</v>
      </c>
      <c r="J1888">
        <v>3</v>
      </c>
      <c r="K1888" s="14" t="s">
        <v>15</v>
      </c>
      <c r="L1888" s="14">
        <f>IF(OR(Table1[[#This Row],[Order_Status]]="Delivered",Table1[[#This Row],[Delivery_Date]]&lt;&gt;"Not Yet Delivered"),Table1[[#This Row],[Delivery_Date]]-Table1[[#This Row],[Order_Date]],"Not Applicable")</f>
        <v>23</v>
      </c>
      <c r="M1888" s="14">
        <f>Table1[[#This Row],[Unit_Cost]]-Table1[[#This Row],[Negotiated_Cost]]</f>
        <v>652.42000000000007</v>
      </c>
      <c r="N1888" s="18">
        <f>Table1[[#This Row],[Defective_Units]]/Table1[[#This Row],[Quantity]]</f>
        <v>2.2556390977443608E-2</v>
      </c>
      <c r="O1888" s="26">
        <f>(Table1[[#This Row],[Unit_Cost]]-Table1[[#This Row],[Negotiated_Cost]])/Table1[[#This Row],[Unit_Cost]]</f>
        <v>5.3878310102947038E-2</v>
      </c>
    </row>
    <row r="1889" spans="1:15" x14ac:dyDescent="0.25">
      <c r="A1889" t="s">
        <v>1924</v>
      </c>
      <c r="B1889" t="s">
        <v>32</v>
      </c>
      <c r="C1889" s="14" t="s">
        <v>18</v>
      </c>
      <c r="D1889" s="1">
        <v>45247</v>
      </c>
      <c r="E1889" s="13">
        <v>45266</v>
      </c>
      <c r="F1889" s="14" t="s">
        <v>14</v>
      </c>
      <c r="G1889">
        <v>211</v>
      </c>
      <c r="H1889">
        <v>4928.51</v>
      </c>
      <c r="I1889">
        <v>4853.6899999999996</v>
      </c>
      <c r="J1889">
        <v>0</v>
      </c>
      <c r="K1889" s="14" t="s">
        <v>15</v>
      </c>
      <c r="L1889" s="14">
        <f>IF(OR(Table1[[#This Row],[Order_Status]]="Delivered",Table1[[#This Row],[Delivery_Date]]&lt;&gt;"Not Yet Delivered"),Table1[[#This Row],[Delivery_Date]]-Table1[[#This Row],[Order_Date]],"Not Applicable")</f>
        <v>19</v>
      </c>
      <c r="M1889" s="14">
        <f>Table1[[#This Row],[Unit_Cost]]-Table1[[#This Row],[Negotiated_Cost]]</f>
        <v>74.820000000000618</v>
      </c>
      <c r="N1889" s="18">
        <f>Table1[[#This Row],[Defective_Units]]/Table1[[#This Row],[Quantity]]</f>
        <v>0</v>
      </c>
      <c r="O1889" s="26">
        <f>(Table1[[#This Row],[Unit_Cost]]-Table1[[#This Row],[Negotiated_Cost]])/Table1[[#This Row],[Unit_Cost]]</f>
        <v>1.5181058778413884E-2</v>
      </c>
    </row>
    <row r="1890" spans="1:15" x14ac:dyDescent="0.25">
      <c r="A1890" t="s">
        <v>1925</v>
      </c>
      <c r="B1890" t="s">
        <v>27</v>
      </c>
      <c r="C1890" s="14" t="s">
        <v>50</v>
      </c>
      <c r="D1890" s="1">
        <v>45615</v>
      </c>
      <c r="E1890" s="13">
        <v>45628</v>
      </c>
      <c r="F1890" s="14" t="s">
        <v>14</v>
      </c>
      <c r="G1890">
        <v>282</v>
      </c>
      <c r="H1890">
        <v>53082</v>
      </c>
      <c r="I1890">
        <v>52733.14</v>
      </c>
      <c r="J1890">
        <v>2</v>
      </c>
      <c r="K1890" s="14" t="s">
        <v>15</v>
      </c>
      <c r="L1890" s="14">
        <f>IF(OR(Table1[[#This Row],[Order_Status]]="Delivered",Table1[[#This Row],[Delivery_Date]]&lt;&gt;"Not Yet Delivered"),Table1[[#This Row],[Delivery_Date]]-Table1[[#This Row],[Order_Date]],"Not Applicable")</f>
        <v>13</v>
      </c>
      <c r="M1890" s="14">
        <f>Table1[[#This Row],[Unit_Cost]]-Table1[[#This Row],[Negotiated_Cost]]</f>
        <v>348.86000000000058</v>
      </c>
      <c r="N1890" s="18">
        <f>Table1[[#This Row],[Defective_Units]]/Table1[[#This Row],[Quantity]]</f>
        <v>7.0921985815602835E-3</v>
      </c>
      <c r="O1890" s="26">
        <f>(Table1[[#This Row],[Unit_Cost]]-Table1[[#This Row],[Negotiated_Cost]])/Table1[[#This Row],[Unit_Cost]]</f>
        <v>6.5720960024113744E-3</v>
      </c>
    </row>
    <row r="1891" spans="1:15" x14ac:dyDescent="0.25">
      <c r="A1891" t="s">
        <v>1926</v>
      </c>
      <c r="B1891" t="s">
        <v>40</v>
      </c>
      <c r="C1891" s="14" t="s">
        <v>28</v>
      </c>
      <c r="D1891" s="1">
        <v>45284</v>
      </c>
      <c r="E1891" s="13">
        <v>45302</v>
      </c>
      <c r="F1891" s="14" t="s">
        <v>14</v>
      </c>
      <c r="G1891">
        <v>459</v>
      </c>
      <c r="H1891">
        <v>53862.33</v>
      </c>
      <c r="I1891">
        <v>50738.2</v>
      </c>
      <c r="J1891">
        <v>0</v>
      </c>
      <c r="K1891" s="14" t="s">
        <v>15</v>
      </c>
      <c r="L1891" s="14">
        <f>IF(OR(Table1[[#This Row],[Order_Status]]="Delivered",Table1[[#This Row],[Delivery_Date]]&lt;&gt;"Not Yet Delivered"),Table1[[#This Row],[Delivery_Date]]-Table1[[#This Row],[Order_Date]],"Not Applicable")</f>
        <v>18</v>
      </c>
      <c r="M1891" s="14">
        <f>Table1[[#This Row],[Unit_Cost]]-Table1[[#This Row],[Negotiated_Cost]]</f>
        <v>3124.1300000000047</v>
      </c>
      <c r="N1891" s="18">
        <f>Table1[[#This Row],[Defective_Units]]/Table1[[#This Row],[Quantity]]</f>
        <v>0</v>
      </c>
      <c r="O1891" s="26">
        <f>(Table1[[#This Row],[Unit_Cost]]-Table1[[#This Row],[Negotiated_Cost]])/Table1[[#This Row],[Unit_Cost]]</f>
        <v>5.8002132473660248E-2</v>
      </c>
    </row>
    <row r="1892" spans="1:15" x14ac:dyDescent="0.25">
      <c r="A1892" t="s">
        <v>1927</v>
      </c>
      <c r="B1892" t="s">
        <v>35</v>
      </c>
      <c r="C1892" s="14" t="s">
        <v>28</v>
      </c>
      <c r="D1892" s="1">
        <v>45236</v>
      </c>
      <c r="E1892" s="13">
        <v>45245</v>
      </c>
      <c r="F1892" s="14" t="s">
        <v>14</v>
      </c>
      <c r="G1892">
        <v>39</v>
      </c>
      <c r="H1892">
        <v>45446.68</v>
      </c>
      <c r="I1892">
        <v>44323.49</v>
      </c>
      <c r="J1892">
        <v>0</v>
      </c>
      <c r="K1892" s="14" t="s">
        <v>15</v>
      </c>
      <c r="L1892" s="14">
        <f>IF(OR(Table1[[#This Row],[Order_Status]]="Delivered",Table1[[#This Row],[Delivery_Date]]&lt;&gt;"Not Yet Delivered"),Table1[[#This Row],[Delivery_Date]]-Table1[[#This Row],[Order_Date]],"Not Applicable")</f>
        <v>9</v>
      </c>
      <c r="M1892" s="14">
        <f>Table1[[#This Row],[Unit_Cost]]-Table1[[#This Row],[Negotiated_Cost]]</f>
        <v>1123.1900000000023</v>
      </c>
      <c r="N1892" s="18">
        <f>Table1[[#This Row],[Defective_Units]]/Table1[[#This Row],[Quantity]]</f>
        <v>0</v>
      </c>
      <c r="O1892" s="26">
        <f>(Table1[[#This Row],[Unit_Cost]]-Table1[[#This Row],[Negotiated_Cost]])/Table1[[#This Row],[Unit_Cost]]</f>
        <v>2.471445658956831E-2</v>
      </c>
    </row>
    <row r="1893" spans="1:15" x14ac:dyDescent="0.25">
      <c r="A1893" t="s">
        <v>1928</v>
      </c>
      <c r="B1893" t="s">
        <v>17</v>
      </c>
      <c r="C1893" s="14" t="s">
        <v>50</v>
      </c>
      <c r="D1893" s="1">
        <v>45479</v>
      </c>
      <c r="E1893" s="13">
        <v>45506</v>
      </c>
      <c r="F1893" s="14" t="s">
        <v>14</v>
      </c>
      <c r="G1893">
        <v>137</v>
      </c>
      <c r="H1893">
        <v>47342.16</v>
      </c>
      <c r="I1893">
        <v>45720.2</v>
      </c>
      <c r="J1893">
        <v>1</v>
      </c>
      <c r="K1893" s="14" t="s">
        <v>15</v>
      </c>
      <c r="L1893" s="14">
        <f>IF(OR(Table1[[#This Row],[Order_Status]]="Delivered",Table1[[#This Row],[Delivery_Date]]&lt;&gt;"Not Yet Delivered"),Table1[[#This Row],[Delivery_Date]]-Table1[[#This Row],[Order_Date]],"Not Applicable")</f>
        <v>27</v>
      </c>
      <c r="M1893" s="14">
        <f>Table1[[#This Row],[Unit_Cost]]-Table1[[#This Row],[Negotiated_Cost]]</f>
        <v>1621.9600000000064</v>
      </c>
      <c r="N1893" s="18">
        <f>Table1[[#This Row],[Defective_Units]]/Table1[[#This Row],[Quantity]]</f>
        <v>7.2992700729927005E-3</v>
      </c>
      <c r="O1893" s="26">
        <f>(Table1[[#This Row],[Unit_Cost]]-Table1[[#This Row],[Negotiated_Cost]])/Table1[[#This Row],[Unit_Cost]]</f>
        <v>3.4260371727863836E-2</v>
      </c>
    </row>
    <row r="1894" spans="1:15" x14ac:dyDescent="0.25">
      <c r="A1894" t="s">
        <v>1929</v>
      </c>
      <c r="B1894" t="s">
        <v>12</v>
      </c>
      <c r="C1894" s="14" t="s">
        <v>28</v>
      </c>
      <c r="D1894" s="1">
        <v>45450</v>
      </c>
      <c r="E1894" s="13">
        <v>45478</v>
      </c>
      <c r="F1894" s="14" t="s">
        <v>14</v>
      </c>
      <c r="G1894">
        <v>463</v>
      </c>
      <c r="H1894">
        <v>51441.9</v>
      </c>
      <c r="I1894">
        <v>49420.72</v>
      </c>
      <c r="J1894">
        <v>3</v>
      </c>
      <c r="K1894" s="14" t="s">
        <v>15</v>
      </c>
      <c r="L1894" s="14">
        <f>IF(OR(Table1[[#This Row],[Order_Status]]="Delivered",Table1[[#This Row],[Delivery_Date]]&lt;&gt;"Not Yet Delivered"),Table1[[#This Row],[Delivery_Date]]-Table1[[#This Row],[Order_Date]],"Not Applicable")</f>
        <v>28</v>
      </c>
      <c r="M1894" s="14">
        <f>Table1[[#This Row],[Unit_Cost]]-Table1[[#This Row],[Negotiated_Cost]]</f>
        <v>2021.1800000000003</v>
      </c>
      <c r="N1894" s="18">
        <f>Table1[[#This Row],[Defective_Units]]/Table1[[#This Row],[Quantity]]</f>
        <v>6.4794816414686825E-3</v>
      </c>
      <c r="O1894" s="26">
        <f>(Table1[[#This Row],[Unit_Cost]]-Table1[[#This Row],[Negotiated_Cost]])/Table1[[#This Row],[Unit_Cost]]</f>
        <v>3.9290539424088153E-2</v>
      </c>
    </row>
    <row r="1895" spans="1:15" x14ac:dyDescent="0.25">
      <c r="A1895" t="s">
        <v>1930</v>
      </c>
      <c r="B1895" t="s">
        <v>12</v>
      </c>
      <c r="C1895" s="14" t="s">
        <v>36</v>
      </c>
      <c r="D1895" s="1">
        <v>45620</v>
      </c>
      <c r="E1895" s="13">
        <v>45625</v>
      </c>
      <c r="F1895" s="14" t="s">
        <v>14</v>
      </c>
      <c r="G1895">
        <v>188</v>
      </c>
      <c r="H1895">
        <v>574.67999999999995</v>
      </c>
      <c r="I1895">
        <v>573.78</v>
      </c>
      <c r="J1895">
        <v>2</v>
      </c>
      <c r="K1895" s="14" t="s">
        <v>15</v>
      </c>
      <c r="L1895" s="14">
        <f>IF(OR(Table1[[#This Row],[Order_Status]]="Delivered",Table1[[#This Row],[Delivery_Date]]&lt;&gt;"Not Yet Delivered"),Table1[[#This Row],[Delivery_Date]]-Table1[[#This Row],[Order_Date]],"Not Applicable")</f>
        <v>5</v>
      </c>
      <c r="M1895" s="14">
        <f>Table1[[#This Row],[Unit_Cost]]-Table1[[#This Row],[Negotiated_Cost]]</f>
        <v>0.89999999999997726</v>
      </c>
      <c r="N1895" s="18">
        <f>Table1[[#This Row],[Defective_Units]]/Table1[[#This Row],[Quantity]]</f>
        <v>1.0638297872340425E-2</v>
      </c>
      <c r="O1895" s="26">
        <f>(Table1[[#This Row],[Unit_Cost]]-Table1[[#This Row],[Negotiated_Cost]])/Table1[[#This Row],[Unit_Cost]]</f>
        <v>1.5660889538525395E-3</v>
      </c>
    </row>
    <row r="1896" spans="1:15" x14ac:dyDescent="0.25">
      <c r="A1896" t="s">
        <v>1931</v>
      </c>
      <c r="B1896" t="s">
        <v>12</v>
      </c>
      <c r="C1896" s="14" t="s">
        <v>30</v>
      </c>
      <c r="D1896" s="1">
        <v>45030</v>
      </c>
      <c r="E1896" s="13">
        <v>45044</v>
      </c>
      <c r="F1896" s="14" t="s">
        <v>14</v>
      </c>
      <c r="G1896">
        <v>143</v>
      </c>
      <c r="H1896">
        <v>986.74</v>
      </c>
      <c r="I1896">
        <v>958.86</v>
      </c>
      <c r="J1896">
        <v>3</v>
      </c>
      <c r="K1896" s="14" t="s">
        <v>15</v>
      </c>
      <c r="L1896" s="14">
        <f>IF(OR(Table1[[#This Row],[Order_Status]]="Delivered",Table1[[#This Row],[Delivery_Date]]&lt;&gt;"Not Yet Delivered"),Table1[[#This Row],[Delivery_Date]]-Table1[[#This Row],[Order_Date]],"Not Applicable")</f>
        <v>14</v>
      </c>
      <c r="M1896" s="14">
        <f>Table1[[#This Row],[Unit_Cost]]-Table1[[#This Row],[Negotiated_Cost]]</f>
        <v>27.879999999999995</v>
      </c>
      <c r="N1896" s="18">
        <f>Table1[[#This Row],[Defective_Units]]/Table1[[#This Row],[Quantity]]</f>
        <v>2.097902097902098E-2</v>
      </c>
      <c r="O1896" s="26">
        <f>(Table1[[#This Row],[Unit_Cost]]-Table1[[#This Row],[Negotiated_Cost]])/Table1[[#This Row],[Unit_Cost]]</f>
        <v>2.8254656748484906E-2</v>
      </c>
    </row>
    <row r="1897" spans="1:15" x14ac:dyDescent="0.25">
      <c r="A1897" t="s">
        <v>1932</v>
      </c>
      <c r="B1897" t="s">
        <v>27</v>
      </c>
      <c r="C1897" s="14" t="s">
        <v>44</v>
      </c>
      <c r="D1897" s="1">
        <v>45193</v>
      </c>
      <c r="E1897" s="14" t="s">
        <v>2057</v>
      </c>
      <c r="F1897" s="14" t="s">
        <v>22</v>
      </c>
      <c r="G1897">
        <v>273</v>
      </c>
      <c r="H1897">
        <v>8736.51</v>
      </c>
      <c r="I1897">
        <v>8423.2800000000007</v>
      </c>
      <c r="J1897">
        <v>2</v>
      </c>
      <c r="K1897" s="14" t="s">
        <v>15</v>
      </c>
      <c r="L1897" s="14" t="str">
        <f>IF(OR(Table1[[#This Row],[Order_Status]]="Delivered",Table1[[#This Row],[Delivery_Date]]&lt;&gt;"Not Yet Delivered"),Table1[[#This Row],[Delivery_Date]]-Table1[[#This Row],[Order_Date]],"Not Applicable")</f>
        <v>Not Applicable</v>
      </c>
      <c r="M1897" s="14">
        <f>Table1[[#This Row],[Unit_Cost]]-Table1[[#This Row],[Negotiated_Cost]]</f>
        <v>313.22999999999956</v>
      </c>
      <c r="N1897" s="18">
        <f>Table1[[#This Row],[Defective_Units]]/Table1[[#This Row],[Quantity]]</f>
        <v>7.326007326007326E-3</v>
      </c>
      <c r="O1897" s="26">
        <f>(Table1[[#This Row],[Unit_Cost]]-Table1[[#This Row],[Negotiated_Cost]])/Table1[[#This Row],[Unit_Cost]]</f>
        <v>3.5852989351583132E-2</v>
      </c>
    </row>
    <row r="1898" spans="1:15" x14ac:dyDescent="0.25">
      <c r="A1898" t="s">
        <v>1933</v>
      </c>
      <c r="B1898" t="s">
        <v>40</v>
      </c>
      <c r="C1898" s="14" t="s">
        <v>48</v>
      </c>
      <c r="D1898" s="1">
        <v>45469</v>
      </c>
      <c r="E1898" s="13">
        <v>45488</v>
      </c>
      <c r="F1898" s="14" t="s">
        <v>14</v>
      </c>
      <c r="G1898">
        <v>131</v>
      </c>
      <c r="H1898">
        <v>6815.97</v>
      </c>
      <c r="I1898">
        <v>6507.25</v>
      </c>
      <c r="J1898">
        <v>1</v>
      </c>
      <c r="K1898" s="14" t="s">
        <v>15</v>
      </c>
      <c r="L1898" s="14">
        <f>IF(OR(Table1[[#This Row],[Order_Status]]="Delivered",Table1[[#This Row],[Delivery_Date]]&lt;&gt;"Not Yet Delivered"),Table1[[#This Row],[Delivery_Date]]-Table1[[#This Row],[Order_Date]],"Not Applicable")</f>
        <v>19</v>
      </c>
      <c r="M1898" s="14">
        <f>Table1[[#This Row],[Unit_Cost]]-Table1[[#This Row],[Negotiated_Cost]]</f>
        <v>308.72000000000025</v>
      </c>
      <c r="N1898" s="18">
        <f>Table1[[#This Row],[Defective_Units]]/Table1[[#This Row],[Quantity]]</f>
        <v>7.6335877862595417E-3</v>
      </c>
      <c r="O1898" s="26">
        <f>(Table1[[#This Row],[Unit_Cost]]-Table1[[#This Row],[Negotiated_Cost]])/Table1[[#This Row],[Unit_Cost]]</f>
        <v>4.5293626585797803E-2</v>
      </c>
    </row>
    <row r="1899" spans="1:15" x14ac:dyDescent="0.25">
      <c r="A1899" t="s">
        <v>1934</v>
      </c>
      <c r="B1899" t="s">
        <v>20</v>
      </c>
      <c r="C1899" s="14" t="s">
        <v>42</v>
      </c>
      <c r="D1899" s="1">
        <v>44983</v>
      </c>
      <c r="E1899" s="13">
        <v>44997</v>
      </c>
      <c r="F1899" s="14" t="s">
        <v>14</v>
      </c>
      <c r="G1899">
        <v>13</v>
      </c>
      <c r="H1899">
        <v>11911.31</v>
      </c>
      <c r="I1899">
        <v>11794.39</v>
      </c>
      <c r="J1899">
        <v>0</v>
      </c>
      <c r="K1899" s="14" t="s">
        <v>15</v>
      </c>
      <c r="L1899" s="14">
        <f>IF(OR(Table1[[#This Row],[Order_Status]]="Delivered",Table1[[#This Row],[Delivery_Date]]&lt;&gt;"Not Yet Delivered"),Table1[[#This Row],[Delivery_Date]]-Table1[[#This Row],[Order_Date]],"Not Applicable")</f>
        <v>14</v>
      </c>
      <c r="M1899" s="14">
        <f>Table1[[#This Row],[Unit_Cost]]-Table1[[#This Row],[Negotiated_Cost]]</f>
        <v>116.92000000000007</v>
      </c>
      <c r="N1899" s="18">
        <f>Table1[[#This Row],[Defective_Units]]/Table1[[#This Row],[Quantity]]</f>
        <v>0</v>
      </c>
      <c r="O1899" s="26">
        <f>(Table1[[#This Row],[Unit_Cost]]-Table1[[#This Row],[Negotiated_Cost]])/Table1[[#This Row],[Unit_Cost]]</f>
        <v>9.8158808728846855E-3</v>
      </c>
    </row>
    <row r="1900" spans="1:15" x14ac:dyDescent="0.25">
      <c r="A1900" t="s">
        <v>1935</v>
      </c>
      <c r="B1900" t="s">
        <v>12</v>
      </c>
      <c r="C1900" s="14" t="s">
        <v>13</v>
      </c>
      <c r="D1900" s="1">
        <v>45012</v>
      </c>
      <c r="E1900" s="13">
        <v>45033</v>
      </c>
      <c r="F1900" s="14" t="s">
        <v>14</v>
      </c>
      <c r="G1900">
        <v>259</v>
      </c>
      <c r="H1900">
        <v>4353.2700000000004</v>
      </c>
      <c r="I1900">
        <v>4195.21</v>
      </c>
      <c r="J1900">
        <v>3</v>
      </c>
      <c r="K1900" s="14" t="s">
        <v>15</v>
      </c>
      <c r="L1900" s="14">
        <f>IF(OR(Table1[[#This Row],[Order_Status]]="Delivered",Table1[[#This Row],[Delivery_Date]]&lt;&gt;"Not Yet Delivered"),Table1[[#This Row],[Delivery_Date]]-Table1[[#This Row],[Order_Date]],"Not Applicable")</f>
        <v>21</v>
      </c>
      <c r="M1900" s="14">
        <f>Table1[[#This Row],[Unit_Cost]]-Table1[[#This Row],[Negotiated_Cost]]</f>
        <v>158.0600000000004</v>
      </c>
      <c r="N1900" s="18">
        <f>Table1[[#This Row],[Defective_Units]]/Table1[[#This Row],[Quantity]]</f>
        <v>1.1583011583011582E-2</v>
      </c>
      <c r="O1900" s="26">
        <f>(Table1[[#This Row],[Unit_Cost]]-Table1[[#This Row],[Negotiated_Cost]])/Table1[[#This Row],[Unit_Cost]]</f>
        <v>3.6308338329577625E-2</v>
      </c>
    </row>
    <row r="1901" spans="1:15" x14ac:dyDescent="0.25">
      <c r="A1901" t="s">
        <v>1936</v>
      </c>
      <c r="B1901" t="s">
        <v>12</v>
      </c>
      <c r="C1901" s="14" t="s">
        <v>21</v>
      </c>
      <c r="D1901" s="1">
        <v>44978</v>
      </c>
      <c r="E1901" s="13">
        <v>44980</v>
      </c>
      <c r="F1901" s="14" t="s">
        <v>14</v>
      </c>
      <c r="G1901">
        <v>144</v>
      </c>
      <c r="H1901">
        <v>123.67</v>
      </c>
      <c r="I1901">
        <v>122.33</v>
      </c>
      <c r="J1901">
        <v>0</v>
      </c>
      <c r="K1901" s="14" t="s">
        <v>15</v>
      </c>
      <c r="L1901" s="14">
        <f>IF(OR(Table1[[#This Row],[Order_Status]]="Delivered",Table1[[#This Row],[Delivery_Date]]&lt;&gt;"Not Yet Delivered"),Table1[[#This Row],[Delivery_Date]]-Table1[[#This Row],[Order_Date]],"Not Applicable")</f>
        <v>2</v>
      </c>
      <c r="M1901" s="14">
        <f>Table1[[#This Row],[Unit_Cost]]-Table1[[#This Row],[Negotiated_Cost]]</f>
        <v>1.3400000000000034</v>
      </c>
      <c r="N1901" s="18">
        <f>Table1[[#This Row],[Defective_Units]]/Table1[[#This Row],[Quantity]]</f>
        <v>0</v>
      </c>
      <c r="O1901" s="26">
        <f>(Table1[[#This Row],[Unit_Cost]]-Table1[[#This Row],[Negotiated_Cost]])/Table1[[#This Row],[Unit_Cost]]</f>
        <v>1.0835287458559096E-2</v>
      </c>
    </row>
    <row r="1902" spans="1:15" x14ac:dyDescent="0.25">
      <c r="A1902" t="s">
        <v>1937</v>
      </c>
      <c r="B1902" t="s">
        <v>20</v>
      </c>
      <c r="C1902" s="14" t="s">
        <v>44</v>
      </c>
      <c r="D1902" s="1">
        <v>45280</v>
      </c>
      <c r="E1902" s="13">
        <v>45284</v>
      </c>
      <c r="F1902" s="14" t="s">
        <v>14</v>
      </c>
      <c r="G1902">
        <v>120</v>
      </c>
      <c r="H1902">
        <v>8408.18</v>
      </c>
      <c r="I1902">
        <v>8027.69</v>
      </c>
      <c r="J1902">
        <v>2</v>
      </c>
      <c r="K1902" s="14" t="s">
        <v>15</v>
      </c>
      <c r="L1902" s="14">
        <f>IF(OR(Table1[[#This Row],[Order_Status]]="Delivered",Table1[[#This Row],[Delivery_Date]]&lt;&gt;"Not Yet Delivered"),Table1[[#This Row],[Delivery_Date]]-Table1[[#This Row],[Order_Date]],"Not Applicable")</f>
        <v>4</v>
      </c>
      <c r="M1902" s="14">
        <f>Table1[[#This Row],[Unit_Cost]]-Table1[[#This Row],[Negotiated_Cost]]</f>
        <v>380.49000000000069</v>
      </c>
      <c r="N1902" s="18">
        <f>Table1[[#This Row],[Defective_Units]]/Table1[[#This Row],[Quantity]]</f>
        <v>1.6666666666666666E-2</v>
      </c>
      <c r="O1902" s="26">
        <f>(Table1[[#This Row],[Unit_Cost]]-Table1[[#This Row],[Negotiated_Cost]])/Table1[[#This Row],[Unit_Cost]]</f>
        <v>4.5252361390931292E-2</v>
      </c>
    </row>
    <row r="1903" spans="1:15" x14ac:dyDescent="0.25">
      <c r="A1903" t="s">
        <v>1938</v>
      </c>
      <c r="B1903" t="s">
        <v>32</v>
      </c>
      <c r="C1903" s="14" t="s">
        <v>21</v>
      </c>
      <c r="D1903" s="1">
        <v>45157</v>
      </c>
      <c r="E1903" s="13">
        <v>45173</v>
      </c>
      <c r="F1903" s="14" t="s">
        <v>37</v>
      </c>
      <c r="G1903">
        <v>399</v>
      </c>
      <c r="H1903">
        <v>115.36</v>
      </c>
      <c r="I1903">
        <v>112.46</v>
      </c>
      <c r="J1903">
        <v>1</v>
      </c>
      <c r="K1903" s="14" t="s">
        <v>15</v>
      </c>
      <c r="L1903" s="14">
        <f>IF(OR(Table1[[#This Row],[Order_Status]]="Delivered",Table1[[#This Row],[Delivery_Date]]&lt;&gt;"Not Yet Delivered"),Table1[[#This Row],[Delivery_Date]]-Table1[[#This Row],[Order_Date]],"Not Applicable")</f>
        <v>16</v>
      </c>
      <c r="M1903" s="14">
        <f>Table1[[#This Row],[Unit_Cost]]-Table1[[#This Row],[Negotiated_Cost]]</f>
        <v>2.9000000000000057</v>
      </c>
      <c r="N1903" s="18">
        <f>Table1[[#This Row],[Defective_Units]]/Table1[[#This Row],[Quantity]]</f>
        <v>2.5062656641604009E-3</v>
      </c>
      <c r="O1903" s="26">
        <f>(Table1[[#This Row],[Unit_Cost]]-Table1[[#This Row],[Negotiated_Cost]])/Table1[[#This Row],[Unit_Cost]]</f>
        <v>2.5138696255201157E-2</v>
      </c>
    </row>
    <row r="1904" spans="1:15" x14ac:dyDescent="0.25">
      <c r="A1904" t="s">
        <v>1939</v>
      </c>
      <c r="B1904" t="s">
        <v>35</v>
      </c>
      <c r="C1904" s="14" t="s">
        <v>28</v>
      </c>
      <c r="D1904" s="1">
        <v>45316</v>
      </c>
      <c r="E1904" s="13">
        <v>45334</v>
      </c>
      <c r="F1904" s="14" t="s">
        <v>14</v>
      </c>
      <c r="G1904">
        <v>190</v>
      </c>
      <c r="H1904">
        <v>45214.33</v>
      </c>
      <c r="I1904">
        <v>44789.23</v>
      </c>
      <c r="J1904">
        <v>2</v>
      </c>
      <c r="K1904" s="14" t="s">
        <v>15</v>
      </c>
      <c r="L1904" s="14">
        <f>IF(OR(Table1[[#This Row],[Order_Status]]="Delivered",Table1[[#This Row],[Delivery_Date]]&lt;&gt;"Not Yet Delivered"),Table1[[#This Row],[Delivery_Date]]-Table1[[#This Row],[Order_Date]],"Not Applicable")</f>
        <v>18</v>
      </c>
      <c r="M1904" s="14">
        <f>Table1[[#This Row],[Unit_Cost]]-Table1[[#This Row],[Negotiated_Cost]]</f>
        <v>425.09999999999854</v>
      </c>
      <c r="N1904" s="18">
        <f>Table1[[#This Row],[Defective_Units]]/Table1[[#This Row],[Quantity]]</f>
        <v>1.0526315789473684E-2</v>
      </c>
      <c r="O1904" s="26">
        <f>(Table1[[#This Row],[Unit_Cost]]-Table1[[#This Row],[Negotiated_Cost]])/Table1[[#This Row],[Unit_Cost]]</f>
        <v>9.4018865257983145E-3</v>
      </c>
    </row>
    <row r="1905" spans="1:15" x14ac:dyDescent="0.25">
      <c r="A1905" t="s">
        <v>1940</v>
      </c>
      <c r="B1905" t="s">
        <v>32</v>
      </c>
      <c r="C1905" s="14" t="s">
        <v>24</v>
      </c>
      <c r="D1905" s="1">
        <v>45275</v>
      </c>
      <c r="E1905" s="13">
        <v>45294</v>
      </c>
      <c r="F1905" s="14" t="s">
        <v>14</v>
      </c>
      <c r="G1905">
        <v>280</v>
      </c>
      <c r="H1905">
        <v>11337.51</v>
      </c>
      <c r="I1905">
        <v>11097.78</v>
      </c>
      <c r="J1905">
        <v>2</v>
      </c>
      <c r="K1905" s="14" t="s">
        <v>15</v>
      </c>
      <c r="L1905" s="14">
        <f>IF(OR(Table1[[#This Row],[Order_Status]]="Delivered",Table1[[#This Row],[Delivery_Date]]&lt;&gt;"Not Yet Delivered"),Table1[[#This Row],[Delivery_Date]]-Table1[[#This Row],[Order_Date]],"Not Applicable")</f>
        <v>19</v>
      </c>
      <c r="M1905" s="14">
        <f>Table1[[#This Row],[Unit_Cost]]-Table1[[#This Row],[Negotiated_Cost]]</f>
        <v>239.72999999999956</v>
      </c>
      <c r="N1905" s="18">
        <f>Table1[[#This Row],[Defective_Units]]/Table1[[#This Row],[Quantity]]</f>
        <v>7.1428571428571426E-3</v>
      </c>
      <c r="O1905" s="26">
        <f>(Table1[[#This Row],[Unit_Cost]]-Table1[[#This Row],[Negotiated_Cost]])/Table1[[#This Row],[Unit_Cost]]</f>
        <v>2.1144854558011378E-2</v>
      </c>
    </row>
    <row r="1906" spans="1:15" x14ac:dyDescent="0.25">
      <c r="A1906" t="s">
        <v>1941</v>
      </c>
      <c r="B1906" t="s">
        <v>40</v>
      </c>
      <c r="C1906" s="14" t="s">
        <v>18</v>
      </c>
      <c r="D1906" s="1">
        <v>45560</v>
      </c>
      <c r="E1906" s="13">
        <v>45571</v>
      </c>
      <c r="F1906" s="14" t="s">
        <v>14</v>
      </c>
      <c r="G1906">
        <v>397</v>
      </c>
      <c r="H1906">
        <v>5488.43</v>
      </c>
      <c r="I1906">
        <v>5350.33</v>
      </c>
      <c r="J1906">
        <v>1</v>
      </c>
      <c r="K1906" s="14" t="s">
        <v>15</v>
      </c>
      <c r="L1906" s="14">
        <f>IF(OR(Table1[[#This Row],[Order_Status]]="Delivered",Table1[[#This Row],[Delivery_Date]]&lt;&gt;"Not Yet Delivered"),Table1[[#This Row],[Delivery_Date]]-Table1[[#This Row],[Order_Date]],"Not Applicable")</f>
        <v>11</v>
      </c>
      <c r="M1906" s="14">
        <f>Table1[[#This Row],[Unit_Cost]]-Table1[[#This Row],[Negotiated_Cost]]</f>
        <v>138.10000000000036</v>
      </c>
      <c r="N1906" s="18">
        <f>Table1[[#This Row],[Defective_Units]]/Table1[[#This Row],[Quantity]]</f>
        <v>2.5188916876574307E-3</v>
      </c>
      <c r="O1906" s="26">
        <f>(Table1[[#This Row],[Unit_Cost]]-Table1[[#This Row],[Negotiated_Cost]])/Table1[[#This Row],[Unit_Cost]]</f>
        <v>2.5162022654930529E-2</v>
      </c>
    </row>
    <row r="1907" spans="1:15" x14ac:dyDescent="0.25">
      <c r="A1907" t="s">
        <v>1942</v>
      </c>
      <c r="B1907" t="s">
        <v>35</v>
      </c>
      <c r="C1907" s="14" t="s">
        <v>13</v>
      </c>
      <c r="D1907" s="1">
        <v>45149</v>
      </c>
      <c r="E1907" s="13">
        <v>45171</v>
      </c>
      <c r="F1907" s="14" t="s">
        <v>14</v>
      </c>
      <c r="G1907">
        <v>79</v>
      </c>
      <c r="H1907">
        <v>4351.62</v>
      </c>
      <c r="I1907">
        <v>4210.8100000000004</v>
      </c>
      <c r="J1907">
        <v>1</v>
      </c>
      <c r="K1907" s="14" t="s">
        <v>15</v>
      </c>
      <c r="L1907" s="14">
        <f>IF(OR(Table1[[#This Row],[Order_Status]]="Delivered",Table1[[#This Row],[Delivery_Date]]&lt;&gt;"Not Yet Delivered"),Table1[[#This Row],[Delivery_Date]]-Table1[[#This Row],[Order_Date]],"Not Applicable")</f>
        <v>22</v>
      </c>
      <c r="M1907" s="14">
        <f>Table1[[#This Row],[Unit_Cost]]-Table1[[#This Row],[Negotiated_Cost]]</f>
        <v>140.80999999999949</v>
      </c>
      <c r="N1907" s="18">
        <f>Table1[[#This Row],[Defective_Units]]/Table1[[#This Row],[Quantity]]</f>
        <v>1.2658227848101266E-2</v>
      </c>
      <c r="O1907" s="26">
        <f>(Table1[[#This Row],[Unit_Cost]]-Table1[[#This Row],[Negotiated_Cost]])/Table1[[#This Row],[Unit_Cost]]</f>
        <v>3.2358064353045418E-2</v>
      </c>
    </row>
    <row r="1908" spans="1:15" x14ac:dyDescent="0.25">
      <c r="A1908" t="s">
        <v>1943</v>
      </c>
      <c r="B1908" t="s">
        <v>27</v>
      </c>
      <c r="C1908" s="14" t="s">
        <v>21</v>
      </c>
      <c r="D1908" s="1">
        <v>45093</v>
      </c>
      <c r="E1908" s="13">
        <v>45112</v>
      </c>
      <c r="F1908" s="14" t="s">
        <v>14</v>
      </c>
      <c r="G1908">
        <v>304</v>
      </c>
      <c r="H1908">
        <v>127.98</v>
      </c>
      <c r="I1908">
        <v>123.68</v>
      </c>
      <c r="J1908">
        <v>3</v>
      </c>
      <c r="K1908" s="14" t="s">
        <v>15</v>
      </c>
      <c r="L1908" s="14">
        <f>IF(OR(Table1[[#This Row],[Order_Status]]="Delivered",Table1[[#This Row],[Delivery_Date]]&lt;&gt;"Not Yet Delivered"),Table1[[#This Row],[Delivery_Date]]-Table1[[#This Row],[Order_Date]],"Not Applicable")</f>
        <v>19</v>
      </c>
      <c r="M1908" s="14">
        <f>Table1[[#This Row],[Unit_Cost]]-Table1[[#This Row],[Negotiated_Cost]]</f>
        <v>4.2999999999999972</v>
      </c>
      <c r="N1908" s="18">
        <f>Table1[[#This Row],[Defective_Units]]/Table1[[#This Row],[Quantity]]</f>
        <v>9.8684210526315784E-3</v>
      </c>
      <c r="O1908" s="26">
        <f>(Table1[[#This Row],[Unit_Cost]]-Table1[[#This Row],[Negotiated_Cost]])/Table1[[#This Row],[Unit_Cost]]</f>
        <v>3.3598999843725559E-2</v>
      </c>
    </row>
    <row r="1909" spans="1:15" x14ac:dyDescent="0.25">
      <c r="A1909" t="s">
        <v>1944</v>
      </c>
      <c r="B1909" t="s">
        <v>35</v>
      </c>
      <c r="C1909" s="14" t="s">
        <v>55</v>
      </c>
      <c r="D1909" s="1">
        <v>45030</v>
      </c>
      <c r="E1909" s="13">
        <v>45055</v>
      </c>
      <c r="F1909" s="14" t="s">
        <v>37</v>
      </c>
      <c r="G1909">
        <v>474</v>
      </c>
      <c r="H1909">
        <v>14406.81</v>
      </c>
      <c r="I1909">
        <v>13648.47</v>
      </c>
      <c r="J1909">
        <v>8</v>
      </c>
      <c r="K1909" s="14" t="s">
        <v>15</v>
      </c>
      <c r="L1909" s="14">
        <f>IF(OR(Table1[[#This Row],[Order_Status]]="Delivered",Table1[[#This Row],[Delivery_Date]]&lt;&gt;"Not Yet Delivered"),Table1[[#This Row],[Delivery_Date]]-Table1[[#This Row],[Order_Date]],"Not Applicable")</f>
        <v>25</v>
      </c>
      <c r="M1909" s="14">
        <f>Table1[[#This Row],[Unit_Cost]]-Table1[[#This Row],[Negotiated_Cost]]</f>
        <v>758.34000000000015</v>
      </c>
      <c r="N1909" s="18">
        <f>Table1[[#This Row],[Defective_Units]]/Table1[[#This Row],[Quantity]]</f>
        <v>1.6877637130801686E-2</v>
      </c>
      <c r="O1909" s="26">
        <f>(Table1[[#This Row],[Unit_Cost]]-Table1[[#This Row],[Negotiated_Cost]])/Table1[[#This Row],[Unit_Cost]]</f>
        <v>5.2637606798451579E-2</v>
      </c>
    </row>
    <row r="1910" spans="1:15" x14ac:dyDescent="0.25">
      <c r="A1910" t="s">
        <v>1945</v>
      </c>
      <c r="B1910" t="s">
        <v>12</v>
      </c>
      <c r="C1910" s="14" t="s">
        <v>55</v>
      </c>
      <c r="D1910" s="1">
        <v>45198</v>
      </c>
      <c r="E1910" s="13">
        <v>45225</v>
      </c>
      <c r="F1910" s="14" t="s">
        <v>37</v>
      </c>
      <c r="G1910">
        <v>394</v>
      </c>
      <c r="H1910">
        <v>16031.81</v>
      </c>
      <c r="I1910">
        <v>15955.96</v>
      </c>
      <c r="J1910">
        <v>4</v>
      </c>
      <c r="K1910" s="14" t="s">
        <v>15</v>
      </c>
      <c r="L1910" s="14">
        <f>IF(OR(Table1[[#This Row],[Order_Status]]="Delivered",Table1[[#This Row],[Delivery_Date]]&lt;&gt;"Not Yet Delivered"),Table1[[#This Row],[Delivery_Date]]-Table1[[#This Row],[Order_Date]],"Not Applicable")</f>
        <v>27</v>
      </c>
      <c r="M1910" s="14">
        <f>Table1[[#This Row],[Unit_Cost]]-Table1[[#This Row],[Negotiated_Cost]]</f>
        <v>75.850000000000364</v>
      </c>
      <c r="N1910" s="18">
        <f>Table1[[#This Row],[Defective_Units]]/Table1[[#This Row],[Quantity]]</f>
        <v>1.015228426395939E-2</v>
      </c>
      <c r="O1910" s="26">
        <f>(Table1[[#This Row],[Unit_Cost]]-Table1[[#This Row],[Negotiated_Cost]])/Table1[[#This Row],[Unit_Cost]]</f>
        <v>4.7312187457311658E-3</v>
      </c>
    </row>
    <row r="1911" spans="1:15" x14ac:dyDescent="0.25">
      <c r="A1911" t="s">
        <v>1946</v>
      </c>
      <c r="B1911" t="s">
        <v>17</v>
      </c>
      <c r="C1911" s="14" t="s">
        <v>50</v>
      </c>
      <c r="D1911" s="1">
        <v>45596</v>
      </c>
      <c r="E1911" s="13">
        <v>45612</v>
      </c>
      <c r="F1911" s="14" t="s">
        <v>37</v>
      </c>
      <c r="G1911">
        <v>304</v>
      </c>
      <c r="H1911">
        <v>51658.61</v>
      </c>
      <c r="I1911">
        <v>50022.67</v>
      </c>
      <c r="J1911">
        <v>0</v>
      </c>
      <c r="K1911" s="14" t="s">
        <v>15</v>
      </c>
      <c r="L1911" s="14">
        <f>IF(OR(Table1[[#This Row],[Order_Status]]="Delivered",Table1[[#This Row],[Delivery_Date]]&lt;&gt;"Not Yet Delivered"),Table1[[#This Row],[Delivery_Date]]-Table1[[#This Row],[Order_Date]],"Not Applicable")</f>
        <v>16</v>
      </c>
      <c r="M1911" s="14">
        <f>Table1[[#This Row],[Unit_Cost]]-Table1[[#This Row],[Negotiated_Cost]]</f>
        <v>1635.9400000000023</v>
      </c>
      <c r="N1911" s="18">
        <f>Table1[[#This Row],[Defective_Units]]/Table1[[#This Row],[Quantity]]</f>
        <v>0</v>
      </c>
      <c r="O1911" s="26">
        <f>(Table1[[#This Row],[Unit_Cost]]-Table1[[#This Row],[Negotiated_Cost]])/Table1[[#This Row],[Unit_Cost]]</f>
        <v>3.1668293049309737E-2</v>
      </c>
    </row>
    <row r="1912" spans="1:15" x14ac:dyDescent="0.25">
      <c r="A1912" t="s">
        <v>1947</v>
      </c>
      <c r="B1912" t="s">
        <v>12</v>
      </c>
      <c r="C1912" s="14" t="s">
        <v>55</v>
      </c>
      <c r="D1912" s="1">
        <v>45458</v>
      </c>
      <c r="E1912" s="13">
        <v>45482</v>
      </c>
      <c r="F1912" s="14" t="s">
        <v>14</v>
      </c>
      <c r="G1912">
        <v>386</v>
      </c>
      <c r="H1912">
        <v>15273.83</v>
      </c>
      <c r="I1912">
        <v>15134.8</v>
      </c>
      <c r="J1912">
        <v>0</v>
      </c>
      <c r="K1912" s="14" t="s">
        <v>15</v>
      </c>
      <c r="L1912" s="14">
        <f>IF(OR(Table1[[#This Row],[Order_Status]]="Delivered",Table1[[#This Row],[Delivery_Date]]&lt;&gt;"Not Yet Delivered"),Table1[[#This Row],[Delivery_Date]]-Table1[[#This Row],[Order_Date]],"Not Applicable")</f>
        <v>24</v>
      </c>
      <c r="M1912" s="14">
        <f>Table1[[#This Row],[Unit_Cost]]-Table1[[#This Row],[Negotiated_Cost]]</f>
        <v>139.03000000000065</v>
      </c>
      <c r="N1912" s="18">
        <f>Table1[[#This Row],[Defective_Units]]/Table1[[#This Row],[Quantity]]</f>
        <v>0</v>
      </c>
      <c r="O1912" s="26">
        <f>(Table1[[#This Row],[Unit_Cost]]-Table1[[#This Row],[Negotiated_Cost]])/Table1[[#This Row],[Unit_Cost]]</f>
        <v>9.1024975399098106E-3</v>
      </c>
    </row>
    <row r="1913" spans="1:15" x14ac:dyDescent="0.25">
      <c r="A1913" t="s">
        <v>1948</v>
      </c>
      <c r="B1913" t="s">
        <v>27</v>
      </c>
      <c r="C1913" s="14" t="s">
        <v>48</v>
      </c>
      <c r="D1913" s="1">
        <v>45059</v>
      </c>
      <c r="E1913" s="13">
        <v>45069</v>
      </c>
      <c r="F1913" s="14" t="s">
        <v>14</v>
      </c>
      <c r="G1913">
        <v>211</v>
      </c>
      <c r="H1913">
        <v>6499.61</v>
      </c>
      <c r="I1913">
        <v>6359.12</v>
      </c>
      <c r="J1913">
        <v>1</v>
      </c>
      <c r="K1913" s="14" t="s">
        <v>15</v>
      </c>
      <c r="L1913" s="14">
        <f>IF(OR(Table1[[#This Row],[Order_Status]]="Delivered",Table1[[#This Row],[Delivery_Date]]&lt;&gt;"Not Yet Delivered"),Table1[[#This Row],[Delivery_Date]]-Table1[[#This Row],[Order_Date]],"Not Applicable")</f>
        <v>10</v>
      </c>
      <c r="M1913" s="14">
        <f>Table1[[#This Row],[Unit_Cost]]-Table1[[#This Row],[Negotiated_Cost]]</f>
        <v>140.48999999999978</v>
      </c>
      <c r="N1913" s="18">
        <f>Table1[[#This Row],[Defective_Units]]/Table1[[#This Row],[Quantity]]</f>
        <v>4.7393364928909956E-3</v>
      </c>
      <c r="O1913" s="26">
        <f>(Table1[[#This Row],[Unit_Cost]]-Table1[[#This Row],[Negotiated_Cost]])/Table1[[#This Row],[Unit_Cost]]</f>
        <v>2.1615143062429867E-2</v>
      </c>
    </row>
    <row r="1914" spans="1:15" x14ac:dyDescent="0.25">
      <c r="A1914" t="s">
        <v>1949</v>
      </c>
      <c r="B1914" t="s">
        <v>35</v>
      </c>
      <c r="C1914" s="14" t="s">
        <v>21</v>
      </c>
      <c r="D1914" s="1">
        <v>45032</v>
      </c>
      <c r="E1914" s="14" t="s">
        <v>2057</v>
      </c>
      <c r="F1914" s="14" t="s">
        <v>33</v>
      </c>
      <c r="G1914">
        <v>147</v>
      </c>
      <c r="H1914">
        <v>125.8</v>
      </c>
      <c r="I1914">
        <v>125.11</v>
      </c>
      <c r="J1914">
        <v>2</v>
      </c>
      <c r="K1914" s="14" t="s">
        <v>15</v>
      </c>
      <c r="L1914" s="14" t="str">
        <f>IF(OR(Table1[[#This Row],[Order_Status]]="Delivered",Table1[[#This Row],[Delivery_Date]]&lt;&gt;"Not Yet Delivered"),Table1[[#This Row],[Delivery_Date]]-Table1[[#This Row],[Order_Date]],"Not Applicable")</f>
        <v>Not Applicable</v>
      </c>
      <c r="M1914" s="14">
        <f>Table1[[#This Row],[Unit_Cost]]-Table1[[#This Row],[Negotiated_Cost]]</f>
        <v>0.68999999999999773</v>
      </c>
      <c r="N1914" s="18">
        <f>Table1[[#This Row],[Defective_Units]]/Table1[[#This Row],[Quantity]]</f>
        <v>1.3605442176870748E-2</v>
      </c>
      <c r="O1914" s="26">
        <f>(Table1[[#This Row],[Unit_Cost]]-Table1[[#This Row],[Negotiated_Cost]])/Table1[[#This Row],[Unit_Cost]]</f>
        <v>5.4848966613672313E-3</v>
      </c>
    </row>
    <row r="1915" spans="1:15" x14ac:dyDescent="0.25">
      <c r="A1915" t="s">
        <v>1950</v>
      </c>
      <c r="B1915" t="s">
        <v>46</v>
      </c>
      <c r="C1915" s="14" t="s">
        <v>28</v>
      </c>
      <c r="D1915" s="1">
        <v>45342</v>
      </c>
      <c r="E1915" s="13">
        <v>45349</v>
      </c>
      <c r="F1915" s="14" t="s">
        <v>14</v>
      </c>
      <c r="G1915">
        <v>500</v>
      </c>
      <c r="H1915">
        <v>45711.05</v>
      </c>
      <c r="I1915">
        <v>45425.45</v>
      </c>
      <c r="J1915">
        <v>1</v>
      </c>
      <c r="K1915" s="14" t="s">
        <v>15</v>
      </c>
      <c r="L1915" s="14">
        <f>IF(OR(Table1[[#This Row],[Order_Status]]="Delivered",Table1[[#This Row],[Delivery_Date]]&lt;&gt;"Not Yet Delivered"),Table1[[#This Row],[Delivery_Date]]-Table1[[#This Row],[Order_Date]],"Not Applicable")</f>
        <v>7</v>
      </c>
      <c r="M1915" s="14">
        <f>Table1[[#This Row],[Unit_Cost]]-Table1[[#This Row],[Negotiated_Cost]]</f>
        <v>285.60000000000582</v>
      </c>
      <c r="N1915" s="18">
        <f>Table1[[#This Row],[Defective_Units]]/Table1[[#This Row],[Quantity]]</f>
        <v>2E-3</v>
      </c>
      <c r="O1915" s="26">
        <f>(Table1[[#This Row],[Unit_Cost]]-Table1[[#This Row],[Negotiated_Cost]])/Table1[[#This Row],[Unit_Cost]]</f>
        <v>6.2479422371616014E-3</v>
      </c>
    </row>
    <row r="1916" spans="1:15" x14ac:dyDescent="0.25">
      <c r="A1916" t="s">
        <v>1951</v>
      </c>
      <c r="B1916" t="s">
        <v>20</v>
      </c>
      <c r="C1916" s="14" t="s">
        <v>13</v>
      </c>
      <c r="D1916" s="1">
        <v>45561</v>
      </c>
      <c r="E1916" s="13">
        <v>45572</v>
      </c>
      <c r="F1916" s="14" t="s">
        <v>14</v>
      </c>
      <c r="G1916">
        <v>244</v>
      </c>
      <c r="H1916">
        <v>4128.09</v>
      </c>
      <c r="I1916">
        <v>4014.88</v>
      </c>
      <c r="J1916">
        <v>1</v>
      </c>
      <c r="K1916" s="14" t="s">
        <v>15</v>
      </c>
      <c r="L1916" s="14">
        <f>IF(OR(Table1[[#This Row],[Order_Status]]="Delivered",Table1[[#This Row],[Delivery_Date]]&lt;&gt;"Not Yet Delivered"),Table1[[#This Row],[Delivery_Date]]-Table1[[#This Row],[Order_Date]],"Not Applicable")</f>
        <v>11</v>
      </c>
      <c r="M1916" s="14">
        <f>Table1[[#This Row],[Unit_Cost]]-Table1[[#This Row],[Negotiated_Cost]]</f>
        <v>113.21000000000004</v>
      </c>
      <c r="N1916" s="18">
        <f>Table1[[#This Row],[Defective_Units]]/Table1[[#This Row],[Quantity]]</f>
        <v>4.0983606557377051E-3</v>
      </c>
      <c r="O1916" s="26">
        <f>(Table1[[#This Row],[Unit_Cost]]-Table1[[#This Row],[Negotiated_Cost]])/Table1[[#This Row],[Unit_Cost]]</f>
        <v>2.7424305187144667E-2</v>
      </c>
    </row>
    <row r="1917" spans="1:15" x14ac:dyDescent="0.25">
      <c r="A1917" t="s">
        <v>1952</v>
      </c>
      <c r="B1917" t="s">
        <v>20</v>
      </c>
      <c r="C1917" s="14" t="s">
        <v>42</v>
      </c>
      <c r="D1917" s="1">
        <v>45621</v>
      </c>
      <c r="E1917" s="13">
        <v>45650</v>
      </c>
      <c r="F1917" s="14" t="s">
        <v>37</v>
      </c>
      <c r="G1917">
        <v>202</v>
      </c>
      <c r="H1917">
        <v>11693.35</v>
      </c>
      <c r="I1917">
        <v>11440.56</v>
      </c>
      <c r="J1917">
        <v>2</v>
      </c>
      <c r="K1917" s="14" t="s">
        <v>15</v>
      </c>
      <c r="L1917" s="14">
        <f>IF(OR(Table1[[#This Row],[Order_Status]]="Delivered",Table1[[#This Row],[Delivery_Date]]&lt;&gt;"Not Yet Delivered"),Table1[[#This Row],[Delivery_Date]]-Table1[[#This Row],[Order_Date]],"Not Applicable")</f>
        <v>29</v>
      </c>
      <c r="M1917" s="14">
        <f>Table1[[#This Row],[Unit_Cost]]-Table1[[#This Row],[Negotiated_Cost]]</f>
        <v>252.79000000000087</v>
      </c>
      <c r="N1917" s="18">
        <f>Table1[[#This Row],[Defective_Units]]/Table1[[#This Row],[Quantity]]</f>
        <v>9.9009900990099011E-3</v>
      </c>
      <c r="O1917" s="26">
        <f>(Table1[[#This Row],[Unit_Cost]]-Table1[[#This Row],[Negotiated_Cost]])/Table1[[#This Row],[Unit_Cost]]</f>
        <v>2.1618270213411971E-2</v>
      </c>
    </row>
    <row r="1918" spans="1:15" x14ac:dyDescent="0.25">
      <c r="A1918" t="s">
        <v>1953</v>
      </c>
      <c r="B1918" t="s">
        <v>35</v>
      </c>
      <c r="C1918" s="14" t="s">
        <v>30</v>
      </c>
      <c r="D1918" s="1">
        <v>45537</v>
      </c>
      <c r="E1918" s="13">
        <v>45564</v>
      </c>
      <c r="F1918" s="14" t="s">
        <v>14</v>
      </c>
      <c r="G1918">
        <v>241</v>
      </c>
      <c r="H1918">
        <v>913.71</v>
      </c>
      <c r="I1918">
        <v>894.05</v>
      </c>
      <c r="J1918">
        <v>0</v>
      </c>
      <c r="K1918" s="14" t="s">
        <v>15</v>
      </c>
      <c r="L1918" s="14">
        <f>IF(OR(Table1[[#This Row],[Order_Status]]="Delivered",Table1[[#This Row],[Delivery_Date]]&lt;&gt;"Not Yet Delivered"),Table1[[#This Row],[Delivery_Date]]-Table1[[#This Row],[Order_Date]],"Not Applicable")</f>
        <v>27</v>
      </c>
      <c r="M1918" s="14">
        <f>Table1[[#This Row],[Unit_Cost]]-Table1[[#This Row],[Negotiated_Cost]]</f>
        <v>19.660000000000082</v>
      </c>
      <c r="N1918" s="18">
        <f>Table1[[#This Row],[Defective_Units]]/Table1[[#This Row],[Quantity]]</f>
        <v>0</v>
      </c>
      <c r="O1918" s="26">
        <f>(Table1[[#This Row],[Unit_Cost]]-Table1[[#This Row],[Negotiated_Cost]])/Table1[[#This Row],[Unit_Cost]]</f>
        <v>2.1516673780521262E-2</v>
      </c>
    </row>
    <row r="1919" spans="1:15" x14ac:dyDescent="0.25">
      <c r="A1919" t="s">
        <v>1954</v>
      </c>
      <c r="B1919" t="s">
        <v>35</v>
      </c>
      <c r="C1919" s="14" t="s">
        <v>24</v>
      </c>
      <c r="D1919" s="1">
        <v>45416</v>
      </c>
      <c r="E1919" s="13">
        <v>45445</v>
      </c>
      <c r="F1919" s="14" t="s">
        <v>14</v>
      </c>
      <c r="G1919">
        <v>319</v>
      </c>
      <c r="H1919">
        <v>12696.37</v>
      </c>
      <c r="I1919">
        <v>12095.52</v>
      </c>
      <c r="J1919">
        <v>3</v>
      </c>
      <c r="K1919" s="14" t="s">
        <v>15</v>
      </c>
      <c r="L1919" s="14">
        <f>IF(OR(Table1[[#This Row],[Order_Status]]="Delivered",Table1[[#This Row],[Delivery_Date]]&lt;&gt;"Not Yet Delivered"),Table1[[#This Row],[Delivery_Date]]-Table1[[#This Row],[Order_Date]],"Not Applicable")</f>
        <v>29</v>
      </c>
      <c r="M1919" s="14">
        <f>Table1[[#This Row],[Unit_Cost]]-Table1[[#This Row],[Negotiated_Cost]]</f>
        <v>600.85000000000036</v>
      </c>
      <c r="N1919" s="18">
        <f>Table1[[#This Row],[Defective_Units]]/Table1[[#This Row],[Quantity]]</f>
        <v>9.4043887147335428E-3</v>
      </c>
      <c r="O1919" s="26">
        <f>(Table1[[#This Row],[Unit_Cost]]-Table1[[#This Row],[Negotiated_Cost]])/Table1[[#This Row],[Unit_Cost]]</f>
        <v>4.7324550245463885E-2</v>
      </c>
    </row>
    <row r="1920" spans="1:15" x14ac:dyDescent="0.25">
      <c r="A1920" t="s">
        <v>1955</v>
      </c>
      <c r="B1920" t="s">
        <v>12</v>
      </c>
      <c r="C1920" s="14" t="s">
        <v>48</v>
      </c>
      <c r="D1920" s="1">
        <v>45281</v>
      </c>
      <c r="E1920" s="13">
        <v>45310</v>
      </c>
      <c r="F1920" s="14" t="s">
        <v>14</v>
      </c>
      <c r="G1920">
        <v>74</v>
      </c>
      <c r="H1920">
        <v>6704.96</v>
      </c>
      <c r="I1920">
        <v>6388.69</v>
      </c>
      <c r="J1920">
        <v>1</v>
      </c>
      <c r="K1920" s="14" t="s">
        <v>15</v>
      </c>
      <c r="L1920" s="14">
        <f>IF(OR(Table1[[#This Row],[Order_Status]]="Delivered",Table1[[#This Row],[Delivery_Date]]&lt;&gt;"Not Yet Delivered"),Table1[[#This Row],[Delivery_Date]]-Table1[[#This Row],[Order_Date]],"Not Applicable")</f>
        <v>29</v>
      </c>
      <c r="M1920" s="14">
        <f>Table1[[#This Row],[Unit_Cost]]-Table1[[#This Row],[Negotiated_Cost]]</f>
        <v>316.27000000000044</v>
      </c>
      <c r="N1920" s="18">
        <f>Table1[[#This Row],[Defective_Units]]/Table1[[#This Row],[Quantity]]</f>
        <v>1.3513513513513514E-2</v>
      </c>
      <c r="O1920" s="26">
        <f>(Table1[[#This Row],[Unit_Cost]]-Table1[[#This Row],[Negotiated_Cost]])/Table1[[#This Row],[Unit_Cost]]</f>
        <v>4.7169558058511973E-2</v>
      </c>
    </row>
    <row r="1921" spans="1:15" x14ac:dyDescent="0.25">
      <c r="A1921" t="s">
        <v>1956</v>
      </c>
      <c r="B1921" t="s">
        <v>17</v>
      </c>
      <c r="C1921" s="14" t="s">
        <v>13</v>
      </c>
      <c r="D1921" s="1">
        <v>45249</v>
      </c>
      <c r="E1921" s="13">
        <v>45259</v>
      </c>
      <c r="F1921" s="14" t="s">
        <v>14</v>
      </c>
      <c r="G1921">
        <v>336</v>
      </c>
      <c r="H1921">
        <v>3876.85</v>
      </c>
      <c r="I1921">
        <v>3783.28</v>
      </c>
      <c r="J1921">
        <v>5</v>
      </c>
      <c r="K1921" s="14" t="s">
        <v>15</v>
      </c>
      <c r="L1921" s="14">
        <f>IF(OR(Table1[[#This Row],[Order_Status]]="Delivered",Table1[[#This Row],[Delivery_Date]]&lt;&gt;"Not Yet Delivered"),Table1[[#This Row],[Delivery_Date]]-Table1[[#This Row],[Order_Date]],"Not Applicable")</f>
        <v>10</v>
      </c>
      <c r="M1921" s="14">
        <f>Table1[[#This Row],[Unit_Cost]]-Table1[[#This Row],[Negotiated_Cost]]</f>
        <v>93.569999999999709</v>
      </c>
      <c r="N1921" s="18">
        <f>Table1[[#This Row],[Defective_Units]]/Table1[[#This Row],[Quantity]]</f>
        <v>1.488095238095238E-2</v>
      </c>
      <c r="O1921" s="26">
        <f>(Table1[[#This Row],[Unit_Cost]]-Table1[[#This Row],[Negotiated_Cost]])/Table1[[#This Row],[Unit_Cost]]</f>
        <v>2.4135573984033355E-2</v>
      </c>
    </row>
    <row r="1922" spans="1:15" x14ac:dyDescent="0.25">
      <c r="A1922" t="s">
        <v>1957</v>
      </c>
      <c r="B1922" t="s">
        <v>27</v>
      </c>
      <c r="C1922" s="14" t="s">
        <v>48</v>
      </c>
      <c r="D1922" s="1">
        <v>45468</v>
      </c>
      <c r="E1922" s="13">
        <v>45489</v>
      </c>
      <c r="F1922" s="14" t="s">
        <v>14</v>
      </c>
      <c r="G1922">
        <v>499</v>
      </c>
      <c r="H1922">
        <v>6249.68</v>
      </c>
      <c r="I1922">
        <v>6232.34</v>
      </c>
      <c r="J1922">
        <v>4</v>
      </c>
      <c r="K1922" s="14" t="s">
        <v>15</v>
      </c>
      <c r="L1922" s="14">
        <f>IF(OR(Table1[[#This Row],[Order_Status]]="Delivered",Table1[[#This Row],[Delivery_Date]]&lt;&gt;"Not Yet Delivered"),Table1[[#This Row],[Delivery_Date]]-Table1[[#This Row],[Order_Date]],"Not Applicable")</f>
        <v>21</v>
      </c>
      <c r="M1922" s="14">
        <f>Table1[[#This Row],[Unit_Cost]]-Table1[[#This Row],[Negotiated_Cost]]</f>
        <v>17.340000000000146</v>
      </c>
      <c r="N1922" s="18">
        <f>Table1[[#This Row],[Defective_Units]]/Table1[[#This Row],[Quantity]]</f>
        <v>8.0160320641282558E-3</v>
      </c>
      <c r="O1922" s="26">
        <f>(Table1[[#This Row],[Unit_Cost]]-Table1[[#This Row],[Negotiated_Cost]])/Table1[[#This Row],[Unit_Cost]]</f>
        <v>2.7745420565533185E-3</v>
      </c>
    </row>
    <row r="1923" spans="1:15" x14ac:dyDescent="0.25">
      <c r="A1923" t="s">
        <v>1958</v>
      </c>
      <c r="B1923" t="s">
        <v>20</v>
      </c>
      <c r="C1923" s="14" t="s">
        <v>42</v>
      </c>
      <c r="D1923" s="1">
        <v>45246</v>
      </c>
      <c r="E1923" s="13">
        <v>45272</v>
      </c>
      <c r="F1923" s="14" t="s">
        <v>14</v>
      </c>
      <c r="G1923">
        <v>379</v>
      </c>
      <c r="H1923">
        <v>11059.93</v>
      </c>
      <c r="I1923">
        <v>10712.53</v>
      </c>
      <c r="J1923">
        <v>12</v>
      </c>
      <c r="K1923" s="14" t="s">
        <v>15</v>
      </c>
      <c r="L1923" s="14">
        <f>IF(OR(Table1[[#This Row],[Order_Status]]="Delivered",Table1[[#This Row],[Delivery_Date]]&lt;&gt;"Not Yet Delivered"),Table1[[#This Row],[Delivery_Date]]-Table1[[#This Row],[Order_Date]],"Not Applicable")</f>
        <v>26</v>
      </c>
      <c r="M1923" s="14">
        <f>Table1[[#This Row],[Unit_Cost]]-Table1[[#This Row],[Negotiated_Cost]]</f>
        <v>347.39999999999964</v>
      </c>
      <c r="N1923" s="18">
        <f>Table1[[#This Row],[Defective_Units]]/Table1[[#This Row],[Quantity]]</f>
        <v>3.1662269129287601E-2</v>
      </c>
      <c r="O1923" s="26">
        <f>(Table1[[#This Row],[Unit_Cost]]-Table1[[#This Row],[Negotiated_Cost]])/Table1[[#This Row],[Unit_Cost]]</f>
        <v>3.1410687047748007E-2</v>
      </c>
    </row>
    <row r="1924" spans="1:15" x14ac:dyDescent="0.25">
      <c r="A1924" t="s">
        <v>1959</v>
      </c>
      <c r="B1924" t="s">
        <v>46</v>
      </c>
      <c r="C1924" s="14" t="s">
        <v>36</v>
      </c>
      <c r="D1924" s="1">
        <v>45198</v>
      </c>
      <c r="E1924" s="13">
        <v>45212</v>
      </c>
      <c r="F1924" s="14" t="s">
        <v>14</v>
      </c>
      <c r="G1924">
        <v>469</v>
      </c>
      <c r="H1924">
        <v>513.82000000000005</v>
      </c>
      <c r="I1924">
        <v>483.63</v>
      </c>
      <c r="J1924">
        <v>6</v>
      </c>
      <c r="K1924" s="14" t="s">
        <v>15</v>
      </c>
      <c r="L1924" s="14">
        <f>IF(OR(Table1[[#This Row],[Order_Status]]="Delivered",Table1[[#This Row],[Delivery_Date]]&lt;&gt;"Not Yet Delivered"),Table1[[#This Row],[Delivery_Date]]-Table1[[#This Row],[Order_Date]],"Not Applicable")</f>
        <v>14</v>
      </c>
      <c r="M1924" s="14">
        <f>Table1[[#This Row],[Unit_Cost]]-Table1[[#This Row],[Negotiated_Cost]]</f>
        <v>30.190000000000055</v>
      </c>
      <c r="N1924" s="18">
        <f>Table1[[#This Row],[Defective_Units]]/Table1[[#This Row],[Quantity]]</f>
        <v>1.279317697228145E-2</v>
      </c>
      <c r="O1924" s="26">
        <f>(Table1[[#This Row],[Unit_Cost]]-Table1[[#This Row],[Negotiated_Cost]])/Table1[[#This Row],[Unit_Cost]]</f>
        <v>5.8755984586041907E-2</v>
      </c>
    </row>
    <row r="1925" spans="1:15" x14ac:dyDescent="0.25">
      <c r="A1925" t="s">
        <v>1960</v>
      </c>
      <c r="B1925" t="s">
        <v>12</v>
      </c>
      <c r="C1925" s="14" t="s">
        <v>48</v>
      </c>
      <c r="D1925" s="1">
        <v>44969</v>
      </c>
      <c r="E1925" s="13">
        <v>44973</v>
      </c>
      <c r="F1925" s="14" t="s">
        <v>14</v>
      </c>
      <c r="G1925">
        <v>365</v>
      </c>
      <c r="H1925">
        <v>6839.24</v>
      </c>
      <c r="I1925">
        <v>6441.33</v>
      </c>
      <c r="J1925">
        <v>7</v>
      </c>
      <c r="K1925" s="14" t="s">
        <v>15</v>
      </c>
      <c r="L1925" s="14">
        <f>IF(OR(Table1[[#This Row],[Order_Status]]="Delivered",Table1[[#This Row],[Delivery_Date]]&lt;&gt;"Not Yet Delivered"),Table1[[#This Row],[Delivery_Date]]-Table1[[#This Row],[Order_Date]],"Not Applicable")</f>
        <v>4</v>
      </c>
      <c r="M1925" s="14">
        <f>Table1[[#This Row],[Unit_Cost]]-Table1[[#This Row],[Negotiated_Cost]]</f>
        <v>397.90999999999985</v>
      </c>
      <c r="N1925" s="18">
        <f>Table1[[#This Row],[Defective_Units]]/Table1[[#This Row],[Quantity]]</f>
        <v>1.9178082191780823E-2</v>
      </c>
      <c r="O1925" s="26">
        <f>(Table1[[#This Row],[Unit_Cost]]-Table1[[#This Row],[Negotiated_Cost]])/Table1[[#This Row],[Unit_Cost]]</f>
        <v>5.8180441101642853E-2</v>
      </c>
    </row>
    <row r="1926" spans="1:15" x14ac:dyDescent="0.25">
      <c r="A1926" t="s">
        <v>1961</v>
      </c>
      <c r="B1926" t="s">
        <v>17</v>
      </c>
      <c r="C1926" s="14" t="s">
        <v>28</v>
      </c>
      <c r="D1926" s="1">
        <v>45568</v>
      </c>
      <c r="E1926" s="13">
        <v>45581</v>
      </c>
      <c r="F1926" s="14" t="s">
        <v>14</v>
      </c>
      <c r="G1926">
        <v>134</v>
      </c>
      <c r="H1926">
        <v>46700.32</v>
      </c>
      <c r="I1926">
        <v>45210.400000000001</v>
      </c>
      <c r="J1926">
        <v>5</v>
      </c>
      <c r="K1926" s="14" t="s">
        <v>15</v>
      </c>
      <c r="L1926" s="14">
        <f>IF(OR(Table1[[#This Row],[Order_Status]]="Delivered",Table1[[#This Row],[Delivery_Date]]&lt;&gt;"Not Yet Delivered"),Table1[[#This Row],[Delivery_Date]]-Table1[[#This Row],[Order_Date]],"Not Applicable")</f>
        <v>13</v>
      </c>
      <c r="M1926" s="14">
        <f>Table1[[#This Row],[Unit_Cost]]-Table1[[#This Row],[Negotiated_Cost]]</f>
        <v>1489.9199999999983</v>
      </c>
      <c r="N1926" s="18">
        <f>Table1[[#This Row],[Defective_Units]]/Table1[[#This Row],[Quantity]]</f>
        <v>3.7313432835820892E-2</v>
      </c>
      <c r="O1926" s="26">
        <f>(Table1[[#This Row],[Unit_Cost]]-Table1[[#This Row],[Negotiated_Cost]])/Table1[[#This Row],[Unit_Cost]]</f>
        <v>3.1903849909379597E-2</v>
      </c>
    </row>
    <row r="1927" spans="1:15" x14ac:dyDescent="0.25">
      <c r="A1927" t="s">
        <v>1962</v>
      </c>
      <c r="B1927" t="s">
        <v>35</v>
      </c>
      <c r="C1927" s="14" t="s">
        <v>42</v>
      </c>
      <c r="D1927" s="1">
        <v>45470</v>
      </c>
      <c r="E1927" s="13">
        <v>45473</v>
      </c>
      <c r="F1927" s="14" t="s">
        <v>14</v>
      </c>
      <c r="G1927">
        <v>27</v>
      </c>
      <c r="H1927">
        <v>12170.14</v>
      </c>
      <c r="I1927">
        <v>11689.38</v>
      </c>
      <c r="J1927">
        <v>0</v>
      </c>
      <c r="K1927" s="14" t="s">
        <v>25</v>
      </c>
      <c r="L1927" s="14">
        <f>IF(OR(Table1[[#This Row],[Order_Status]]="Delivered",Table1[[#This Row],[Delivery_Date]]&lt;&gt;"Not Yet Delivered"),Table1[[#This Row],[Delivery_Date]]-Table1[[#This Row],[Order_Date]],"Not Applicable")</f>
        <v>3</v>
      </c>
      <c r="M1927" s="14">
        <f>Table1[[#This Row],[Unit_Cost]]-Table1[[#This Row],[Negotiated_Cost]]</f>
        <v>480.76000000000022</v>
      </c>
      <c r="N1927" s="18">
        <f>Table1[[#This Row],[Defective_Units]]/Table1[[#This Row],[Quantity]]</f>
        <v>0</v>
      </c>
      <c r="O1927" s="26">
        <f>(Table1[[#This Row],[Unit_Cost]]-Table1[[#This Row],[Negotiated_Cost]])/Table1[[#This Row],[Unit_Cost]]</f>
        <v>3.9503243183726749E-2</v>
      </c>
    </row>
    <row r="1928" spans="1:15" x14ac:dyDescent="0.25">
      <c r="A1928" t="s">
        <v>1963</v>
      </c>
      <c r="B1928" t="s">
        <v>27</v>
      </c>
      <c r="C1928" s="14" t="s">
        <v>13</v>
      </c>
      <c r="D1928" s="1">
        <v>45378</v>
      </c>
      <c r="E1928" s="13">
        <v>45390</v>
      </c>
      <c r="F1928" s="14" t="s">
        <v>14</v>
      </c>
      <c r="G1928">
        <v>373</v>
      </c>
      <c r="H1928">
        <v>4230</v>
      </c>
      <c r="I1928">
        <v>4107.4799999999996</v>
      </c>
      <c r="J1928">
        <v>4</v>
      </c>
      <c r="K1928" s="14" t="s">
        <v>15</v>
      </c>
      <c r="L1928" s="14">
        <f>IF(OR(Table1[[#This Row],[Order_Status]]="Delivered",Table1[[#This Row],[Delivery_Date]]&lt;&gt;"Not Yet Delivered"),Table1[[#This Row],[Delivery_Date]]-Table1[[#This Row],[Order_Date]],"Not Applicable")</f>
        <v>12</v>
      </c>
      <c r="M1928" s="14">
        <f>Table1[[#This Row],[Unit_Cost]]-Table1[[#This Row],[Negotiated_Cost]]</f>
        <v>122.52000000000044</v>
      </c>
      <c r="N1928" s="18">
        <f>Table1[[#This Row],[Defective_Units]]/Table1[[#This Row],[Quantity]]</f>
        <v>1.0723860589812333E-2</v>
      </c>
      <c r="O1928" s="26">
        <f>(Table1[[#This Row],[Unit_Cost]]-Table1[[#This Row],[Negotiated_Cost]])/Table1[[#This Row],[Unit_Cost]]</f>
        <v>2.8964539007092303E-2</v>
      </c>
    </row>
    <row r="1929" spans="1:15" x14ac:dyDescent="0.25">
      <c r="A1929" t="s">
        <v>1964</v>
      </c>
      <c r="B1929" t="s">
        <v>27</v>
      </c>
      <c r="C1929" s="14" t="s">
        <v>21</v>
      </c>
      <c r="D1929" s="1">
        <v>45358</v>
      </c>
      <c r="E1929" s="13">
        <v>45384</v>
      </c>
      <c r="F1929" s="14" t="s">
        <v>14</v>
      </c>
      <c r="G1929">
        <v>167</v>
      </c>
      <c r="H1929">
        <v>126.55</v>
      </c>
      <c r="I1929">
        <v>124</v>
      </c>
      <c r="J1929">
        <v>2</v>
      </c>
      <c r="K1929" s="14" t="s">
        <v>15</v>
      </c>
      <c r="L1929" s="14">
        <f>IF(OR(Table1[[#This Row],[Order_Status]]="Delivered",Table1[[#This Row],[Delivery_Date]]&lt;&gt;"Not Yet Delivered"),Table1[[#This Row],[Delivery_Date]]-Table1[[#This Row],[Order_Date]],"Not Applicable")</f>
        <v>26</v>
      </c>
      <c r="M1929" s="14">
        <f>Table1[[#This Row],[Unit_Cost]]-Table1[[#This Row],[Negotiated_Cost]]</f>
        <v>2.5499999999999972</v>
      </c>
      <c r="N1929" s="18">
        <f>Table1[[#This Row],[Defective_Units]]/Table1[[#This Row],[Quantity]]</f>
        <v>1.1976047904191617E-2</v>
      </c>
      <c r="O1929" s="26">
        <f>(Table1[[#This Row],[Unit_Cost]]-Table1[[#This Row],[Negotiated_Cost]])/Table1[[#This Row],[Unit_Cost]]</f>
        <v>2.0150138285262721E-2</v>
      </c>
    </row>
    <row r="1930" spans="1:15" x14ac:dyDescent="0.25">
      <c r="A1930" t="s">
        <v>1965</v>
      </c>
      <c r="B1930" t="s">
        <v>12</v>
      </c>
      <c r="C1930" s="14" t="s">
        <v>48</v>
      </c>
      <c r="D1930" s="1">
        <v>45026</v>
      </c>
      <c r="E1930" s="13">
        <v>45046</v>
      </c>
      <c r="F1930" s="14" t="s">
        <v>14</v>
      </c>
      <c r="G1930">
        <v>109</v>
      </c>
      <c r="H1930">
        <v>6836.66</v>
      </c>
      <c r="I1930">
        <v>6511.9</v>
      </c>
      <c r="J1930">
        <v>5</v>
      </c>
      <c r="K1930" s="14" t="s">
        <v>15</v>
      </c>
      <c r="L1930" s="14">
        <f>IF(OR(Table1[[#This Row],[Order_Status]]="Delivered",Table1[[#This Row],[Delivery_Date]]&lt;&gt;"Not Yet Delivered"),Table1[[#This Row],[Delivery_Date]]-Table1[[#This Row],[Order_Date]],"Not Applicable")</f>
        <v>20</v>
      </c>
      <c r="M1930" s="14">
        <f>Table1[[#This Row],[Unit_Cost]]-Table1[[#This Row],[Negotiated_Cost]]</f>
        <v>324.76000000000022</v>
      </c>
      <c r="N1930" s="18">
        <f>Table1[[#This Row],[Defective_Units]]/Table1[[#This Row],[Quantity]]</f>
        <v>4.5871559633027525E-2</v>
      </c>
      <c r="O1930" s="26">
        <f>(Table1[[#This Row],[Unit_Cost]]-Table1[[#This Row],[Negotiated_Cost]])/Table1[[#This Row],[Unit_Cost]]</f>
        <v>4.7502727940251559E-2</v>
      </c>
    </row>
    <row r="1931" spans="1:15" x14ac:dyDescent="0.25">
      <c r="A1931" t="s">
        <v>1966</v>
      </c>
      <c r="B1931" t="s">
        <v>32</v>
      </c>
      <c r="C1931" s="14" t="s">
        <v>18</v>
      </c>
      <c r="D1931" s="1">
        <v>44941</v>
      </c>
      <c r="E1931" s="14" t="s">
        <v>2057</v>
      </c>
      <c r="F1931" s="14" t="s">
        <v>33</v>
      </c>
      <c r="G1931">
        <v>52</v>
      </c>
      <c r="H1931">
        <v>4957.0600000000004</v>
      </c>
      <c r="I1931">
        <v>4852.6000000000004</v>
      </c>
      <c r="J1931">
        <v>2</v>
      </c>
      <c r="K1931" s="14" t="s">
        <v>15</v>
      </c>
      <c r="L1931" s="14" t="str">
        <f>IF(OR(Table1[[#This Row],[Order_Status]]="Delivered",Table1[[#This Row],[Delivery_Date]]&lt;&gt;"Not Yet Delivered"),Table1[[#This Row],[Delivery_Date]]-Table1[[#This Row],[Order_Date]],"Not Applicable")</f>
        <v>Not Applicable</v>
      </c>
      <c r="M1931" s="14">
        <f>Table1[[#This Row],[Unit_Cost]]-Table1[[#This Row],[Negotiated_Cost]]</f>
        <v>104.46000000000004</v>
      </c>
      <c r="N1931" s="18">
        <f>Table1[[#This Row],[Defective_Units]]/Table1[[#This Row],[Quantity]]</f>
        <v>3.8461538461538464E-2</v>
      </c>
      <c r="O1931" s="26">
        <f>(Table1[[#This Row],[Unit_Cost]]-Table1[[#This Row],[Negotiated_Cost]])/Table1[[#This Row],[Unit_Cost]]</f>
        <v>2.107297470678185E-2</v>
      </c>
    </row>
    <row r="1932" spans="1:15" x14ac:dyDescent="0.25">
      <c r="A1932" t="s">
        <v>1967</v>
      </c>
      <c r="B1932" t="s">
        <v>32</v>
      </c>
      <c r="C1932" s="14" t="s">
        <v>30</v>
      </c>
      <c r="D1932" s="1">
        <v>45041</v>
      </c>
      <c r="E1932" s="13">
        <v>45046</v>
      </c>
      <c r="F1932" s="14" t="s">
        <v>14</v>
      </c>
      <c r="G1932">
        <v>421</v>
      </c>
      <c r="H1932">
        <v>847.08</v>
      </c>
      <c r="I1932">
        <v>839.25</v>
      </c>
      <c r="J1932">
        <v>7</v>
      </c>
      <c r="K1932" s="14" t="s">
        <v>15</v>
      </c>
      <c r="L1932" s="14">
        <f>IF(OR(Table1[[#This Row],[Order_Status]]="Delivered",Table1[[#This Row],[Delivery_Date]]&lt;&gt;"Not Yet Delivered"),Table1[[#This Row],[Delivery_Date]]-Table1[[#This Row],[Order_Date]],"Not Applicable")</f>
        <v>5</v>
      </c>
      <c r="M1932" s="14">
        <f>Table1[[#This Row],[Unit_Cost]]-Table1[[#This Row],[Negotiated_Cost]]</f>
        <v>7.8300000000000409</v>
      </c>
      <c r="N1932" s="18">
        <f>Table1[[#This Row],[Defective_Units]]/Table1[[#This Row],[Quantity]]</f>
        <v>1.66270783847981E-2</v>
      </c>
      <c r="O1932" s="26">
        <f>(Table1[[#This Row],[Unit_Cost]]-Table1[[#This Row],[Negotiated_Cost]])/Table1[[#This Row],[Unit_Cost]]</f>
        <v>9.243518912027248E-3</v>
      </c>
    </row>
    <row r="1933" spans="1:15" x14ac:dyDescent="0.25">
      <c r="A1933" t="s">
        <v>1968</v>
      </c>
      <c r="B1933" t="s">
        <v>32</v>
      </c>
      <c r="C1933" s="14" t="s">
        <v>36</v>
      </c>
      <c r="D1933" s="1">
        <v>45092</v>
      </c>
      <c r="E1933" s="13">
        <v>45115</v>
      </c>
      <c r="F1933" s="14" t="s">
        <v>14</v>
      </c>
      <c r="G1933">
        <v>450</v>
      </c>
      <c r="H1933">
        <v>478.54</v>
      </c>
      <c r="I1933">
        <v>472.49</v>
      </c>
      <c r="J1933">
        <v>10</v>
      </c>
      <c r="K1933" s="14" t="s">
        <v>15</v>
      </c>
      <c r="L1933" s="14">
        <f>IF(OR(Table1[[#This Row],[Order_Status]]="Delivered",Table1[[#This Row],[Delivery_Date]]&lt;&gt;"Not Yet Delivered"),Table1[[#This Row],[Delivery_Date]]-Table1[[#This Row],[Order_Date]],"Not Applicable")</f>
        <v>23</v>
      </c>
      <c r="M1933" s="14">
        <f>Table1[[#This Row],[Unit_Cost]]-Table1[[#This Row],[Negotiated_Cost]]</f>
        <v>6.0500000000000114</v>
      </c>
      <c r="N1933" s="18">
        <f>Table1[[#This Row],[Defective_Units]]/Table1[[#This Row],[Quantity]]</f>
        <v>2.2222222222222223E-2</v>
      </c>
      <c r="O1933" s="26">
        <f>(Table1[[#This Row],[Unit_Cost]]-Table1[[#This Row],[Negotiated_Cost]])/Table1[[#This Row],[Unit_Cost]]</f>
        <v>1.2642621306473881E-2</v>
      </c>
    </row>
    <row r="1934" spans="1:15" x14ac:dyDescent="0.25">
      <c r="A1934" t="s">
        <v>1969</v>
      </c>
      <c r="B1934" t="s">
        <v>40</v>
      </c>
      <c r="C1934" s="14" t="s">
        <v>55</v>
      </c>
      <c r="D1934" s="1">
        <v>45059</v>
      </c>
      <c r="E1934" s="13">
        <v>45075</v>
      </c>
      <c r="F1934" s="14" t="s">
        <v>37</v>
      </c>
      <c r="G1934">
        <v>56</v>
      </c>
      <c r="H1934">
        <v>15660.79</v>
      </c>
      <c r="I1934">
        <v>15233.7</v>
      </c>
      <c r="J1934">
        <v>3</v>
      </c>
      <c r="K1934" s="14" t="s">
        <v>15</v>
      </c>
      <c r="L1934" s="14">
        <f>IF(OR(Table1[[#This Row],[Order_Status]]="Delivered",Table1[[#This Row],[Delivery_Date]]&lt;&gt;"Not Yet Delivered"),Table1[[#This Row],[Delivery_Date]]-Table1[[#This Row],[Order_Date]],"Not Applicable")</f>
        <v>16</v>
      </c>
      <c r="M1934" s="14">
        <f>Table1[[#This Row],[Unit_Cost]]-Table1[[#This Row],[Negotiated_Cost]]</f>
        <v>427.09000000000015</v>
      </c>
      <c r="N1934" s="18">
        <f>Table1[[#This Row],[Defective_Units]]/Table1[[#This Row],[Quantity]]</f>
        <v>5.3571428571428568E-2</v>
      </c>
      <c r="O1934" s="26">
        <f>(Table1[[#This Row],[Unit_Cost]]-Table1[[#This Row],[Negotiated_Cost]])/Table1[[#This Row],[Unit_Cost]]</f>
        <v>2.7271293466038439E-2</v>
      </c>
    </row>
    <row r="1935" spans="1:15" x14ac:dyDescent="0.25">
      <c r="A1935" t="s">
        <v>1970</v>
      </c>
      <c r="B1935" t="s">
        <v>40</v>
      </c>
      <c r="C1935" s="14" t="s">
        <v>30</v>
      </c>
      <c r="D1935" s="1">
        <v>45172</v>
      </c>
      <c r="E1935" s="14" t="s">
        <v>2057</v>
      </c>
      <c r="F1935" s="14" t="s">
        <v>33</v>
      </c>
      <c r="G1935">
        <v>93</v>
      </c>
      <c r="H1935">
        <v>974.84</v>
      </c>
      <c r="I1935">
        <v>965.63</v>
      </c>
      <c r="J1935">
        <v>2</v>
      </c>
      <c r="K1935" s="14" t="s">
        <v>15</v>
      </c>
      <c r="L1935" s="14" t="str">
        <f>IF(OR(Table1[[#This Row],[Order_Status]]="Delivered",Table1[[#This Row],[Delivery_Date]]&lt;&gt;"Not Yet Delivered"),Table1[[#This Row],[Delivery_Date]]-Table1[[#This Row],[Order_Date]],"Not Applicable")</f>
        <v>Not Applicable</v>
      </c>
      <c r="M1935" s="14">
        <f>Table1[[#This Row],[Unit_Cost]]-Table1[[#This Row],[Negotiated_Cost]]</f>
        <v>9.2100000000000364</v>
      </c>
      <c r="N1935" s="18">
        <f>Table1[[#This Row],[Defective_Units]]/Table1[[#This Row],[Quantity]]</f>
        <v>2.1505376344086023E-2</v>
      </c>
      <c r="O1935" s="26">
        <f>(Table1[[#This Row],[Unit_Cost]]-Table1[[#This Row],[Negotiated_Cost]])/Table1[[#This Row],[Unit_Cost]]</f>
        <v>9.4477042386443277E-3</v>
      </c>
    </row>
    <row r="1936" spans="1:15" x14ac:dyDescent="0.25">
      <c r="A1936" t="s">
        <v>1971</v>
      </c>
      <c r="B1936" t="s">
        <v>32</v>
      </c>
      <c r="C1936" s="14" t="s">
        <v>55</v>
      </c>
      <c r="D1936" s="1">
        <v>45169</v>
      </c>
      <c r="E1936" s="13">
        <v>45193</v>
      </c>
      <c r="F1936" s="14" t="s">
        <v>14</v>
      </c>
      <c r="G1936">
        <v>47</v>
      </c>
      <c r="H1936">
        <v>13297.35</v>
      </c>
      <c r="I1936">
        <v>13043.56</v>
      </c>
      <c r="J1936">
        <v>0</v>
      </c>
      <c r="K1936" s="14" t="s">
        <v>15</v>
      </c>
      <c r="L1936" s="14">
        <f>IF(OR(Table1[[#This Row],[Order_Status]]="Delivered",Table1[[#This Row],[Delivery_Date]]&lt;&gt;"Not Yet Delivered"),Table1[[#This Row],[Delivery_Date]]-Table1[[#This Row],[Order_Date]],"Not Applicable")</f>
        <v>24</v>
      </c>
      <c r="M1936" s="14">
        <f>Table1[[#This Row],[Unit_Cost]]-Table1[[#This Row],[Negotiated_Cost]]</f>
        <v>253.79000000000087</v>
      </c>
      <c r="N1936" s="18">
        <f>Table1[[#This Row],[Defective_Units]]/Table1[[#This Row],[Quantity]]</f>
        <v>0</v>
      </c>
      <c r="O1936" s="26">
        <f>(Table1[[#This Row],[Unit_Cost]]-Table1[[#This Row],[Negotiated_Cost]])/Table1[[#This Row],[Unit_Cost]]</f>
        <v>1.908575768856207E-2</v>
      </c>
    </row>
    <row r="1937" spans="1:15" x14ac:dyDescent="0.25">
      <c r="A1937" t="s">
        <v>1972</v>
      </c>
      <c r="B1937" t="s">
        <v>35</v>
      </c>
      <c r="C1937" s="14" t="s">
        <v>55</v>
      </c>
      <c r="D1937" s="1">
        <v>45635</v>
      </c>
      <c r="E1937" s="13">
        <v>45654</v>
      </c>
      <c r="F1937" s="14" t="s">
        <v>14</v>
      </c>
      <c r="G1937">
        <v>277</v>
      </c>
      <c r="H1937">
        <v>14245.8</v>
      </c>
      <c r="I1937">
        <v>14035.84</v>
      </c>
      <c r="J1937">
        <v>2</v>
      </c>
      <c r="K1937" s="14" t="s">
        <v>15</v>
      </c>
      <c r="L1937" s="14">
        <f>IF(OR(Table1[[#This Row],[Order_Status]]="Delivered",Table1[[#This Row],[Delivery_Date]]&lt;&gt;"Not Yet Delivered"),Table1[[#This Row],[Delivery_Date]]-Table1[[#This Row],[Order_Date]],"Not Applicable")</f>
        <v>19</v>
      </c>
      <c r="M1937" s="14">
        <f>Table1[[#This Row],[Unit_Cost]]-Table1[[#This Row],[Negotiated_Cost]]</f>
        <v>209.95999999999913</v>
      </c>
      <c r="N1937" s="18">
        <f>Table1[[#This Row],[Defective_Units]]/Table1[[#This Row],[Quantity]]</f>
        <v>7.2202166064981952E-3</v>
      </c>
      <c r="O1937" s="26">
        <f>(Table1[[#This Row],[Unit_Cost]]-Table1[[#This Row],[Negotiated_Cost]])/Table1[[#This Row],[Unit_Cost]]</f>
        <v>1.4738379031012589E-2</v>
      </c>
    </row>
    <row r="1938" spans="1:15" x14ac:dyDescent="0.25">
      <c r="A1938" t="s">
        <v>1973</v>
      </c>
      <c r="B1938" t="s">
        <v>17</v>
      </c>
      <c r="C1938" s="14" t="s">
        <v>28</v>
      </c>
      <c r="D1938" s="1">
        <v>45122</v>
      </c>
      <c r="E1938" s="14" t="s">
        <v>2057</v>
      </c>
      <c r="F1938" s="14" t="s">
        <v>22</v>
      </c>
      <c r="G1938">
        <v>111</v>
      </c>
      <c r="H1938">
        <v>45925.3</v>
      </c>
      <c r="I1938">
        <v>45168.61</v>
      </c>
      <c r="J1938">
        <v>2</v>
      </c>
      <c r="K1938" s="14" t="s">
        <v>15</v>
      </c>
      <c r="L1938" s="14" t="str">
        <f>IF(OR(Table1[[#This Row],[Order_Status]]="Delivered",Table1[[#This Row],[Delivery_Date]]&lt;&gt;"Not Yet Delivered"),Table1[[#This Row],[Delivery_Date]]-Table1[[#This Row],[Order_Date]],"Not Applicable")</f>
        <v>Not Applicable</v>
      </c>
      <c r="M1938" s="14">
        <f>Table1[[#This Row],[Unit_Cost]]-Table1[[#This Row],[Negotiated_Cost]]</f>
        <v>756.69000000000233</v>
      </c>
      <c r="N1938" s="18">
        <f>Table1[[#This Row],[Defective_Units]]/Table1[[#This Row],[Quantity]]</f>
        <v>1.8018018018018018E-2</v>
      </c>
      <c r="O1938" s="26">
        <f>(Table1[[#This Row],[Unit_Cost]]-Table1[[#This Row],[Negotiated_Cost]])/Table1[[#This Row],[Unit_Cost]]</f>
        <v>1.6476539075411641E-2</v>
      </c>
    </row>
    <row r="1939" spans="1:15" x14ac:dyDescent="0.25">
      <c r="A1939" t="s">
        <v>1974</v>
      </c>
      <c r="B1939" t="s">
        <v>27</v>
      </c>
      <c r="C1939" s="14" t="s">
        <v>24</v>
      </c>
      <c r="D1939" s="1">
        <v>45366</v>
      </c>
      <c r="E1939" s="13">
        <v>45370</v>
      </c>
      <c r="F1939" s="14" t="s">
        <v>14</v>
      </c>
      <c r="G1939">
        <v>184</v>
      </c>
      <c r="H1939">
        <v>13459.44</v>
      </c>
      <c r="I1939">
        <v>12975.15</v>
      </c>
      <c r="J1939">
        <v>0</v>
      </c>
      <c r="K1939" s="14" t="s">
        <v>15</v>
      </c>
      <c r="L1939" s="14">
        <f>IF(OR(Table1[[#This Row],[Order_Status]]="Delivered",Table1[[#This Row],[Delivery_Date]]&lt;&gt;"Not Yet Delivered"),Table1[[#This Row],[Delivery_Date]]-Table1[[#This Row],[Order_Date]],"Not Applicable")</f>
        <v>4</v>
      </c>
      <c r="M1939" s="14">
        <f>Table1[[#This Row],[Unit_Cost]]-Table1[[#This Row],[Negotiated_Cost]]</f>
        <v>484.29000000000087</v>
      </c>
      <c r="N1939" s="18">
        <f>Table1[[#This Row],[Defective_Units]]/Table1[[#This Row],[Quantity]]</f>
        <v>0</v>
      </c>
      <c r="O1939" s="26">
        <f>(Table1[[#This Row],[Unit_Cost]]-Table1[[#This Row],[Negotiated_Cost]])/Table1[[#This Row],[Unit_Cost]]</f>
        <v>3.5981437563524253E-2</v>
      </c>
    </row>
    <row r="1940" spans="1:15" x14ac:dyDescent="0.25">
      <c r="A1940" t="s">
        <v>1975</v>
      </c>
      <c r="B1940" t="s">
        <v>40</v>
      </c>
      <c r="C1940" s="14" t="s">
        <v>55</v>
      </c>
      <c r="D1940" s="1">
        <v>45019</v>
      </c>
      <c r="E1940" s="13">
        <v>45032</v>
      </c>
      <c r="F1940" s="14" t="s">
        <v>14</v>
      </c>
      <c r="G1940">
        <v>141</v>
      </c>
      <c r="H1940">
        <v>15751.52</v>
      </c>
      <c r="I1940">
        <v>15616.89</v>
      </c>
      <c r="J1940">
        <v>1</v>
      </c>
      <c r="K1940" s="14" t="s">
        <v>15</v>
      </c>
      <c r="L1940" s="14">
        <f>IF(OR(Table1[[#This Row],[Order_Status]]="Delivered",Table1[[#This Row],[Delivery_Date]]&lt;&gt;"Not Yet Delivered"),Table1[[#This Row],[Delivery_Date]]-Table1[[#This Row],[Order_Date]],"Not Applicable")</f>
        <v>13</v>
      </c>
      <c r="M1940" s="14">
        <f>Table1[[#This Row],[Unit_Cost]]-Table1[[#This Row],[Negotiated_Cost]]</f>
        <v>134.63000000000102</v>
      </c>
      <c r="N1940" s="18">
        <f>Table1[[#This Row],[Defective_Units]]/Table1[[#This Row],[Quantity]]</f>
        <v>7.0921985815602835E-3</v>
      </c>
      <c r="O1940" s="26">
        <f>(Table1[[#This Row],[Unit_Cost]]-Table1[[#This Row],[Negotiated_Cost]])/Table1[[#This Row],[Unit_Cost]]</f>
        <v>8.5471116438287243E-3</v>
      </c>
    </row>
    <row r="1941" spans="1:15" x14ac:dyDescent="0.25">
      <c r="A1941" t="s">
        <v>1976</v>
      </c>
      <c r="B1941" t="s">
        <v>27</v>
      </c>
      <c r="C1941" s="14" t="s">
        <v>13</v>
      </c>
      <c r="D1941" s="1">
        <v>45182</v>
      </c>
      <c r="E1941" s="13">
        <v>45205</v>
      </c>
      <c r="F1941" s="14" t="s">
        <v>14</v>
      </c>
      <c r="G1941">
        <v>43</v>
      </c>
      <c r="H1941">
        <v>4066.42</v>
      </c>
      <c r="I1941">
        <v>3898.13</v>
      </c>
      <c r="J1941">
        <v>1</v>
      </c>
      <c r="K1941" s="14" t="s">
        <v>15</v>
      </c>
      <c r="L1941" s="14">
        <f>IF(OR(Table1[[#This Row],[Order_Status]]="Delivered",Table1[[#This Row],[Delivery_Date]]&lt;&gt;"Not Yet Delivered"),Table1[[#This Row],[Delivery_Date]]-Table1[[#This Row],[Order_Date]],"Not Applicable")</f>
        <v>23</v>
      </c>
      <c r="M1941" s="14">
        <f>Table1[[#This Row],[Unit_Cost]]-Table1[[#This Row],[Negotiated_Cost]]</f>
        <v>168.28999999999996</v>
      </c>
      <c r="N1941" s="18">
        <f>Table1[[#This Row],[Defective_Units]]/Table1[[#This Row],[Quantity]]</f>
        <v>2.3255813953488372E-2</v>
      </c>
      <c r="O1941" s="26">
        <f>(Table1[[#This Row],[Unit_Cost]]-Table1[[#This Row],[Negotiated_Cost]])/Table1[[#This Row],[Unit_Cost]]</f>
        <v>4.1385297140974116E-2</v>
      </c>
    </row>
    <row r="1942" spans="1:15" x14ac:dyDescent="0.25">
      <c r="A1942" t="s">
        <v>1977</v>
      </c>
      <c r="B1942" t="s">
        <v>20</v>
      </c>
      <c r="C1942" s="14" t="s">
        <v>21</v>
      </c>
      <c r="D1942" s="1">
        <v>45370</v>
      </c>
      <c r="E1942" s="13">
        <v>45379</v>
      </c>
      <c r="F1942" s="14" t="s">
        <v>14</v>
      </c>
      <c r="G1942">
        <v>160</v>
      </c>
      <c r="H1942">
        <v>113.02</v>
      </c>
      <c r="I1942">
        <v>107.42</v>
      </c>
      <c r="J1942">
        <v>3</v>
      </c>
      <c r="K1942" s="14" t="s">
        <v>15</v>
      </c>
      <c r="L1942" s="14">
        <f>IF(OR(Table1[[#This Row],[Order_Status]]="Delivered",Table1[[#This Row],[Delivery_Date]]&lt;&gt;"Not Yet Delivered"),Table1[[#This Row],[Delivery_Date]]-Table1[[#This Row],[Order_Date]],"Not Applicable")</f>
        <v>9</v>
      </c>
      <c r="M1942" s="14">
        <f>Table1[[#This Row],[Unit_Cost]]-Table1[[#This Row],[Negotiated_Cost]]</f>
        <v>5.5999999999999943</v>
      </c>
      <c r="N1942" s="18">
        <f>Table1[[#This Row],[Defective_Units]]/Table1[[#This Row],[Quantity]]</f>
        <v>1.8749999999999999E-2</v>
      </c>
      <c r="O1942" s="26">
        <f>(Table1[[#This Row],[Unit_Cost]]-Table1[[#This Row],[Negotiated_Cost]])/Table1[[#This Row],[Unit_Cost]]</f>
        <v>4.9548752433197618E-2</v>
      </c>
    </row>
    <row r="1943" spans="1:15" x14ac:dyDescent="0.25">
      <c r="A1943" t="s">
        <v>1978</v>
      </c>
      <c r="B1943" t="s">
        <v>12</v>
      </c>
      <c r="C1943" s="14" t="s">
        <v>36</v>
      </c>
      <c r="D1943" s="1">
        <v>45575</v>
      </c>
      <c r="E1943" s="13">
        <v>45592</v>
      </c>
      <c r="F1943" s="14" t="s">
        <v>14</v>
      </c>
      <c r="G1943">
        <v>109</v>
      </c>
      <c r="H1943">
        <v>543.69000000000005</v>
      </c>
      <c r="I1943">
        <v>521.9</v>
      </c>
      <c r="J1943">
        <v>1</v>
      </c>
      <c r="K1943" s="14" t="s">
        <v>15</v>
      </c>
      <c r="L1943" s="14">
        <f>IF(OR(Table1[[#This Row],[Order_Status]]="Delivered",Table1[[#This Row],[Delivery_Date]]&lt;&gt;"Not Yet Delivered"),Table1[[#This Row],[Delivery_Date]]-Table1[[#This Row],[Order_Date]],"Not Applicable")</f>
        <v>17</v>
      </c>
      <c r="M1943" s="14">
        <f>Table1[[#This Row],[Unit_Cost]]-Table1[[#This Row],[Negotiated_Cost]]</f>
        <v>21.790000000000077</v>
      </c>
      <c r="N1943" s="18">
        <f>Table1[[#This Row],[Defective_Units]]/Table1[[#This Row],[Quantity]]</f>
        <v>9.1743119266055051E-3</v>
      </c>
      <c r="O1943" s="26">
        <f>(Table1[[#This Row],[Unit_Cost]]-Table1[[#This Row],[Negotiated_Cost]])/Table1[[#This Row],[Unit_Cost]]</f>
        <v>4.0077985616803834E-2</v>
      </c>
    </row>
    <row r="1944" spans="1:15" x14ac:dyDescent="0.25">
      <c r="A1944" t="s">
        <v>1979</v>
      </c>
      <c r="B1944" t="s">
        <v>12</v>
      </c>
      <c r="C1944" s="14" t="s">
        <v>21</v>
      </c>
      <c r="D1944" s="1">
        <v>45654</v>
      </c>
      <c r="E1944" s="13">
        <v>45671</v>
      </c>
      <c r="F1944" s="14" t="s">
        <v>14</v>
      </c>
      <c r="G1944">
        <v>130</v>
      </c>
      <c r="H1944">
        <v>132.81</v>
      </c>
      <c r="I1944">
        <v>128.26</v>
      </c>
      <c r="J1944">
        <v>0</v>
      </c>
      <c r="K1944" s="14" t="s">
        <v>15</v>
      </c>
      <c r="L1944" s="14">
        <f>IF(OR(Table1[[#This Row],[Order_Status]]="Delivered",Table1[[#This Row],[Delivery_Date]]&lt;&gt;"Not Yet Delivered"),Table1[[#This Row],[Delivery_Date]]-Table1[[#This Row],[Order_Date]],"Not Applicable")</f>
        <v>17</v>
      </c>
      <c r="M1944" s="14">
        <f>Table1[[#This Row],[Unit_Cost]]-Table1[[#This Row],[Negotiated_Cost]]</f>
        <v>4.5500000000000114</v>
      </c>
      <c r="N1944" s="18">
        <f>Table1[[#This Row],[Defective_Units]]/Table1[[#This Row],[Quantity]]</f>
        <v>0</v>
      </c>
      <c r="O1944" s="26">
        <f>(Table1[[#This Row],[Unit_Cost]]-Table1[[#This Row],[Negotiated_Cost]])/Table1[[#This Row],[Unit_Cost]]</f>
        <v>3.4259468413523161E-2</v>
      </c>
    </row>
    <row r="1945" spans="1:15" x14ac:dyDescent="0.25">
      <c r="A1945" t="s">
        <v>1980</v>
      </c>
      <c r="B1945" t="s">
        <v>35</v>
      </c>
      <c r="C1945" s="14" t="s">
        <v>30</v>
      </c>
      <c r="D1945" s="1">
        <v>45500</v>
      </c>
      <c r="E1945" s="13">
        <v>45510</v>
      </c>
      <c r="F1945" s="14" t="s">
        <v>14</v>
      </c>
      <c r="G1945">
        <v>367</v>
      </c>
      <c r="H1945">
        <v>936.56</v>
      </c>
      <c r="I1945">
        <v>920.96</v>
      </c>
      <c r="J1945">
        <v>0</v>
      </c>
      <c r="K1945" s="14" t="s">
        <v>15</v>
      </c>
      <c r="L1945" s="14">
        <f>IF(OR(Table1[[#This Row],[Order_Status]]="Delivered",Table1[[#This Row],[Delivery_Date]]&lt;&gt;"Not Yet Delivered"),Table1[[#This Row],[Delivery_Date]]-Table1[[#This Row],[Order_Date]],"Not Applicable")</f>
        <v>10</v>
      </c>
      <c r="M1945" s="14">
        <f>Table1[[#This Row],[Unit_Cost]]-Table1[[#This Row],[Negotiated_Cost]]</f>
        <v>15.599999999999909</v>
      </c>
      <c r="N1945" s="18">
        <f>Table1[[#This Row],[Defective_Units]]/Table1[[#This Row],[Quantity]]</f>
        <v>0</v>
      </c>
      <c r="O1945" s="26">
        <f>(Table1[[#This Row],[Unit_Cost]]-Table1[[#This Row],[Negotiated_Cost]])/Table1[[#This Row],[Unit_Cost]]</f>
        <v>1.6656701118988544E-2</v>
      </c>
    </row>
    <row r="1946" spans="1:15" x14ac:dyDescent="0.25">
      <c r="A1946" t="s">
        <v>1981</v>
      </c>
      <c r="B1946" t="s">
        <v>27</v>
      </c>
      <c r="C1946" s="14" t="s">
        <v>24</v>
      </c>
      <c r="D1946" s="1">
        <v>45555</v>
      </c>
      <c r="E1946" s="13">
        <v>45571</v>
      </c>
      <c r="F1946" s="14" t="s">
        <v>14</v>
      </c>
      <c r="G1946">
        <v>368</v>
      </c>
      <c r="H1946">
        <v>13366.77</v>
      </c>
      <c r="I1946">
        <v>12621.55</v>
      </c>
      <c r="J1946">
        <v>7</v>
      </c>
      <c r="K1946" s="14" t="s">
        <v>15</v>
      </c>
      <c r="L1946" s="14">
        <f>IF(OR(Table1[[#This Row],[Order_Status]]="Delivered",Table1[[#This Row],[Delivery_Date]]&lt;&gt;"Not Yet Delivered"),Table1[[#This Row],[Delivery_Date]]-Table1[[#This Row],[Order_Date]],"Not Applicable")</f>
        <v>16</v>
      </c>
      <c r="M1946" s="14">
        <f>Table1[[#This Row],[Unit_Cost]]-Table1[[#This Row],[Negotiated_Cost]]</f>
        <v>745.22000000000116</v>
      </c>
      <c r="N1946" s="18">
        <f>Table1[[#This Row],[Defective_Units]]/Table1[[#This Row],[Quantity]]</f>
        <v>1.9021739130434784E-2</v>
      </c>
      <c r="O1946" s="26">
        <f>(Table1[[#This Row],[Unit_Cost]]-Table1[[#This Row],[Negotiated_Cost]])/Table1[[#This Row],[Unit_Cost]]</f>
        <v>5.5751688702655997E-2</v>
      </c>
    </row>
    <row r="1947" spans="1:15" x14ac:dyDescent="0.25">
      <c r="A1947" t="s">
        <v>1982</v>
      </c>
      <c r="B1947" t="s">
        <v>32</v>
      </c>
      <c r="C1947" s="14" t="s">
        <v>50</v>
      </c>
      <c r="D1947" s="1">
        <v>45263</v>
      </c>
      <c r="E1947" s="14" t="s">
        <v>2057</v>
      </c>
      <c r="F1947" s="14" t="s">
        <v>22</v>
      </c>
      <c r="G1947">
        <v>231</v>
      </c>
      <c r="H1947">
        <v>46636.5</v>
      </c>
      <c r="I1947">
        <v>45109.57</v>
      </c>
      <c r="J1947">
        <v>2</v>
      </c>
      <c r="K1947" s="14" t="s">
        <v>15</v>
      </c>
      <c r="L1947" s="14" t="str">
        <f>IF(OR(Table1[[#This Row],[Order_Status]]="Delivered",Table1[[#This Row],[Delivery_Date]]&lt;&gt;"Not Yet Delivered"),Table1[[#This Row],[Delivery_Date]]-Table1[[#This Row],[Order_Date]],"Not Applicable")</f>
        <v>Not Applicable</v>
      </c>
      <c r="M1947" s="14">
        <f>Table1[[#This Row],[Unit_Cost]]-Table1[[#This Row],[Negotiated_Cost]]</f>
        <v>1526.9300000000003</v>
      </c>
      <c r="N1947" s="18">
        <f>Table1[[#This Row],[Defective_Units]]/Table1[[#This Row],[Quantity]]</f>
        <v>8.658008658008658E-3</v>
      </c>
      <c r="O1947" s="26">
        <f>(Table1[[#This Row],[Unit_Cost]]-Table1[[#This Row],[Negotiated_Cost]])/Table1[[#This Row],[Unit_Cost]]</f>
        <v>3.2741093349629588E-2</v>
      </c>
    </row>
    <row r="1948" spans="1:15" x14ac:dyDescent="0.25">
      <c r="A1948" t="s">
        <v>1983</v>
      </c>
      <c r="B1948" t="s">
        <v>20</v>
      </c>
      <c r="C1948" s="14" t="s">
        <v>13</v>
      </c>
      <c r="D1948" s="1">
        <v>45169</v>
      </c>
      <c r="E1948" s="13">
        <v>45176</v>
      </c>
      <c r="F1948" s="14" t="s">
        <v>14</v>
      </c>
      <c r="G1948">
        <v>485</v>
      </c>
      <c r="H1948">
        <v>4132.97</v>
      </c>
      <c r="I1948">
        <v>3971.34</v>
      </c>
      <c r="J1948">
        <v>2</v>
      </c>
      <c r="K1948" s="14" t="s">
        <v>15</v>
      </c>
      <c r="L1948" s="14">
        <f>IF(OR(Table1[[#This Row],[Order_Status]]="Delivered",Table1[[#This Row],[Delivery_Date]]&lt;&gt;"Not Yet Delivered"),Table1[[#This Row],[Delivery_Date]]-Table1[[#This Row],[Order_Date]],"Not Applicable")</f>
        <v>7</v>
      </c>
      <c r="M1948" s="14">
        <f>Table1[[#This Row],[Unit_Cost]]-Table1[[#This Row],[Negotiated_Cost]]</f>
        <v>161.63000000000011</v>
      </c>
      <c r="N1948" s="18">
        <f>Table1[[#This Row],[Defective_Units]]/Table1[[#This Row],[Quantity]]</f>
        <v>4.1237113402061857E-3</v>
      </c>
      <c r="O1948" s="26">
        <f>(Table1[[#This Row],[Unit_Cost]]-Table1[[#This Row],[Negotiated_Cost]])/Table1[[#This Row],[Unit_Cost]]</f>
        <v>3.910746993082459E-2</v>
      </c>
    </row>
    <row r="1949" spans="1:15" x14ac:dyDescent="0.25">
      <c r="A1949" t="s">
        <v>1984</v>
      </c>
      <c r="B1949" t="s">
        <v>40</v>
      </c>
      <c r="C1949" s="14" t="s">
        <v>18</v>
      </c>
      <c r="D1949" s="1">
        <v>45487</v>
      </c>
      <c r="E1949" s="13">
        <v>45495</v>
      </c>
      <c r="F1949" s="14" t="s">
        <v>14</v>
      </c>
      <c r="G1949">
        <v>60</v>
      </c>
      <c r="H1949">
        <v>5827.04</v>
      </c>
      <c r="I1949">
        <v>5581.29</v>
      </c>
      <c r="J1949">
        <v>0</v>
      </c>
      <c r="K1949" s="14" t="s">
        <v>15</v>
      </c>
      <c r="L1949" s="14">
        <f>IF(OR(Table1[[#This Row],[Order_Status]]="Delivered",Table1[[#This Row],[Delivery_Date]]&lt;&gt;"Not Yet Delivered"),Table1[[#This Row],[Delivery_Date]]-Table1[[#This Row],[Order_Date]],"Not Applicable")</f>
        <v>8</v>
      </c>
      <c r="M1949" s="14">
        <f>Table1[[#This Row],[Unit_Cost]]-Table1[[#This Row],[Negotiated_Cost]]</f>
        <v>245.75</v>
      </c>
      <c r="N1949" s="18">
        <f>Table1[[#This Row],[Defective_Units]]/Table1[[#This Row],[Quantity]]</f>
        <v>0</v>
      </c>
      <c r="O1949" s="26">
        <f>(Table1[[#This Row],[Unit_Cost]]-Table1[[#This Row],[Negotiated_Cost]])/Table1[[#This Row],[Unit_Cost]]</f>
        <v>4.2174071226557565E-2</v>
      </c>
    </row>
    <row r="1950" spans="1:15" x14ac:dyDescent="0.25">
      <c r="A1950" t="s">
        <v>1985</v>
      </c>
      <c r="B1950" t="s">
        <v>27</v>
      </c>
      <c r="C1950" s="14" t="s">
        <v>42</v>
      </c>
      <c r="D1950" s="1">
        <v>45409</v>
      </c>
      <c r="E1950" s="13">
        <v>45436</v>
      </c>
      <c r="F1950" s="14" t="s">
        <v>14</v>
      </c>
      <c r="G1950">
        <v>439</v>
      </c>
      <c r="H1950">
        <v>12418.17</v>
      </c>
      <c r="I1950">
        <v>11741.16</v>
      </c>
      <c r="J1950">
        <v>10</v>
      </c>
      <c r="K1950" s="14" t="s">
        <v>25</v>
      </c>
      <c r="L1950" s="14">
        <f>IF(OR(Table1[[#This Row],[Order_Status]]="Delivered",Table1[[#This Row],[Delivery_Date]]&lt;&gt;"Not Yet Delivered"),Table1[[#This Row],[Delivery_Date]]-Table1[[#This Row],[Order_Date]],"Not Applicable")</f>
        <v>27</v>
      </c>
      <c r="M1950" s="14">
        <f>Table1[[#This Row],[Unit_Cost]]-Table1[[#This Row],[Negotiated_Cost]]</f>
        <v>677.01000000000022</v>
      </c>
      <c r="N1950" s="18">
        <f>Table1[[#This Row],[Defective_Units]]/Table1[[#This Row],[Quantity]]</f>
        <v>2.2779043280182234E-2</v>
      </c>
      <c r="O1950" s="26">
        <f>(Table1[[#This Row],[Unit_Cost]]-Table1[[#This Row],[Negotiated_Cost]])/Table1[[#This Row],[Unit_Cost]]</f>
        <v>5.4517694636166215E-2</v>
      </c>
    </row>
    <row r="1951" spans="1:15" x14ac:dyDescent="0.25">
      <c r="A1951" t="s">
        <v>1986</v>
      </c>
      <c r="B1951" t="s">
        <v>12</v>
      </c>
      <c r="C1951" s="14" t="s">
        <v>42</v>
      </c>
      <c r="D1951" s="1">
        <v>45417</v>
      </c>
      <c r="E1951" s="13">
        <v>45420</v>
      </c>
      <c r="F1951" s="14" t="s">
        <v>14</v>
      </c>
      <c r="G1951">
        <v>53</v>
      </c>
      <c r="H1951">
        <v>12659.6</v>
      </c>
      <c r="I1951">
        <v>12224.6</v>
      </c>
      <c r="J1951">
        <v>3</v>
      </c>
      <c r="K1951" s="14" t="s">
        <v>15</v>
      </c>
      <c r="L1951" s="14">
        <f>IF(OR(Table1[[#This Row],[Order_Status]]="Delivered",Table1[[#This Row],[Delivery_Date]]&lt;&gt;"Not Yet Delivered"),Table1[[#This Row],[Delivery_Date]]-Table1[[#This Row],[Order_Date]],"Not Applicable")</f>
        <v>3</v>
      </c>
      <c r="M1951" s="14">
        <f>Table1[[#This Row],[Unit_Cost]]-Table1[[#This Row],[Negotiated_Cost]]</f>
        <v>435</v>
      </c>
      <c r="N1951" s="18">
        <f>Table1[[#This Row],[Defective_Units]]/Table1[[#This Row],[Quantity]]</f>
        <v>5.6603773584905662E-2</v>
      </c>
      <c r="O1951" s="26">
        <f>(Table1[[#This Row],[Unit_Cost]]-Table1[[#This Row],[Negotiated_Cost]])/Table1[[#This Row],[Unit_Cost]]</f>
        <v>3.4361275237764229E-2</v>
      </c>
    </row>
    <row r="1952" spans="1:15" x14ac:dyDescent="0.25">
      <c r="A1952" t="s">
        <v>1987</v>
      </c>
      <c r="B1952" t="s">
        <v>35</v>
      </c>
      <c r="C1952" s="14" t="s">
        <v>21</v>
      </c>
      <c r="D1952" s="1">
        <v>44957</v>
      </c>
      <c r="E1952" s="13">
        <v>44966</v>
      </c>
      <c r="F1952" s="14" t="s">
        <v>14</v>
      </c>
      <c r="G1952">
        <v>26</v>
      </c>
      <c r="H1952">
        <v>117.81</v>
      </c>
      <c r="I1952">
        <v>115.12</v>
      </c>
      <c r="J1952">
        <v>1</v>
      </c>
      <c r="K1952" s="14" t="s">
        <v>15</v>
      </c>
      <c r="L1952" s="14">
        <f>IF(OR(Table1[[#This Row],[Order_Status]]="Delivered",Table1[[#This Row],[Delivery_Date]]&lt;&gt;"Not Yet Delivered"),Table1[[#This Row],[Delivery_Date]]-Table1[[#This Row],[Order_Date]],"Not Applicable")</f>
        <v>9</v>
      </c>
      <c r="M1952" s="14">
        <f>Table1[[#This Row],[Unit_Cost]]-Table1[[#This Row],[Negotiated_Cost]]</f>
        <v>2.6899999999999977</v>
      </c>
      <c r="N1952" s="18">
        <f>Table1[[#This Row],[Defective_Units]]/Table1[[#This Row],[Quantity]]</f>
        <v>3.8461538461538464E-2</v>
      </c>
      <c r="O1952" s="26">
        <f>(Table1[[#This Row],[Unit_Cost]]-Table1[[#This Row],[Negotiated_Cost]])/Table1[[#This Row],[Unit_Cost]]</f>
        <v>2.2833375774552224E-2</v>
      </c>
    </row>
    <row r="1953" spans="1:15" x14ac:dyDescent="0.25">
      <c r="A1953" t="s">
        <v>1988</v>
      </c>
      <c r="B1953" t="s">
        <v>17</v>
      </c>
      <c r="C1953" s="14" t="s">
        <v>18</v>
      </c>
      <c r="D1953" s="1">
        <v>45357</v>
      </c>
      <c r="E1953" s="13">
        <v>45380</v>
      </c>
      <c r="F1953" s="14" t="s">
        <v>14</v>
      </c>
      <c r="G1953">
        <v>177</v>
      </c>
      <c r="H1953">
        <v>4803.4399999999996</v>
      </c>
      <c r="I1953">
        <v>4711.8599999999997</v>
      </c>
      <c r="J1953">
        <v>1</v>
      </c>
      <c r="K1953" s="14" t="s">
        <v>15</v>
      </c>
      <c r="L1953" s="14">
        <f>IF(OR(Table1[[#This Row],[Order_Status]]="Delivered",Table1[[#This Row],[Delivery_Date]]&lt;&gt;"Not Yet Delivered"),Table1[[#This Row],[Delivery_Date]]-Table1[[#This Row],[Order_Date]],"Not Applicable")</f>
        <v>23</v>
      </c>
      <c r="M1953" s="14">
        <f>Table1[[#This Row],[Unit_Cost]]-Table1[[#This Row],[Negotiated_Cost]]</f>
        <v>91.579999999999927</v>
      </c>
      <c r="N1953" s="18">
        <f>Table1[[#This Row],[Defective_Units]]/Table1[[#This Row],[Quantity]]</f>
        <v>5.6497175141242938E-3</v>
      </c>
      <c r="O1953" s="26">
        <f>(Table1[[#This Row],[Unit_Cost]]-Table1[[#This Row],[Negotiated_Cost]])/Table1[[#This Row],[Unit_Cost]]</f>
        <v>1.9065503056143084E-2</v>
      </c>
    </row>
    <row r="1954" spans="1:15" x14ac:dyDescent="0.25">
      <c r="A1954" t="s">
        <v>1989</v>
      </c>
      <c r="B1954" t="s">
        <v>12</v>
      </c>
      <c r="C1954" s="14" t="s">
        <v>21</v>
      </c>
      <c r="D1954" s="1">
        <v>45078</v>
      </c>
      <c r="E1954" s="13">
        <v>45105</v>
      </c>
      <c r="F1954" s="14" t="s">
        <v>14</v>
      </c>
      <c r="G1954">
        <v>164</v>
      </c>
      <c r="H1954">
        <v>132.68</v>
      </c>
      <c r="I1954">
        <v>126.31</v>
      </c>
      <c r="J1954">
        <v>1</v>
      </c>
      <c r="K1954" s="14" t="s">
        <v>25</v>
      </c>
      <c r="L1954" s="14">
        <f>IF(OR(Table1[[#This Row],[Order_Status]]="Delivered",Table1[[#This Row],[Delivery_Date]]&lt;&gt;"Not Yet Delivered"),Table1[[#This Row],[Delivery_Date]]-Table1[[#This Row],[Order_Date]],"Not Applicable")</f>
        <v>27</v>
      </c>
      <c r="M1954" s="14">
        <f>Table1[[#This Row],[Unit_Cost]]-Table1[[#This Row],[Negotiated_Cost]]</f>
        <v>6.3700000000000045</v>
      </c>
      <c r="N1954" s="18">
        <f>Table1[[#This Row],[Defective_Units]]/Table1[[#This Row],[Quantity]]</f>
        <v>6.0975609756097563E-3</v>
      </c>
      <c r="O1954" s="26">
        <f>(Table1[[#This Row],[Unit_Cost]]-Table1[[#This Row],[Negotiated_Cost]])/Table1[[#This Row],[Unit_Cost]]</f>
        <v>4.8010250226107963E-2</v>
      </c>
    </row>
    <row r="1955" spans="1:15" x14ac:dyDescent="0.25">
      <c r="A1955" t="s">
        <v>1990</v>
      </c>
      <c r="B1955" t="s">
        <v>17</v>
      </c>
      <c r="C1955" s="14" t="s">
        <v>55</v>
      </c>
      <c r="D1955" s="1">
        <v>45038</v>
      </c>
      <c r="E1955" s="14" t="s">
        <v>2057</v>
      </c>
      <c r="F1955" s="14" t="s">
        <v>33</v>
      </c>
      <c r="G1955">
        <v>207</v>
      </c>
      <c r="H1955">
        <v>13078.57</v>
      </c>
      <c r="I1955">
        <v>12870.09</v>
      </c>
      <c r="J1955">
        <v>2</v>
      </c>
      <c r="K1955" s="14" t="s">
        <v>15</v>
      </c>
      <c r="L1955" s="14" t="str">
        <f>IF(OR(Table1[[#This Row],[Order_Status]]="Delivered",Table1[[#This Row],[Delivery_Date]]&lt;&gt;"Not Yet Delivered"),Table1[[#This Row],[Delivery_Date]]-Table1[[#This Row],[Order_Date]],"Not Applicable")</f>
        <v>Not Applicable</v>
      </c>
      <c r="M1955" s="14">
        <f>Table1[[#This Row],[Unit_Cost]]-Table1[[#This Row],[Negotiated_Cost]]</f>
        <v>208.47999999999956</v>
      </c>
      <c r="N1955" s="18">
        <f>Table1[[#This Row],[Defective_Units]]/Table1[[#This Row],[Quantity]]</f>
        <v>9.6618357487922701E-3</v>
      </c>
      <c r="O1955" s="26">
        <f>(Table1[[#This Row],[Unit_Cost]]-Table1[[#This Row],[Negotiated_Cost]])/Table1[[#This Row],[Unit_Cost]]</f>
        <v>1.5940580659812163E-2</v>
      </c>
    </row>
    <row r="1956" spans="1:15" x14ac:dyDescent="0.25">
      <c r="A1956" t="s">
        <v>1991</v>
      </c>
      <c r="B1956" t="s">
        <v>17</v>
      </c>
      <c r="C1956" s="14" t="s">
        <v>18</v>
      </c>
      <c r="D1956" s="1">
        <v>44929</v>
      </c>
      <c r="E1956" s="13">
        <v>44932</v>
      </c>
      <c r="F1956" s="14" t="s">
        <v>14</v>
      </c>
      <c r="G1956">
        <v>63</v>
      </c>
      <c r="H1956">
        <v>4631.8</v>
      </c>
      <c r="I1956">
        <v>4574.95</v>
      </c>
      <c r="J1956">
        <v>1</v>
      </c>
      <c r="K1956" s="14" t="s">
        <v>15</v>
      </c>
      <c r="L1956" s="14">
        <f>IF(OR(Table1[[#This Row],[Order_Status]]="Delivered",Table1[[#This Row],[Delivery_Date]]&lt;&gt;"Not Yet Delivered"),Table1[[#This Row],[Delivery_Date]]-Table1[[#This Row],[Order_Date]],"Not Applicable")</f>
        <v>3</v>
      </c>
      <c r="M1956" s="14">
        <f>Table1[[#This Row],[Unit_Cost]]-Table1[[#This Row],[Negotiated_Cost]]</f>
        <v>56.850000000000364</v>
      </c>
      <c r="N1956" s="18">
        <f>Table1[[#This Row],[Defective_Units]]/Table1[[#This Row],[Quantity]]</f>
        <v>1.5873015873015872E-2</v>
      </c>
      <c r="O1956" s="26">
        <f>(Table1[[#This Row],[Unit_Cost]]-Table1[[#This Row],[Negotiated_Cost]])/Table1[[#This Row],[Unit_Cost]]</f>
        <v>1.2273846020985441E-2</v>
      </c>
    </row>
    <row r="1957" spans="1:15" x14ac:dyDescent="0.25">
      <c r="A1957" t="s">
        <v>1992</v>
      </c>
      <c r="B1957" t="s">
        <v>12</v>
      </c>
      <c r="C1957" s="14" t="s">
        <v>18</v>
      </c>
      <c r="D1957" s="1">
        <v>45511</v>
      </c>
      <c r="E1957" s="13">
        <v>45514</v>
      </c>
      <c r="F1957" s="14" t="s">
        <v>14</v>
      </c>
      <c r="G1957">
        <v>370</v>
      </c>
      <c r="H1957">
        <v>5259.86</v>
      </c>
      <c r="I1957">
        <v>5085.47</v>
      </c>
      <c r="J1957">
        <v>2</v>
      </c>
      <c r="K1957" s="14" t="s">
        <v>15</v>
      </c>
      <c r="L1957" s="14">
        <f>IF(OR(Table1[[#This Row],[Order_Status]]="Delivered",Table1[[#This Row],[Delivery_Date]]&lt;&gt;"Not Yet Delivered"),Table1[[#This Row],[Delivery_Date]]-Table1[[#This Row],[Order_Date]],"Not Applicable")</f>
        <v>3</v>
      </c>
      <c r="M1957" s="14">
        <f>Table1[[#This Row],[Unit_Cost]]-Table1[[#This Row],[Negotiated_Cost]]</f>
        <v>174.38999999999942</v>
      </c>
      <c r="N1957" s="18">
        <f>Table1[[#This Row],[Defective_Units]]/Table1[[#This Row],[Quantity]]</f>
        <v>5.4054054054054057E-3</v>
      </c>
      <c r="O1957" s="26">
        <f>(Table1[[#This Row],[Unit_Cost]]-Table1[[#This Row],[Negotiated_Cost]])/Table1[[#This Row],[Unit_Cost]]</f>
        <v>3.3154874844577506E-2</v>
      </c>
    </row>
    <row r="1958" spans="1:15" x14ac:dyDescent="0.25">
      <c r="A1958" t="s">
        <v>1993</v>
      </c>
      <c r="B1958" t="s">
        <v>27</v>
      </c>
      <c r="C1958" s="14" t="s">
        <v>21</v>
      </c>
      <c r="D1958" s="1">
        <v>45550</v>
      </c>
      <c r="E1958" s="13">
        <v>45572</v>
      </c>
      <c r="F1958" s="14" t="s">
        <v>14</v>
      </c>
      <c r="G1958">
        <v>211</v>
      </c>
      <c r="H1958">
        <v>128.85</v>
      </c>
      <c r="I1958">
        <v>121.73</v>
      </c>
      <c r="J1958">
        <v>5</v>
      </c>
      <c r="K1958" s="14" t="s">
        <v>15</v>
      </c>
      <c r="L1958" s="14">
        <f>IF(OR(Table1[[#This Row],[Order_Status]]="Delivered",Table1[[#This Row],[Delivery_Date]]&lt;&gt;"Not Yet Delivered"),Table1[[#This Row],[Delivery_Date]]-Table1[[#This Row],[Order_Date]],"Not Applicable")</f>
        <v>22</v>
      </c>
      <c r="M1958" s="14">
        <f>Table1[[#This Row],[Unit_Cost]]-Table1[[#This Row],[Negotiated_Cost]]</f>
        <v>7.1199999999999903</v>
      </c>
      <c r="N1958" s="18">
        <f>Table1[[#This Row],[Defective_Units]]/Table1[[#This Row],[Quantity]]</f>
        <v>2.3696682464454975E-2</v>
      </c>
      <c r="O1958" s="26">
        <f>(Table1[[#This Row],[Unit_Cost]]-Table1[[#This Row],[Negotiated_Cost]])/Table1[[#This Row],[Unit_Cost]]</f>
        <v>5.5258051998447737E-2</v>
      </c>
    </row>
    <row r="1959" spans="1:15" x14ac:dyDescent="0.25">
      <c r="A1959" t="s">
        <v>1994</v>
      </c>
      <c r="B1959" t="s">
        <v>40</v>
      </c>
      <c r="C1959" s="14" t="s">
        <v>21</v>
      </c>
      <c r="D1959" s="1">
        <v>45162</v>
      </c>
      <c r="E1959" s="13">
        <v>45190</v>
      </c>
      <c r="F1959" s="14" t="s">
        <v>14</v>
      </c>
      <c r="G1959">
        <v>295</v>
      </c>
      <c r="H1959">
        <v>124.97</v>
      </c>
      <c r="I1959">
        <v>124.14</v>
      </c>
      <c r="J1959">
        <v>4</v>
      </c>
      <c r="K1959" s="14" t="s">
        <v>15</v>
      </c>
      <c r="L1959" s="14">
        <f>IF(OR(Table1[[#This Row],[Order_Status]]="Delivered",Table1[[#This Row],[Delivery_Date]]&lt;&gt;"Not Yet Delivered"),Table1[[#This Row],[Delivery_Date]]-Table1[[#This Row],[Order_Date]],"Not Applicable")</f>
        <v>28</v>
      </c>
      <c r="M1959" s="14">
        <f>Table1[[#This Row],[Unit_Cost]]-Table1[[#This Row],[Negotiated_Cost]]</f>
        <v>0.82999999999999829</v>
      </c>
      <c r="N1959" s="18">
        <f>Table1[[#This Row],[Defective_Units]]/Table1[[#This Row],[Quantity]]</f>
        <v>1.3559322033898305E-2</v>
      </c>
      <c r="O1959" s="26">
        <f>(Table1[[#This Row],[Unit_Cost]]-Table1[[#This Row],[Negotiated_Cost]])/Table1[[#This Row],[Unit_Cost]]</f>
        <v>6.6415939825558001E-3</v>
      </c>
    </row>
    <row r="1960" spans="1:15" x14ac:dyDescent="0.25">
      <c r="A1960" t="s">
        <v>1995</v>
      </c>
      <c r="B1960" t="s">
        <v>40</v>
      </c>
      <c r="C1960" s="14" t="s">
        <v>44</v>
      </c>
      <c r="D1960" s="1">
        <v>45498</v>
      </c>
      <c r="E1960" s="14" t="s">
        <v>2057</v>
      </c>
      <c r="F1960" s="14" t="s">
        <v>22</v>
      </c>
      <c r="G1960">
        <v>28</v>
      </c>
      <c r="H1960">
        <v>8876.17</v>
      </c>
      <c r="I1960">
        <v>8674.7099999999991</v>
      </c>
      <c r="J1960">
        <v>2</v>
      </c>
      <c r="K1960" s="14" t="s">
        <v>15</v>
      </c>
      <c r="L1960" s="14" t="str">
        <f>IF(OR(Table1[[#This Row],[Order_Status]]="Delivered",Table1[[#This Row],[Delivery_Date]]&lt;&gt;"Not Yet Delivered"),Table1[[#This Row],[Delivery_Date]]-Table1[[#This Row],[Order_Date]],"Not Applicable")</f>
        <v>Not Applicable</v>
      </c>
      <c r="M1960" s="14">
        <f>Table1[[#This Row],[Unit_Cost]]-Table1[[#This Row],[Negotiated_Cost]]</f>
        <v>201.46000000000095</v>
      </c>
      <c r="N1960" s="18">
        <f>Table1[[#This Row],[Defective_Units]]/Table1[[#This Row],[Quantity]]</f>
        <v>7.1428571428571425E-2</v>
      </c>
      <c r="O1960" s="26">
        <f>(Table1[[#This Row],[Unit_Cost]]-Table1[[#This Row],[Negotiated_Cost]])/Table1[[#This Row],[Unit_Cost]]</f>
        <v>2.2696726178070153E-2</v>
      </c>
    </row>
    <row r="1961" spans="1:15" x14ac:dyDescent="0.25">
      <c r="A1961" t="s">
        <v>1996</v>
      </c>
      <c r="B1961" t="s">
        <v>35</v>
      </c>
      <c r="C1961" s="14" t="s">
        <v>55</v>
      </c>
      <c r="D1961" s="1">
        <v>45014</v>
      </c>
      <c r="E1961" s="13">
        <v>45028</v>
      </c>
      <c r="F1961" s="14" t="s">
        <v>14</v>
      </c>
      <c r="G1961">
        <v>369</v>
      </c>
      <c r="H1961">
        <v>13917.87</v>
      </c>
      <c r="I1961">
        <v>13624.92</v>
      </c>
      <c r="J1961">
        <v>2</v>
      </c>
      <c r="K1961" s="14" t="s">
        <v>15</v>
      </c>
      <c r="L1961" s="14">
        <f>IF(OR(Table1[[#This Row],[Order_Status]]="Delivered",Table1[[#This Row],[Delivery_Date]]&lt;&gt;"Not Yet Delivered"),Table1[[#This Row],[Delivery_Date]]-Table1[[#This Row],[Order_Date]],"Not Applicable")</f>
        <v>14</v>
      </c>
      <c r="M1961" s="14">
        <f>Table1[[#This Row],[Unit_Cost]]-Table1[[#This Row],[Negotiated_Cost]]</f>
        <v>292.95000000000073</v>
      </c>
      <c r="N1961" s="18">
        <f>Table1[[#This Row],[Defective_Units]]/Table1[[#This Row],[Quantity]]</f>
        <v>5.4200542005420054E-3</v>
      </c>
      <c r="O1961" s="26">
        <f>(Table1[[#This Row],[Unit_Cost]]-Table1[[#This Row],[Negotiated_Cost]])/Table1[[#This Row],[Unit_Cost]]</f>
        <v>2.1048479400942868E-2</v>
      </c>
    </row>
    <row r="1962" spans="1:15" x14ac:dyDescent="0.25">
      <c r="A1962" t="s">
        <v>1997</v>
      </c>
      <c r="B1962" t="s">
        <v>35</v>
      </c>
      <c r="C1962" s="14" t="s">
        <v>30</v>
      </c>
      <c r="D1962" s="1">
        <v>45562</v>
      </c>
      <c r="E1962" s="13">
        <v>45584</v>
      </c>
      <c r="F1962" s="14" t="s">
        <v>14</v>
      </c>
      <c r="G1962">
        <v>190</v>
      </c>
      <c r="H1962">
        <v>869.02</v>
      </c>
      <c r="I1962">
        <v>849.47</v>
      </c>
      <c r="J1962">
        <v>0</v>
      </c>
      <c r="K1962" s="14" t="s">
        <v>15</v>
      </c>
      <c r="L1962" s="14">
        <f>IF(OR(Table1[[#This Row],[Order_Status]]="Delivered",Table1[[#This Row],[Delivery_Date]]&lt;&gt;"Not Yet Delivered"),Table1[[#This Row],[Delivery_Date]]-Table1[[#This Row],[Order_Date]],"Not Applicable")</f>
        <v>22</v>
      </c>
      <c r="M1962" s="14">
        <f>Table1[[#This Row],[Unit_Cost]]-Table1[[#This Row],[Negotiated_Cost]]</f>
        <v>19.549999999999955</v>
      </c>
      <c r="N1962" s="18">
        <f>Table1[[#This Row],[Defective_Units]]/Table1[[#This Row],[Quantity]]</f>
        <v>0</v>
      </c>
      <c r="O1962" s="26">
        <f>(Table1[[#This Row],[Unit_Cost]]-Table1[[#This Row],[Negotiated_Cost]])/Table1[[#This Row],[Unit_Cost]]</f>
        <v>2.2496605371567922E-2</v>
      </c>
    </row>
    <row r="1963" spans="1:15" x14ac:dyDescent="0.25">
      <c r="A1963" t="s">
        <v>1998</v>
      </c>
      <c r="B1963" t="s">
        <v>46</v>
      </c>
      <c r="C1963" s="14" t="s">
        <v>50</v>
      </c>
      <c r="D1963" s="1">
        <v>45637</v>
      </c>
      <c r="E1963" s="13">
        <v>45659</v>
      </c>
      <c r="F1963" s="14" t="s">
        <v>14</v>
      </c>
      <c r="G1963">
        <v>485</v>
      </c>
      <c r="H1963">
        <v>51302.67</v>
      </c>
      <c r="I1963">
        <v>49912.36</v>
      </c>
      <c r="J1963">
        <v>9</v>
      </c>
      <c r="K1963" s="14" t="s">
        <v>25</v>
      </c>
      <c r="L1963" s="14">
        <f>IF(OR(Table1[[#This Row],[Order_Status]]="Delivered",Table1[[#This Row],[Delivery_Date]]&lt;&gt;"Not Yet Delivered"),Table1[[#This Row],[Delivery_Date]]-Table1[[#This Row],[Order_Date]],"Not Applicable")</f>
        <v>22</v>
      </c>
      <c r="M1963" s="14">
        <f>Table1[[#This Row],[Unit_Cost]]-Table1[[#This Row],[Negotiated_Cost]]</f>
        <v>1390.3099999999977</v>
      </c>
      <c r="N1963" s="18">
        <f>Table1[[#This Row],[Defective_Units]]/Table1[[#This Row],[Quantity]]</f>
        <v>1.8556701030927835E-2</v>
      </c>
      <c r="O1963" s="26">
        <f>(Table1[[#This Row],[Unit_Cost]]-Table1[[#This Row],[Negotiated_Cost]])/Table1[[#This Row],[Unit_Cost]]</f>
        <v>2.7100148978600875E-2</v>
      </c>
    </row>
    <row r="1964" spans="1:15" x14ac:dyDescent="0.25">
      <c r="A1964" t="s">
        <v>1999</v>
      </c>
      <c r="B1964" t="s">
        <v>27</v>
      </c>
      <c r="C1964" s="14" t="s">
        <v>30</v>
      </c>
      <c r="D1964" s="1">
        <v>45069</v>
      </c>
      <c r="E1964" s="13">
        <v>45071</v>
      </c>
      <c r="F1964" s="14" t="s">
        <v>14</v>
      </c>
      <c r="G1964">
        <v>315</v>
      </c>
      <c r="H1964">
        <v>922.17</v>
      </c>
      <c r="I1964">
        <v>899.54</v>
      </c>
      <c r="J1964">
        <v>8</v>
      </c>
      <c r="K1964" s="14" t="s">
        <v>15</v>
      </c>
      <c r="L1964" s="14">
        <f>IF(OR(Table1[[#This Row],[Order_Status]]="Delivered",Table1[[#This Row],[Delivery_Date]]&lt;&gt;"Not Yet Delivered"),Table1[[#This Row],[Delivery_Date]]-Table1[[#This Row],[Order_Date]],"Not Applicable")</f>
        <v>2</v>
      </c>
      <c r="M1964" s="14">
        <f>Table1[[#This Row],[Unit_Cost]]-Table1[[#This Row],[Negotiated_Cost]]</f>
        <v>22.629999999999995</v>
      </c>
      <c r="N1964" s="18">
        <f>Table1[[#This Row],[Defective_Units]]/Table1[[#This Row],[Quantity]]</f>
        <v>2.5396825396825397E-2</v>
      </c>
      <c r="O1964" s="26">
        <f>(Table1[[#This Row],[Unit_Cost]]-Table1[[#This Row],[Negotiated_Cost]])/Table1[[#This Row],[Unit_Cost]]</f>
        <v>2.4539943828144482E-2</v>
      </c>
    </row>
    <row r="1965" spans="1:15" x14ac:dyDescent="0.25">
      <c r="A1965" t="s">
        <v>2000</v>
      </c>
      <c r="B1965" t="s">
        <v>27</v>
      </c>
      <c r="C1965" s="14" t="s">
        <v>36</v>
      </c>
      <c r="D1965" s="1">
        <v>45095</v>
      </c>
      <c r="E1965" s="13">
        <v>45099</v>
      </c>
      <c r="F1965" s="14" t="s">
        <v>14</v>
      </c>
      <c r="G1965">
        <v>270</v>
      </c>
      <c r="H1965">
        <v>575.48</v>
      </c>
      <c r="I1965">
        <v>573</v>
      </c>
      <c r="J1965">
        <v>5</v>
      </c>
      <c r="K1965" s="14" t="s">
        <v>15</v>
      </c>
      <c r="L1965" s="14">
        <f>IF(OR(Table1[[#This Row],[Order_Status]]="Delivered",Table1[[#This Row],[Delivery_Date]]&lt;&gt;"Not Yet Delivered"),Table1[[#This Row],[Delivery_Date]]-Table1[[#This Row],[Order_Date]],"Not Applicable")</f>
        <v>4</v>
      </c>
      <c r="M1965" s="14">
        <f>Table1[[#This Row],[Unit_Cost]]-Table1[[#This Row],[Negotiated_Cost]]</f>
        <v>2.4800000000000182</v>
      </c>
      <c r="N1965" s="18">
        <f>Table1[[#This Row],[Defective_Units]]/Table1[[#This Row],[Quantity]]</f>
        <v>1.8518518518518517E-2</v>
      </c>
      <c r="O1965" s="26">
        <f>(Table1[[#This Row],[Unit_Cost]]-Table1[[#This Row],[Negotiated_Cost]])/Table1[[#This Row],[Unit_Cost]]</f>
        <v>4.3094460276638944E-3</v>
      </c>
    </row>
    <row r="1966" spans="1:15" x14ac:dyDescent="0.25">
      <c r="A1966" t="s">
        <v>2001</v>
      </c>
      <c r="B1966" t="s">
        <v>12</v>
      </c>
      <c r="C1966" s="14" t="s">
        <v>55</v>
      </c>
      <c r="D1966" s="1">
        <v>44930</v>
      </c>
      <c r="E1966" s="13">
        <v>44953</v>
      </c>
      <c r="F1966" s="14" t="s">
        <v>14</v>
      </c>
      <c r="G1966">
        <v>380</v>
      </c>
      <c r="H1966">
        <v>15901.48</v>
      </c>
      <c r="I1966">
        <v>15316.8</v>
      </c>
      <c r="J1966">
        <v>0</v>
      </c>
      <c r="K1966" s="14" t="s">
        <v>15</v>
      </c>
      <c r="L1966" s="14">
        <f>IF(OR(Table1[[#This Row],[Order_Status]]="Delivered",Table1[[#This Row],[Delivery_Date]]&lt;&gt;"Not Yet Delivered"),Table1[[#This Row],[Delivery_Date]]-Table1[[#This Row],[Order_Date]],"Not Applicable")</f>
        <v>23</v>
      </c>
      <c r="M1966" s="14">
        <f>Table1[[#This Row],[Unit_Cost]]-Table1[[#This Row],[Negotiated_Cost]]</f>
        <v>584.68000000000029</v>
      </c>
      <c r="N1966" s="18">
        <f>Table1[[#This Row],[Defective_Units]]/Table1[[#This Row],[Quantity]]</f>
        <v>0</v>
      </c>
      <c r="O1966" s="26">
        <f>(Table1[[#This Row],[Unit_Cost]]-Table1[[#This Row],[Negotiated_Cost]])/Table1[[#This Row],[Unit_Cost]]</f>
        <v>3.6768904529641287E-2</v>
      </c>
    </row>
    <row r="1967" spans="1:15" x14ac:dyDescent="0.25">
      <c r="A1967" t="s">
        <v>2002</v>
      </c>
      <c r="B1967" t="s">
        <v>27</v>
      </c>
      <c r="C1967" s="14" t="s">
        <v>18</v>
      </c>
      <c r="D1967" s="1">
        <v>45107</v>
      </c>
      <c r="E1967" s="13">
        <v>45116</v>
      </c>
      <c r="F1967" s="14" t="s">
        <v>14</v>
      </c>
      <c r="G1967">
        <v>488</v>
      </c>
      <c r="H1967">
        <v>5374.55</v>
      </c>
      <c r="I1967">
        <v>5110.05</v>
      </c>
      <c r="J1967">
        <v>4</v>
      </c>
      <c r="K1967" s="14" t="s">
        <v>15</v>
      </c>
      <c r="L1967" s="14">
        <f>IF(OR(Table1[[#This Row],[Order_Status]]="Delivered",Table1[[#This Row],[Delivery_Date]]&lt;&gt;"Not Yet Delivered"),Table1[[#This Row],[Delivery_Date]]-Table1[[#This Row],[Order_Date]],"Not Applicable")</f>
        <v>9</v>
      </c>
      <c r="M1967" s="14">
        <f>Table1[[#This Row],[Unit_Cost]]-Table1[[#This Row],[Negotiated_Cost]]</f>
        <v>264.5</v>
      </c>
      <c r="N1967" s="18">
        <f>Table1[[#This Row],[Defective_Units]]/Table1[[#This Row],[Quantity]]</f>
        <v>8.1967213114754103E-3</v>
      </c>
      <c r="O1967" s="26">
        <f>(Table1[[#This Row],[Unit_Cost]]-Table1[[#This Row],[Negotiated_Cost]])/Table1[[#This Row],[Unit_Cost]]</f>
        <v>4.9213422519094621E-2</v>
      </c>
    </row>
    <row r="1968" spans="1:15" x14ac:dyDescent="0.25">
      <c r="A1968" t="s">
        <v>2003</v>
      </c>
      <c r="B1968" t="s">
        <v>32</v>
      </c>
      <c r="C1968" s="14" t="s">
        <v>50</v>
      </c>
      <c r="D1968" s="1">
        <v>45236</v>
      </c>
      <c r="E1968" s="13">
        <v>45266</v>
      </c>
      <c r="F1968" s="14" t="s">
        <v>14</v>
      </c>
      <c r="G1968">
        <v>278</v>
      </c>
      <c r="H1968">
        <v>48086.52</v>
      </c>
      <c r="I1968">
        <v>47271.79</v>
      </c>
      <c r="J1968">
        <v>3</v>
      </c>
      <c r="K1968" s="14" t="s">
        <v>15</v>
      </c>
      <c r="L1968" s="14">
        <f>IF(OR(Table1[[#This Row],[Order_Status]]="Delivered",Table1[[#This Row],[Delivery_Date]]&lt;&gt;"Not Yet Delivered"),Table1[[#This Row],[Delivery_Date]]-Table1[[#This Row],[Order_Date]],"Not Applicable")</f>
        <v>30</v>
      </c>
      <c r="M1968" s="14">
        <f>Table1[[#This Row],[Unit_Cost]]-Table1[[#This Row],[Negotiated_Cost]]</f>
        <v>814.72999999999593</v>
      </c>
      <c r="N1968" s="18">
        <f>Table1[[#This Row],[Defective_Units]]/Table1[[#This Row],[Quantity]]</f>
        <v>1.0791366906474821E-2</v>
      </c>
      <c r="O1968" s="26">
        <f>(Table1[[#This Row],[Unit_Cost]]-Table1[[#This Row],[Negotiated_Cost]])/Table1[[#This Row],[Unit_Cost]]</f>
        <v>1.6943001905731503E-2</v>
      </c>
    </row>
    <row r="1969" spans="1:15" x14ac:dyDescent="0.25">
      <c r="A1969" t="s">
        <v>2004</v>
      </c>
      <c r="B1969" t="s">
        <v>32</v>
      </c>
      <c r="C1969" s="14" t="s">
        <v>36</v>
      </c>
      <c r="D1969" s="1">
        <v>45634</v>
      </c>
      <c r="E1969" s="13">
        <v>45657</v>
      </c>
      <c r="F1969" s="14" t="s">
        <v>14</v>
      </c>
      <c r="G1969">
        <v>36</v>
      </c>
      <c r="H1969">
        <v>510.45</v>
      </c>
      <c r="I1969">
        <v>497.3</v>
      </c>
      <c r="J1969">
        <v>0</v>
      </c>
      <c r="K1969" s="14" t="s">
        <v>15</v>
      </c>
      <c r="L1969" s="14">
        <f>IF(OR(Table1[[#This Row],[Order_Status]]="Delivered",Table1[[#This Row],[Delivery_Date]]&lt;&gt;"Not Yet Delivered"),Table1[[#This Row],[Delivery_Date]]-Table1[[#This Row],[Order_Date]],"Not Applicable")</f>
        <v>23</v>
      </c>
      <c r="M1969" s="14">
        <f>Table1[[#This Row],[Unit_Cost]]-Table1[[#This Row],[Negotiated_Cost]]</f>
        <v>13.149999999999977</v>
      </c>
      <c r="N1969" s="18">
        <f>Table1[[#This Row],[Defective_Units]]/Table1[[#This Row],[Quantity]]</f>
        <v>0</v>
      </c>
      <c r="O1969" s="26">
        <f>(Table1[[#This Row],[Unit_Cost]]-Table1[[#This Row],[Negotiated_Cost]])/Table1[[#This Row],[Unit_Cost]]</f>
        <v>2.5761582917033947E-2</v>
      </c>
    </row>
    <row r="1970" spans="1:15" x14ac:dyDescent="0.25">
      <c r="A1970" t="s">
        <v>2005</v>
      </c>
      <c r="B1970" t="s">
        <v>20</v>
      </c>
      <c r="C1970" s="14" t="s">
        <v>21</v>
      </c>
      <c r="D1970" s="1">
        <v>45278</v>
      </c>
      <c r="E1970" s="14" t="s">
        <v>2057</v>
      </c>
      <c r="F1970" s="14" t="s">
        <v>22</v>
      </c>
      <c r="G1970">
        <v>477</v>
      </c>
      <c r="H1970">
        <v>109.46</v>
      </c>
      <c r="I1970">
        <v>105.98</v>
      </c>
      <c r="J1970">
        <v>2</v>
      </c>
      <c r="K1970" s="14" t="s">
        <v>15</v>
      </c>
      <c r="L1970" s="14" t="str">
        <f>IF(OR(Table1[[#This Row],[Order_Status]]="Delivered",Table1[[#This Row],[Delivery_Date]]&lt;&gt;"Not Yet Delivered"),Table1[[#This Row],[Delivery_Date]]-Table1[[#This Row],[Order_Date]],"Not Applicable")</f>
        <v>Not Applicable</v>
      </c>
      <c r="M1970" s="14">
        <f>Table1[[#This Row],[Unit_Cost]]-Table1[[#This Row],[Negotiated_Cost]]</f>
        <v>3.4799999999999898</v>
      </c>
      <c r="N1970" s="18">
        <f>Table1[[#This Row],[Defective_Units]]/Table1[[#This Row],[Quantity]]</f>
        <v>4.1928721174004195E-3</v>
      </c>
      <c r="O1970" s="26">
        <f>(Table1[[#This Row],[Unit_Cost]]-Table1[[#This Row],[Negotiated_Cost]])/Table1[[#This Row],[Unit_Cost]]</f>
        <v>3.1792435592910562E-2</v>
      </c>
    </row>
    <row r="1971" spans="1:15" x14ac:dyDescent="0.25">
      <c r="A1971" t="s">
        <v>2006</v>
      </c>
      <c r="B1971" t="s">
        <v>12</v>
      </c>
      <c r="C1971" s="14" t="s">
        <v>18</v>
      </c>
      <c r="D1971" s="1">
        <v>45116</v>
      </c>
      <c r="E1971" s="13">
        <v>45142</v>
      </c>
      <c r="F1971" s="14" t="s">
        <v>14</v>
      </c>
      <c r="G1971">
        <v>125</v>
      </c>
      <c r="H1971">
        <v>5148.1499999999996</v>
      </c>
      <c r="I1971">
        <v>5124.8100000000004</v>
      </c>
      <c r="J1971">
        <v>4</v>
      </c>
      <c r="K1971" s="14" t="s">
        <v>15</v>
      </c>
      <c r="L1971" s="14">
        <f>IF(OR(Table1[[#This Row],[Order_Status]]="Delivered",Table1[[#This Row],[Delivery_Date]]&lt;&gt;"Not Yet Delivered"),Table1[[#This Row],[Delivery_Date]]-Table1[[#This Row],[Order_Date]],"Not Applicable")</f>
        <v>26</v>
      </c>
      <c r="M1971" s="14">
        <f>Table1[[#This Row],[Unit_Cost]]-Table1[[#This Row],[Negotiated_Cost]]</f>
        <v>23.339999999999236</v>
      </c>
      <c r="N1971" s="18">
        <f>Table1[[#This Row],[Defective_Units]]/Table1[[#This Row],[Quantity]]</f>
        <v>3.2000000000000001E-2</v>
      </c>
      <c r="O1971" s="26">
        <f>(Table1[[#This Row],[Unit_Cost]]-Table1[[#This Row],[Negotiated_Cost]])/Table1[[#This Row],[Unit_Cost]]</f>
        <v>4.5336674339324298E-3</v>
      </c>
    </row>
    <row r="1972" spans="1:15" x14ac:dyDescent="0.25">
      <c r="A1972" t="s">
        <v>2007</v>
      </c>
      <c r="B1972" t="s">
        <v>46</v>
      </c>
      <c r="C1972" s="14" t="s">
        <v>30</v>
      </c>
      <c r="D1972" s="1">
        <v>44960</v>
      </c>
      <c r="E1972" s="13">
        <v>44964</v>
      </c>
      <c r="F1972" s="14" t="s">
        <v>14</v>
      </c>
      <c r="G1972">
        <v>344</v>
      </c>
      <c r="H1972">
        <v>842.34</v>
      </c>
      <c r="I1972">
        <v>833.38</v>
      </c>
      <c r="J1972">
        <v>0</v>
      </c>
      <c r="K1972" s="14" t="s">
        <v>15</v>
      </c>
      <c r="L1972" s="14">
        <f>IF(OR(Table1[[#This Row],[Order_Status]]="Delivered",Table1[[#This Row],[Delivery_Date]]&lt;&gt;"Not Yet Delivered"),Table1[[#This Row],[Delivery_Date]]-Table1[[#This Row],[Order_Date]],"Not Applicable")</f>
        <v>4</v>
      </c>
      <c r="M1972" s="14">
        <f>Table1[[#This Row],[Unit_Cost]]-Table1[[#This Row],[Negotiated_Cost]]</f>
        <v>8.9600000000000364</v>
      </c>
      <c r="N1972" s="18">
        <f>Table1[[#This Row],[Defective_Units]]/Table1[[#This Row],[Quantity]]</f>
        <v>0</v>
      </c>
      <c r="O1972" s="26">
        <f>(Table1[[#This Row],[Unit_Cost]]-Table1[[#This Row],[Negotiated_Cost]])/Table1[[#This Row],[Unit_Cost]]</f>
        <v>1.0637034926514277E-2</v>
      </c>
    </row>
    <row r="1973" spans="1:15" x14ac:dyDescent="0.25">
      <c r="A1973" t="s">
        <v>2008</v>
      </c>
      <c r="B1973" t="s">
        <v>46</v>
      </c>
      <c r="C1973" s="14" t="s">
        <v>30</v>
      </c>
      <c r="D1973" s="1">
        <v>45370</v>
      </c>
      <c r="E1973" s="13">
        <v>45400</v>
      </c>
      <c r="F1973" s="14" t="s">
        <v>14</v>
      </c>
      <c r="G1973">
        <v>197</v>
      </c>
      <c r="H1973">
        <v>886.48</v>
      </c>
      <c r="I1973">
        <v>867.48</v>
      </c>
      <c r="J1973">
        <v>4</v>
      </c>
      <c r="K1973" s="14" t="s">
        <v>15</v>
      </c>
      <c r="L1973" s="14">
        <f>IF(OR(Table1[[#This Row],[Order_Status]]="Delivered",Table1[[#This Row],[Delivery_Date]]&lt;&gt;"Not Yet Delivered"),Table1[[#This Row],[Delivery_Date]]-Table1[[#This Row],[Order_Date]],"Not Applicable")</f>
        <v>30</v>
      </c>
      <c r="M1973" s="14">
        <f>Table1[[#This Row],[Unit_Cost]]-Table1[[#This Row],[Negotiated_Cost]]</f>
        <v>19</v>
      </c>
      <c r="N1973" s="18">
        <f>Table1[[#This Row],[Defective_Units]]/Table1[[#This Row],[Quantity]]</f>
        <v>2.030456852791878E-2</v>
      </c>
      <c r="O1973" s="26">
        <f>(Table1[[#This Row],[Unit_Cost]]-Table1[[#This Row],[Negotiated_Cost]])/Table1[[#This Row],[Unit_Cost]]</f>
        <v>2.1433083656709682E-2</v>
      </c>
    </row>
    <row r="1974" spans="1:15" x14ac:dyDescent="0.25">
      <c r="A1974" t="s">
        <v>2009</v>
      </c>
      <c r="B1974" t="s">
        <v>32</v>
      </c>
      <c r="C1974" s="14" t="s">
        <v>30</v>
      </c>
      <c r="D1974" s="1">
        <v>45466</v>
      </c>
      <c r="E1974" s="13">
        <v>45483</v>
      </c>
      <c r="F1974" s="14" t="s">
        <v>14</v>
      </c>
      <c r="G1974">
        <v>489</v>
      </c>
      <c r="H1974">
        <v>873.75</v>
      </c>
      <c r="I1974">
        <v>826.02</v>
      </c>
      <c r="J1974">
        <v>3</v>
      </c>
      <c r="K1974" s="14" t="s">
        <v>15</v>
      </c>
      <c r="L1974" s="14">
        <f>IF(OR(Table1[[#This Row],[Order_Status]]="Delivered",Table1[[#This Row],[Delivery_Date]]&lt;&gt;"Not Yet Delivered"),Table1[[#This Row],[Delivery_Date]]-Table1[[#This Row],[Order_Date]],"Not Applicable")</f>
        <v>17</v>
      </c>
      <c r="M1974" s="14">
        <f>Table1[[#This Row],[Unit_Cost]]-Table1[[#This Row],[Negotiated_Cost]]</f>
        <v>47.730000000000018</v>
      </c>
      <c r="N1974" s="18">
        <f>Table1[[#This Row],[Defective_Units]]/Table1[[#This Row],[Quantity]]</f>
        <v>6.1349693251533744E-3</v>
      </c>
      <c r="O1974" s="26">
        <f>(Table1[[#This Row],[Unit_Cost]]-Table1[[#This Row],[Negotiated_Cost]])/Table1[[#This Row],[Unit_Cost]]</f>
        <v>5.4626609442060103E-2</v>
      </c>
    </row>
    <row r="1975" spans="1:15" x14ac:dyDescent="0.25">
      <c r="A1975" t="s">
        <v>2010</v>
      </c>
      <c r="B1975" t="s">
        <v>27</v>
      </c>
      <c r="C1975" s="14" t="s">
        <v>18</v>
      </c>
      <c r="D1975" s="1">
        <v>45255</v>
      </c>
      <c r="E1975" s="13">
        <v>45284</v>
      </c>
      <c r="F1975" s="14" t="s">
        <v>37</v>
      </c>
      <c r="G1975">
        <v>289</v>
      </c>
      <c r="H1975">
        <v>5303.95</v>
      </c>
      <c r="I1975">
        <v>5186.6099999999997</v>
      </c>
      <c r="J1975">
        <v>6</v>
      </c>
      <c r="K1975" s="14" t="s">
        <v>15</v>
      </c>
      <c r="L1975" s="14">
        <f>IF(OR(Table1[[#This Row],[Order_Status]]="Delivered",Table1[[#This Row],[Delivery_Date]]&lt;&gt;"Not Yet Delivered"),Table1[[#This Row],[Delivery_Date]]-Table1[[#This Row],[Order_Date]],"Not Applicable")</f>
        <v>29</v>
      </c>
      <c r="M1975" s="14">
        <f>Table1[[#This Row],[Unit_Cost]]-Table1[[#This Row],[Negotiated_Cost]]</f>
        <v>117.34000000000015</v>
      </c>
      <c r="N1975" s="18">
        <f>Table1[[#This Row],[Defective_Units]]/Table1[[#This Row],[Quantity]]</f>
        <v>2.0761245674740483E-2</v>
      </c>
      <c r="O1975" s="26">
        <f>(Table1[[#This Row],[Unit_Cost]]-Table1[[#This Row],[Negotiated_Cost]])/Table1[[#This Row],[Unit_Cost]]</f>
        <v>2.2123134644934463E-2</v>
      </c>
    </row>
    <row r="1976" spans="1:15" x14ac:dyDescent="0.25">
      <c r="A1976" t="s">
        <v>2011</v>
      </c>
      <c r="B1976" t="s">
        <v>40</v>
      </c>
      <c r="C1976" s="14" t="s">
        <v>30</v>
      </c>
      <c r="D1976" s="1">
        <v>45498</v>
      </c>
      <c r="E1976" s="13">
        <v>45515</v>
      </c>
      <c r="F1976" s="14" t="s">
        <v>14</v>
      </c>
      <c r="G1976">
        <v>354</v>
      </c>
      <c r="H1976">
        <v>998.42</v>
      </c>
      <c r="I1976">
        <v>993.18</v>
      </c>
      <c r="J1976">
        <v>0</v>
      </c>
      <c r="K1976" s="14" t="s">
        <v>15</v>
      </c>
      <c r="L1976" s="14">
        <f>IF(OR(Table1[[#This Row],[Order_Status]]="Delivered",Table1[[#This Row],[Delivery_Date]]&lt;&gt;"Not Yet Delivered"),Table1[[#This Row],[Delivery_Date]]-Table1[[#This Row],[Order_Date]],"Not Applicable")</f>
        <v>17</v>
      </c>
      <c r="M1976" s="14">
        <f>Table1[[#This Row],[Unit_Cost]]-Table1[[#This Row],[Negotiated_Cost]]</f>
        <v>5.2400000000000091</v>
      </c>
      <c r="N1976" s="18">
        <f>Table1[[#This Row],[Defective_Units]]/Table1[[#This Row],[Quantity]]</f>
        <v>0</v>
      </c>
      <c r="O1976" s="26">
        <f>(Table1[[#This Row],[Unit_Cost]]-Table1[[#This Row],[Negotiated_Cost]])/Table1[[#This Row],[Unit_Cost]]</f>
        <v>5.2482923018369113E-3</v>
      </c>
    </row>
    <row r="1977" spans="1:15" x14ac:dyDescent="0.25">
      <c r="A1977" t="s">
        <v>2012</v>
      </c>
      <c r="B1977" t="s">
        <v>35</v>
      </c>
      <c r="C1977" s="14" t="s">
        <v>28</v>
      </c>
      <c r="D1977" s="1">
        <v>45609</v>
      </c>
      <c r="E1977" s="13">
        <v>45636</v>
      </c>
      <c r="F1977" s="14" t="s">
        <v>14</v>
      </c>
      <c r="G1977">
        <v>77</v>
      </c>
      <c r="H1977">
        <v>49271.95</v>
      </c>
      <c r="I1977">
        <v>47057.59</v>
      </c>
      <c r="J1977">
        <v>0</v>
      </c>
      <c r="K1977" s="14" t="s">
        <v>15</v>
      </c>
      <c r="L1977" s="14">
        <f>IF(OR(Table1[[#This Row],[Order_Status]]="Delivered",Table1[[#This Row],[Delivery_Date]]&lt;&gt;"Not Yet Delivered"),Table1[[#This Row],[Delivery_Date]]-Table1[[#This Row],[Order_Date]],"Not Applicable")</f>
        <v>27</v>
      </c>
      <c r="M1977" s="14">
        <f>Table1[[#This Row],[Unit_Cost]]-Table1[[#This Row],[Negotiated_Cost]]</f>
        <v>2214.3600000000006</v>
      </c>
      <c r="N1977" s="18">
        <f>Table1[[#This Row],[Defective_Units]]/Table1[[#This Row],[Quantity]]</f>
        <v>0</v>
      </c>
      <c r="O1977" s="26">
        <f>(Table1[[#This Row],[Unit_Cost]]-Table1[[#This Row],[Negotiated_Cost]])/Table1[[#This Row],[Unit_Cost]]</f>
        <v>4.4941594558364356E-2</v>
      </c>
    </row>
    <row r="1978" spans="1:15" x14ac:dyDescent="0.25">
      <c r="A1978" t="s">
        <v>2013</v>
      </c>
      <c r="B1978" t="s">
        <v>12</v>
      </c>
      <c r="C1978" s="14" t="s">
        <v>55</v>
      </c>
      <c r="D1978" s="1">
        <v>45055</v>
      </c>
      <c r="E1978" s="13">
        <v>45084</v>
      </c>
      <c r="F1978" s="14" t="s">
        <v>14</v>
      </c>
      <c r="G1978">
        <v>440</v>
      </c>
      <c r="H1978">
        <v>15196.44</v>
      </c>
      <c r="I1978">
        <v>14807.89</v>
      </c>
      <c r="J1978">
        <v>3</v>
      </c>
      <c r="K1978" s="14" t="s">
        <v>15</v>
      </c>
      <c r="L1978" s="14">
        <f>IF(OR(Table1[[#This Row],[Order_Status]]="Delivered",Table1[[#This Row],[Delivery_Date]]&lt;&gt;"Not Yet Delivered"),Table1[[#This Row],[Delivery_Date]]-Table1[[#This Row],[Order_Date]],"Not Applicable")</f>
        <v>29</v>
      </c>
      <c r="M1978" s="14">
        <f>Table1[[#This Row],[Unit_Cost]]-Table1[[#This Row],[Negotiated_Cost]]</f>
        <v>388.55000000000109</v>
      </c>
      <c r="N1978" s="18">
        <f>Table1[[#This Row],[Defective_Units]]/Table1[[#This Row],[Quantity]]</f>
        <v>6.8181818181818179E-3</v>
      </c>
      <c r="O1978" s="26">
        <f>(Table1[[#This Row],[Unit_Cost]]-Table1[[#This Row],[Negotiated_Cost]])/Table1[[#This Row],[Unit_Cost]]</f>
        <v>2.5568488409127472E-2</v>
      </c>
    </row>
    <row r="1979" spans="1:15" x14ac:dyDescent="0.25">
      <c r="A1979" t="s">
        <v>2014</v>
      </c>
      <c r="B1979" t="s">
        <v>35</v>
      </c>
      <c r="C1979" s="14" t="s">
        <v>36</v>
      </c>
      <c r="D1979" s="1">
        <v>44956</v>
      </c>
      <c r="E1979" s="14" t="s">
        <v>2057</v>
      </c>
      <c r="F1979" s="14" t="s">
        <v>22</v>
      </c>
      <c r="G1979">
        <v>418</v>
      </c>
      <c r="H1979">
        <v>541.71</v>
      </c>
      <c r="I1979">
        <v>515.95000000000005</v>
      </c>
      <c r="J1979">
        <v>2</v>
      </c>
      <c r="K1979" s="14" t="s">
        <v>15</v>
      </c>
      <c r="L1979" s="14" t="str">
        <f>IF(OR(Table1[[#This Row],[Order_Status]]="Delivered",Table1[[#This Row],[Delivery_Date]]&lt;&gt;"Not Yet Delivered"),Table1[[#This Row],[Delivery_Date]]-Table1[[#This Row],[Order_Date]],"Not Applicable")</f>
        <v>Not Applicable</v>
      </c>
      <c r="M1979" s="14">
        <f>Table1[[#This Row],[Unit_Cost]]-Table1[[#This Row],[Negotiated_Cost]]</f>
        <v>25.759999999999991</v>
      </c>
      <c r="N1979" s="18">
        <f>Table1[[#This Row],[Defective_Units]]/Table1[[#This Row],[Quantity]]</f>
        <v>4.7846889952153108E-3</v>
      </c>
      <c r="O1979" s="26">
        <f>(Table1[[#This Row],[Unit_Cost]]-Table1[[#This Row],[Negotiated_Cost]])/Table1[[#This Row],[Unit_Cost]]</f>
        <v>4.7553118827416863E-2</v>
      </c>
    </row>
    <row r="1980" spans="1:15" x14ac:dyDescent="0.25">
      <c r="A1980" t="s">
        <v>2015</v>
      </c>
      <c r="B1980" t="s">
        <v>27</v>
      </c>
      <c r="C1980" s="14" t="s">
        <v>48</v>
      </c>
      <c r="D1980" s="1">
        <v>45627</v>
      </c>
      <c r="E1980" s="13">
        <v>45631</v>
      </c>
      <c r="F1980" s="14" t="s">
        <v>14</v>
      </c>
      <c r="G1980">
        <v>25</v>
      </c>
      <c r="H1980">
        <v>6805.83</v>
      </c>
      <c r="I1980">
        <v>6683.26</v>
      </c>
      <c r="J1980">
        <v>1</v>
      </c>
      <c r="K1980" s="14" t="s">
        <v>15</v>
      </c>
      <c r="L1980" s="14">
        <f>IF(OR(Table1[[#This Row],[Order_Status]]="Delivered",Table1[[#This Row],[Delivery_Date]]&lt;&gt;"Not Yet Delivered"),Table1[[#This Row],[Delivery_Date]]-Table1[[#This Row],[Order_Date]],"Not Applicable")</f>
        <v>4</v>
      </c>
      <c r="M1980" s="14">
        <f>Table1[[#This Row],[Unit_Cost]]-Table1[[#This Row],[Negotiated_Cost]]</f>
        <v>122.56999999999971</v>
      </c>
      <c r="N1980" s="18">
        <f>Table1[[#This Row],[Defective_Units]]/Table1[[#This Row],[Quantity]]</f>
        <v>0.04</v>
      </c>
      <c r="O1980" s="26">
        <f>(Table1[[#This Row],[Unit_Cost]]-Table1[[#This Row],[Negotiated_Cost]])/Table1[[#This Row],[Unit_Cost]]</f>
        <v>1.8009559451235148E-2</v>
      </c>
    </row>
    <row r="1981" spans="1:15" x14ac:dyDescent="0.25">
      <c r="A1981" t="s">
        <v>2016</v>
      </c>
      <c r="B1981" t="s">
        <v>46</v>
      </c>
      <c r="C1981" s="14" t="s">
        <v>42</v>
      </c>
      <c r="D1981" s="1">
        <v>45313</v>
      </c>
      <c r="E1981" s="13">
        <v>45336</v>
      </c>
      <c r="F1981" s="14" t="s">
        <v>14</v>
      </c>
      <c r="G1981">
        <v>181</v>
      </c>
      <c r="H1981">
        <v>11210.05</v>
      </c>
      <c r="I1981">
        <v>10561.84</v>
      </c>
      <c r="J1981">
        <v>1</v>
      </c>
      <c r="K1981" s="14" t="s">
        <v>15</v>
      </c>
      <c r="L1981" s="14">
        <f>IF(OR(Table1[[#This Row],[Order_Status]]="Delivered",Table1[[#This Row],[Delivery_Date]]&lt;&gt;"Not Yet Delivered"),Table1[[#This Row],[Delivery_Date]]-Table1[[#This Row],[Order_Date]],"Not Applicable")</f>
        <v>23</v>
      </c>
      <c r="M1981" s="14">
        <f>Table1[[#This Row],[Unit_Cost]]-Table1[[#This Row],[Negotiated_Cost]]</f>
        <v>648.20999999999913</v>
      </c>
      <c r="N1981" s="18">
        <f>Table1[[#This Row],[Defective_Units]]/Table1[[#This Row],[Quantity]]</f>
        <v>5.5248618784530384E-3</v>
      </c>
      <c r="O1981" s="26">
        <f>(Table1[[#This Row],[Unit_Cost]]-Table1[[#This Row],[Negotiated_Cost]])/Table1[[#This Row],[Unit_Cost]]</f>
        <v>5.7824006137349893E-2</v>
      </c>
    </row>
    <row r="1982" spans="1:15" x14ac:dyDescent="0.25">
      <c r="A1982" t="s">
        <v>2017</v>
      </c>
      <c r="B1982" t="s">
        <v>35</v>
      </c>
      <c r="C1982" s="14" t="s">
        <v>42</v>
      </c>
      <c r="D1982" s="1">
        <v>45291</v>
      </c>
      <c r="E1982" s="13">
        <v>45306</v>
      </c>
      <c r="F1982" s="14" t="s">
        <v>14</v>
      </c>
      <c r="G1982">
        <v>442</v>
      </c>
      <c r="H1982">
        <v>11426.65</v>
      </c>
      <c r="I1982">
        <v>11240.81</v>
      </c>
      <c r="J1982">
        <v>6</v>
      </c>
      <c r="K1982" s="14" t="s">
        <v>15</v>
      </c>
      <c r="L1982" s="14">
        <f>IF(OR(Table1[[#This Row],[Order_Status]]="Delivered",Table1[[#This Row],[Delivery_Date]]&lt;&gt;"Not Yet Delivered"),Table1[[#This Row],[Delivery_Date]]-Table1[[#This Row],[Order_Date]],"Not Applicable")</f>
        <v>15</v>
      </c>
      <c r="M1982" s="14">
        <f>Table1[[#This Row],[Unit_Cost]]-Table1[[#This Row],[Negotiated_Cost]]</f>
        <v>185.84000000000015</v>
      </c>
      <c r="N1982" s="18">
        <f>Table1[[#This Row],[Defective_Units]]/Table1[[#This Row],[Quantity]]</f>
        <v>1.3574660633484163E-2</v>
      </c>
      <c r="O1982" s="26">
        <f>(Table1[[#This Row],[Unit_Cost]]-Table1[[#This Row],[Negotiated_Cost]])/Table1[[#This Row],[Unit_Cost]]</f>
        <v>1.6263734340335984E-2</v>
      </c>
    </row>
    <row r="1983" spans="1:15" x14ac:dyDescent="0.25">
      <c r="A1983" t="s">
        <v>2018</v>
      </c>
      <c r="B1983" t="s">
        <v>35</v>
      </c>
      <c r="C1983" s="14" t="s">
        <v>48</v>
      </c>
      <c r="D1983" s="1">
        <v>45256</v>
      </c>
      <c r="E1983" s="13">
        <v>45276</v>
      </c>
      <c r="F1983" s="14" t="s">
        <v>37</v>
      </c>
      <c r="G1983">
        <v>387</v>
      </c>
      <c r="H1983">
        <v>6630.59</v>
      </c>
      <c r="I1983">
        <v>6619.42</v>
      </c>
      <c r="J1983">
        <v>4</v>
      </c>
      <c r="K1983" s="14" t="s">
        <v>25</v>
      </c>
      <c r="L1983" s="14">
        <f>IF(OR(Table1[[#This Row],[Order_Status]]="Delivered",Table1[[#This Row],[Delivery_Date]]&lt;&gt;"Not Yet Delivered"),Table1[[#This Row],[Delivery_Date]]-Table1[[#This Row],[Order_Date]],"Not Applicable")</f>
        <v>20</v>
      </c>
      <c r="M1983" s="14">
        <f>Table1[[#This Row],[Unit_Cost]]-Table1[[#This Row],[Negotiated_Cost]]</f>
        <v>11.170000000000073</v>
      </c>
      <c r="N1983" s="18">
        <f>Table1[[#This Row],[Defective_Units]]/Table1[[#This Row],[Quantity]]</f>
        <v>1.0335917312661499E-2</v>
      </c>
      <c r="O1983" s="26">
        <f>(Table1[[#This Row],[Unit_Cost]]-Table1[[#This Row],[Negotiated_Cost]])/Table1[[#This Row],[Unit_Cost]]</f>
        <v>1.6846163011134865E-3</v>
      </c>
    </row>
    <row r="1984" spans="1:15" x14ac:dyDescent="0.25">
      <c r="A1984" t="s">
        <v>2019</v>
      </c>
      <c r="B1984" t="s">
        <v>32</v>
      </c>
      <c r="C1984" s="14" t="s">
        <v>13</v>
      </c>
      <c r="D1984" s="1">
        <v>44932</v>
      </c>
      <c r="E1984" s="13">
        <v>44952</v>
      </c>
      <c r="F1984" s="14" t="s">
        <v>14</v>
      </c>
      <c r="G1984">
        <v>337</v>
      </c>
      <c r="H1984">
        <v>3940.87</v>
      </c>
      <c r="I1984">
        <v>3895.82</v>
      </c>
      <c r="J1984">
        <v>7</v>
      </c>
      <c r="K1984" s="14" t="s">
        <v>25</v>
      </c>
      <c r="L1984" s="14">
        <f>IF(OR(Table1[[#This Row],[Order_Status]]="Delivered",Table1[[#This Row],[Delivery_Date]]&lt;&gt;"Not Yet Delivered"),Table1[[#This Row],[Delivery_Date]]-Table1[[#This Row],[Order_Date]],"Not Applicable")</f>
        <v>20</v>
      </c>
      <c r="M1984" s="14">
        <f>Table1[[#This Row],[Unit_Cost]]-Table1[[#This Row],[Negotiated_Cost]]</f>
        <v>45.049999999999727</v>
      </c>
      <c r="N1984" s="18">
        <f>Table1[[#This Row],[Defective_Units]]/Table1[[#This Row],[Quantity]]</f>
        <v>2.0771513353115726E-2</v>
      </c>
      <c r="O1984" s="26">
        <f>(Table1[[#This Row],[Unit_Cost]]-Table1[[#This Row],[Negotiated_Cost]])/Table1[[#This Row],[Unit_Cost]]</f>
        <v>1.1431485940921606E-2</v>
      </c>
    </row>
    <row r="1985" spans="1:15" x14ac:dyDescent="0.25">
      <c r="A1985" t="s">
        <v>2020</v>
      </c>
      <c r="B1985" t="s">
        <v>32</v>
      </c>
      <c r="C1985" s="14" t="s">
        <v>44</v>
      </c>
      <c r="D1985" s="1">
        <v>45236</v>
      </c>
      <c r="E1985" s="13">
        <v>45245</v>
      </c>
      <c r="F1985" s="14" t="s">
        <v>14</v>
      </c>
      <c r="G1985">
        <v>403</v>
      </c>
      <c r="H1985">
        <v>7559.42</v>
      </c>
      <c r="I1985">
        <v>7202.43</v>
      </c>
      <c r="J1985">
        <v>2</v>
      </c>
      <c r="K1985" s="14" t="s">
        <v>15</v>
      </c>
      <c r="L1985" s="14">
        <f>IF(OR(Table1[[#This Row],[Order_Status]]="Delivered",Table1[[#This Row],[Delivery_Date]]&lt;&gt;"Not Yet Delivered"),Table1[[#This Row],[Delivery_Date]]-Table1[[#This Row],[Order_Date]],"Not Applicable")</f>
        <v>9</v>
      </c>
      <c r="M1985" s="14">
        <f>Table1[[#This Row],[Unit_Cost]]-Table1[[#This Row],[Negotiated_Cost]]</f>
        <v>356.98999999999978</v>
      </c>
      <c r="N1985" s="18">
        <f>Table1[[#This Row],[Defective_Units]]/Table1[[#This Row],[Quantity]]</f>
        <v>4.9627791563275434E-3</v>
      </c>
      <c r="O1985" s="26">
        <f>(Table1[[#This Row],[Unit_Cost]]-Table1[[#This Row],[Negotiated_Cost]])/Table1[[#This Row],[Unit_Cost]]</f>
        <v>4.7224522516277671E-2</v>
      </c>
    </row>
    <row r="1986" spans="1:15" x14ac:dyDescent="0.25">
      <c r="A1986" t="s">
        <v>2021</v>
      </c>
      <c r="B1986" t="s">
        <v>20</v>
      </c>
      <c r="C1986" s="14" t="s">
        <v>36</v>
      </c>
      <c r="D1986" s="1">
        <v>45049</v>
      </c>
      <c r="E1986" s="13">
        <v>45079</v>
      </c>
      <c r="F1986" s="14" t="s">
        <v>14</v>
      </c>
      <c r="G1986">
        <v>296</v>
      </c>
      <c r="H1986">
        <v>525.29</v>
      </c>
      <c r="I1986">
        <v>498.46</v>
      </c>
      <c r="J1986">
        <v>0</v>
      </c>
      <c r="K1986" s="14" t="s">
        <v>15</v>
      </c>
      <c r="L1986" s="14">
        <f>IF(OR(Table1[[#This Row],[Order_Status]]="Delivered",Table1[[#This Row],[Delivery_Date]]&lt;&gt;"Not Yet Delivered"),Table1[[#This Row],[Delivery_Date]]-Table1[[#This Row],[Order_Date]],"Not Applicable")</f>
        <v>30</v>
      </c>
      <c r="M1986" s="14">
        <f>Table1[[#This Row],[Unit_Cost]]-Table1[[#This Row],[Negotiated_Cost]]</f>
        <v>26.829999999999984</v>
      </c>
      <c r="N1986" s="18">
        <f>Table1[[#This Row],[Defective_Units]]/Table1[[#This Row],[Quantity]]</f>
        <v>0</v>
      </c>
      <c r="O1986" s="26">
        <f>(Table1[[#This Row],[Unit_Cost]]-Table1[[#This Row],[Negotiated_Cost]])/Table1[[#This Row],[Unit_Cost]]</f>
        <v>5.1076548192427011E-2</v>
      </c>
    </row>
    <row r="1987" spans="1:15" x14ac:dyDescent="0.25">
      <c r="A1987" t="s">
        <v>2022</v>
      </c>
      <c r="B1987" t="s">
        <v>27</v>
      </c>
      <c r="C1987" s="14" t="s">
        <v>28</v>
      </c>
      <c r="D1987" s="1">
        <v>45306</v>
      </c>
      <c r="E1987" s="14" t="s">
        <v>2057</v>
      </c>
      <c r="F1987" s="14" t="s">
        <v>22</v>
      </c>
      <c r="G1987">
        <v>150</v>
      </c>
      <c r="H1987">
        <v>48481.27</v>
      </c>
      <c r="I1987">
        <v>46682.1</v>
      </c>
      <c r="J1987">
        <v>2</v>
      </c>
      <c r="K1987" s="14" t="s">
        <v>15</v>
      </c>
      <c r="L1987" s="14" t="str">
        <f>IF(OR(Table1[[#This Row],[Order_Status]]="Delivered",Table1[[#This Row],[Delivery_Date]]&lt;&gt;"Not Yet Delivered"),Table1[[#This Row],[Delivery_Date]]-Table1[[#This Row],[Order_Date]],"Not Applicable")</f>
        <v>Not Applicable</v>
      </c>
      <c r="M1987" s="14">
        <f>Table1[[#This Row],[Unit_Cost]]-Table1[[#This Row],[Negotiated_Cost]]</f>
        <v>1799.1699999999983</v>
      </c>
      <c r="N1987" s="18">
        <f>Table1[[#This Row],[Defective_Units]]/Table1[[#This Row],[Quantity]]</f>
        <v>1.3333333333333334E-2</v>
      </c>
      <c r="O1987" s="26">
        <f>(Table1[[#This Row],[Unit_Cost]]-Table1[[#This Row],[Negotiated_Cost]])/Table1[[#This Row],[Unit_Cost]]</f>
        <v>3.711062024571548E-2</v>
      </c>
    </row>
    <row r="1988" spans="1:15" x14ac:dyDescent="0.25">
      <c r="A1988" t="s">
        <v>2023</v>
      </c>
      <c r="B1988" t="s">
        <v>46</v>
      </c>
      <c r="C1988" s="14" t="s">
        <v>36</v>
      </c>
      <c r="D1988" s="1">
        <v>45183</v>
      </c>
      <c r="E1988" s="13">
        <v>45198</v>
      </c>
      <c r="F1988" s="14" t="s">
        <v>14</v>
      </c>
      <c r="G1988">
        <v>136</v>
      </c>
      <c r="H1988">
        <v>541.23</v>
      </c>
      <c r="I1988">
        <v>512.73</v>
      </c>
      <c r="J1988">
        <v>0</v>
      </c>
      <c r="K1988" s="14" t="s">
        <v>15</v>
      </c>
      <c r="L1988" s="14">
        <f>IF(OR(Table1[[#This Row],[Order_Status]]="Delivered",Table1[[#This Row],[Delivery_Date]]&lt;&gt;"Not Yet Delivered"),Table1[[#This Row],[Delivery_Date]]-Table1[[#This Row],[Order_Date]],"Not Applicable")</f>
        <v>15</v>
      </c>
      <c r="M1988" s="14">
        <f>Table1[[#This Row],[Unit_Cost]]-Table1[[#This Row],[Negotiated_Cost]]</f>
        <v>28.5</v>
      </c>
      <c r="N1988" s="18">
        <f>Table1[[#This Row],[Defective_Units]]/Table1[[#This Row],[Quantity]]</f>
        <v>0</v>
      </c>
      <c r="O1988" s="26">
        <f>(Table1[[#This Row],[Unit_Cost]]-Table1[[#This Row],[Negotiated_Cost]])/Table1[[#This Row],[Unit_Cost]]</f>
        <v>5.2657834931544814E-2</v>
      </c>
    </row>
    <row r="1989" spans="1:15" x14ac:dyDescent="0.25">
      <c r="A1989" t="s">
        <v>2024</v>
      </c>
      <c r="B1989" t="s">
        <v>27</v>
      </c>
      <c r="C1989" s="14" t="s">
        <v>24</v>
      </c>
      <c r="D1989" s="1">
        <v>45469</v>
      </c>
      <c r="E1989" s="13">
        <v>45493</v>
      </c>
      <c r="F1989" s="14" t="s">
        <v>14</v>
      </c>
      <c r="G1989">
        <v>360</v>
      </c>
      <c r="H1989">
        <v>12664</v>
      </c>
      <c r="I1989">
        <v>12085.66</v>
      </c>
      <c r="J1989">
        <v>7</v>
      </c>
      <c r="K1989" s="14" t="s">
        <v>15</v>
      </c>
      <c r="L1989" s="14">
        <f>IF(OR(Table1[[#This Row],[Order_Status]]="Delivered",Table1[[#This Row],[Delivery_Date]]&lt;&gt;"Not Yet Delivered"),Table1[[#This Row],[Delivery_Date]]-Table1[[#This Row],[Order_Date]],"Not Applicable")</f>
        <v>24</v>
      </c>
      <c r="M1989" s="14">
        <f>Table1[[#This Row],[Unit_Cost]]-Table1[[#This Row],[Negotiated_Cost]]</f>
        <v>578.34000000000015</v>
      </c>
      <c r="N1989" s="18">
        <f>Table1[[#This Row],[Defective_Units]]/Table1[[#This Row],[Quantity]]</f>
        <v>1.9444444444444445E-2</v>
      </c>
      <c r="O1989" s="26">
        <f>(Table1[[#This Row],[Unit_Cost]]-Table1[[#This Row],[Negotiated_Cost]])/Table1[[#This Row],[Unit_Cost]]</f>
        <v>4.5668035375868617E-2</v>
      </c>
    </row>
    <row r="1990" spans="1:15" x14ac:dyDescent="0.25">
      <c r="A1990" t="s">
        <v>2025</v>
      </c>
      <c r="B1990" t="s">
        <v>17</v>
      </c>
      <c r="C1990" s="14" t="s">
        <v>36</v>
      </c>
      <c r="D1990" s="1">
        <v>45544</v>
      </c>
      <c r="E1990" s="13">
        <v>45547</v>
      </c>
      <c r="F1990" s="14" t="s">
        <v>14</v>
      </c>
      <c r="G1990">
        <v>363</v>
      </c>
      <c r="H1990">
        <v>544.89</v>
      </c>
      <c r="I1990">
        <v>531.91999999999996</v>
      </c>
      <c r="J1990">
        <v>5</v>
      </c>
      <c r="K1990" s="14" t="s">
        <v>15</v>
      </c>
      <c r="L1990" s="14">
        <f>IF(OR(Table1[[#This Row],[Order_Status]]="Delivered",Table1[[#This Row],[Delivery_Date]]&lt;&gt;"Not Yet Delivered"),Table1[[#This Row],[Delivery_Date]]-Table1[[#This Row],[Order_Date]],"Not Applicable")</f>
        <v>3</v>
      </c>
      <c r="M1990" s="14">
        <f>Table1[[#This Row],[Unit_Cost]]-Table1[[#This Row],[Negotiated_Cost]]</f>
        <v>12.970000000000027</v>
      </c>
      <c r="N1990" s="18">
        <f>Table1[[#This Row],[Defective_Units]]/Table1[[#This Row],[Quantity]]</f>
        <v>1.3774104683195593E-2</v>
      </c>
      <c r="O1990" s="26">
        <f>(Table1[[#This Row],[Unit_Cost]]-Table1[[#This Row],[Negotiated_Cost]])/Table1[[#This Row],[Unit_Cost]]</f>
        <v>2.3802969406669285E-2</v>
      </c>
    </row>
    <row r="1991" spans="1:15" x14ac:dyDescent="0.25">
      <c r="A1991" t="s">
        <v>2026</v>
      </c>
      <c r="B1991" t="s">
        <v>17</v>
      </c>
      <c r="C1991" s="14" t="s">
        <v>50</v>
      </c>
      <c r="D1991" s="1">
        <v>45425</v>
      </c>
      <c r="E1991" s="13">
        <v>45437</v>
      </c>
      <c r="F1991" s="14" t="s">
        <v>14</v>
      </c>
      <c r="G1991">
        <v>17</v>
      </c>
      <c r="H1991">
        <v>47213.06</v>
      </c>
      <c r="I1991">
        <v>45525.39</v>
      </c>
      <c r="J1991">
        <v>0</v>
      </c>
      <c r="K1991" s="14" t="s">
        <v>15</v>
      </c>
      <c r="L1991" s="14">
        <f>IF(OR(Table1[[#This Row],[Order_Status]]="Delivered",Table1[[#This Row],[Delivery_Date]]&lt;&gt;"Not Yet Delivered"),Table1[[#This Row],[Delivery_Date]]-Table1[[#This Row],[Order_Date]],"Not Applicable")</f>
        <v>12</v>
      </c>
      <c r="M1991" s="14">
        <f>Table1[[#This Row],[Unit_Cost]]-Table1[[#This Row],[Negotiated_Cost]]</f>
        <v>1687.6699999999983</v>
      </c>
      <c r="N1991" s="18">
        <f>Table1[[#This Row],[Defective_Units]]/Table1[[#This Row],[Quantity]]</f>
        <v>0</v>
      </c>
      <c r="O1991" s="26">
        <f>(Table1[[#This Row],[Unit_Cost]]-Table1[[#This Row],[Negotiated_Cost]])/Table1[[#This Row],[Unit_Cost]]</f>
        <v>3.5745829649677409E-2</v>
      </c>
    </row>
    <row r="1992" spans="1:15" x14ac:dyDescent="0.25">
      <c r="A1992" t="s">
        <v>2027</v>
      </c>
      <c r="B1992" t="s">
        <v>27</v>
      </c>
      <c r="C1992" s="14" t="s">
        <v>13</v>
      </c>
      <c r="D1992" s="1">
        <v>45537</v>
      </c>
      <c r="E1992" s="13">
        <v>45566</v>
      </c>
      <c r="F1992" s="14" t="s">
        <v>37</v>
      </c>
      <c r="G1992">
        <v>454</v>
      </c>
      <c r="H1992">
        <v>4157.8</v>
      </c>
      <c r="I1992">
        <v>4082.61</v>
      </c>
      <c r="J1992">
        <v>6</v>
      </c>
      <c r="K1992" s="14" t="s">
        <v>15</v>
      </c>
      <c r="L1992" s="14">
        <f>IF(OR(Table1[[#This Row],[Order_Status]]="Delivered",Table1[[#This Row],[Delivery_Date]]&lt;&gt;"Not Yet Delivered"),Table1[[#This Row],[Delivery_Date]]-Table1[[#This Row],[Order_Date]],"Not Applicable")</f>
        <v>29</v>
      </c>
      <c r="M1992" s="14">
        <f>Table1[[#This Row],[Unit_Cost]]-Table1[[#This Row],[Negotiated_Cost]]</f>
        <v>75.190000000000055</v>
      </c>
      <c r="N1992" s="18">
        <f>Table1[[#This Row],[Defective_Units]]/Table1[[#This Row],[Quantity]]</f>
        <v>1.3215859030837005E-2</v>
      </c>
      <c r="O1992" s="26">
        <f>(Table1[[#This Row],[Unit_Cost]]-Table1[[#This Row],[Negotiated_Cost]])/Table1[[#This Row],[Unit_Cost]]</f>
        <v>1.8084082928471801E-2</v>
      </c>
    </row>
    <row r="1993" spans="1:15" x14ac:dyDescent="0.25">
      <c r="A1993" t="s">
        <v>2028</v>
      </c>
      <c r="B1993" t="s">
        <v>32</v>
      </c>
      <c r="C1993" s="14" t="s">
        <v>13</v>
      </c>
      <c r="D1993" s="1">
        <v>45568</v>
      </c>
      <c r="E1993" s="13">
        <v>45577</v>
      </c>
      <c r="F1993" s="14" t="s">
        <v>14</v>
      </c>
      <c r="G1993">
        <v>228</v>
      </c>
      <c r="H1993">
        <v>3994.94</v>
      </c>
      <c r="I1993">
        <v>3760.77</v>
      </c>
      <c r="J1993">
        <v>2</v>
      </c>
      <c r="K1993" s="14" t="s">
        <v>15</v>
      </c>
      <c r="L1993" s="14">
        <f>IF(OR(Table1[[#This Row],[Order_Status]]="Delivered",Table1[[#This Row],[Delivery_Date]]&lt;&gt;"Not Yet Delivered"),Table1[[#This Row],[Delivery_Date]]-Table1[[#This Row],[Order_Date]],"Not Applicable")</f>
        <v>9</v>
      </c>
      <c r="M1993" s="14">
        <f>Table1[[#This Row],[Unit_Cost]]-Table1[[#This Row],[Negotiated_Cost]]</f>
        <v>234.17000000000007</v>
      </c>
      <c r="N1993" s="18">
        <f>Table1[[#This Row],[Defective_Units]]/Table1[[#This Row],[Quantity]]</f>
        <v>8.771929824561403E-3</v>
      </c>
      <c r="O1993" s="26">
        <f>(Table1[[#This Row],[Unit_Cost]]-Table1[[#This Row],[Negotiated_Cost]])/Table1[[#This Row],[Unit_Cost]]</f>
        <v>5.8616650062328864E-2</v>
      </c>
    </row>
    <row r="1994" spans="1:15" x14ac:dyDescent="0.25">
      <c r="A1994" t="s">
        <v>2029</v>
      </c>
      <c r="B1994" t="s">
        <v>12</v>
      </c>
      <c r="C1994" s="14" t="s">
        <v>30</v>
      </c>
      <c r="D1994" s="1">
        <v>45104</v>
      </c>
      <c r="E1994" s="13">
        <v>45112</v>
      </c>
      <c r="F1994" s="14" t="s">
        <v>14</v>
      </c>
      <c r="G1994">
        <v>155</v>
      </c>
      <c r="H1994">
        <v>979.43</v>
      </c>
      <c r="I1994">
        <v>958.16</v>
      </c>
      <c r="J1994">
        <v>1</v>
      </c>
      <c r="K1994" s="14" t="s">
        <v>15</v>
      </c>
      <c r="L1994" s="14">
        <f>IF(OR(Table1[[#This Row],[Order_Status]]="Delivered",Table1[[#This Row],[Delivery_Date]]&lt;&gt;"Not Yet Delivered"),Table1[[#This Row],[Delivery_Date]]-Table1[[#This Row],[Order_Date]],"Not Applicable")</f>
        <v>8</v>
      </c>
      <c r="M1994" s="14">
        <f>Table1[[#This Row],[Unit_Cost]]-Table1[[#This Row],[Negotiated_Cost]]</f>
        <v>21.269999999999982</v>
      </c>
      <c r="N1994" s="18">
        <f>Table1[[#This Row],[Defective_Units]]/Table1[[#This Row],[Quantity]]</f>
        <v>6.4516129032258064E-3</v>
      </c>
      <c r="O1994" s="26">
        <f>(Table1[[#This Row],[Unit_Cost]]-Table1[[#This Row],[Negotiated_Cost]])/Table1[[#This Row],[Unit_Cost]]</f>
        <v>2.1716712781924163E-2</v>
      </c>
    </row>
    <row r="1995" spans="1:15" x14ac:dyDescent="0.25">
      <c r="A1995" t="s">
        <v>2030</v>
      </c>
      <c r="B1995" t="s">
        <v>12</v>
      </c>
      <c r="C1995" s="14" t="s">
        <v>24</v>
      </c>
      <c r="D1995" s="1">
        <v>45293</v>
      </c>
      <c r="E1995" s="13">
        <v>45308</v>
      </c>
      <c r="F1995" s="14" t="s">
        <v>14</v>
      </c>
      <c r="G1995">
        <v>421</v>
      </c>
      <c r="H1995">
        <v>12908.37</v>
      </c>
      <c r="I1995">
        <v>12325.74</v>
      </c>
      <c r="J1995">
        <v>5</v>
      </c>
      <c r="K1995" s="14" t="s">
        <v>15</v>
      </c>
      <c r="L1995" s="14">
        <f>IF(OR(Table1[[#This Row],[Order_Status]]="Delivered",Table1[[#This Row],[Delivery_Date]]&lt;&gt;"Not Yet Delivered"),Table1[[#This Row],[Delivery_Date]]-Table1[[#This Row],[Order_Date]],"Not Applicable")</f>
        <v>15</v>
      </c>
      <c r="M1995" s="14">
        <f>Table1[[#This Row],[Unit_Cost]]-Table1[[#This Row],[Negotiated_Cost]]</f>
        <v>582.63000000000102</v>
      </c>
      <c r="N1995" s="18">
        <f>Table1[[#This Row],[Defective_Units]]/Table1[[#This Row],[Quantity]]</f>
        <v>1.1876484560570071E-2</v>
      </c>
      <c r="O1995" s="26">
        <f>(Table1[[#This Row],[Unit_Cost]]-Table1[[#This Row],[Negotiated_Cost]])/Table1[[#This Row],[Unit_Cost]]</f>
        <v>4.513583047278634E-2</v>
      </c>
    </row>
    <row r="1996" spans="1:15" x14ac:dyDescent="0.25">
      <c r="A1996" t="s">
        <v>2031</v>
      </c>
      <c r="B1996" t="s">
        <v>20</v>
      </c>
      <c r="C1996" s="14" t="s">
        <v>48</v>
      </c>
      <c r="D1996" s="1">
        <v>45572</v>
      </c>
      <c r="E1996" s="13">
        <v>45593</v>
      </c>
      <c r="F1996" s="14" t="s">
        <v>14</v>
      </c>
      <c r="G1996">
        <v>445</v>
      </c>
      <c r="H1996">
        <v>6158.94</v>
      </c>
      <c r="I1996">
        <v>6082.64</v>
      </c>
      <c r="J1996">
        <v>4</v>
      </c>
      <c r="K1996" s="14" t="s">
        <v>15</v>
      </c>
      <c r="L1996" s="14">
        <f>IF(OR(Table1[[#This Row],[Order_Status]]="Delivered",Table1[[#This Row],[Delivery_Date]]&lt;&gt;"Not Yet Delivered"),Table1[[#This Row],[Delivery_Date]]-Table1[[#This Row],[Order_Date]],"Not Applicable")</f>
        <v>21</v>
      </c>
      <c r="M1996" s="14">
        <f>Table1[[#This Row],[Unit_Cost]]-Table1[[#This Row],[Negotiated_Cost]]</f>
        <v>76.299999999999272</v>
      </c>
      <c r="N1996" s="18">
        <f>Table1[[#This Row],[Defective_Units]]/Table1[[#This Row],[Quantity]]</f>
        <v>8.988764044943821E-3</v>
      </c>
      <c r="O1996" s="26">
        <f>(Table1[[#This Row],[Unit_Cost]]-Table1[[#This Row],[Negotiated_Cost]])/Table1[[#This Row],[Unit_Cost]]</f>
        <v>1.2388495422913566E-2</v>
      </c>
    </row>
    <row r="1997" spans="1:15" x14ac:dyDescent="0.25">
      <c r="A1997" t="s">
        <v>2032</v>
      </c>
      <c r="B1997" t="s">
        <v>27</v>
      </c>
      <c r="C1997" s="14" t="s">
        <v>18</v>
      </c>
      <c r="D1997" s="1">
        <v>45320</v>
      </c>
      <c r="E1997" s="13">
        <v>45326</v>
      </c>
      <c r="F1997" s="14" t="s">
        <v>14</v>
      </c>
      <c r="G1997">
        <v>310</v>
      </c>
      <c r="H1997">
        <v>5140.74</v>
      </c>
      <c r="I1997">
        <v>5104.71</v>
      </c>
      <c r="J1997">
        <v>0</v>
      </c>
      <c r="K1997" s="14" t="s">
        <v>15</v>
      </c>
      <c r="L1997" s="14">
        <f>IF(OR(Table1[[#This Row],[Order_Status]]="Delivered",Table1[[#This Row],[Delivery_Date]]&lt;&gt;"Not Yet Delivered"),Table1[[#This Row],[Delivery_Date]]-Table1[[#This Row],[Order_Date]],"Not Applicable")</f>
        <v>6</v>
      </c>
      <c r="M1997" s="14">
        <f>Table1[[#This Row],[Unit_Cost]]-Table1[[#This Row],[Negotiated_Cost]]</f>
        <v>36.029999999999745</v>
      </c>
      <c r="N1997" s="18">
        <f>Table1[[#This Row],[Defective_Units]]/Table1[[#This Row],[Quantity]]</f>
        <v>0</v>
      </c>
      <c r="O1997" s="26">
        <f>(Table1[[#This Row],[Unit_Cost]]-Table1[[#This Row],[Negotiated_Cost]])/Table1[[#This Row],[Unit_Cost]]</f>
        <v>7.0087185891524852E-3</v>
      </c>
    </row>
    <row r="1998" spans="1:15" x14ac:dyDescent="0.25">
      <c r="A1998" t="s">
        <v>2033</v>
      </c>
      <c r="B1998" t="s">
        <v>27</v>
      </c>
      <c r="C1998" s="14" t="s">
        <v>50</v>
      </c>
      <c r="D1998" s="1">
        <v>45647</v>
      </c>
      <c r="E1998" s="13">
        <v>45658</v>
      </c>
      <c r="F1998" s="14" t="s">
        <v>14</v>
      </c>
      <c r="G1998">
        <v>128</v>
      </c>
      <c r="H1998">
        <v>50252.66</v>
      </c>
      <c r="I1998">
        <v>47508.44</v>
      </c>
      <c r="J1998">
        <v>0</v>
      </c>
      <c r="K1998" s="14" t="s">
        <v>15</v>
      </c>
      <c r="L1998" s="14">
        <f>IF(OR(Table1[[#This Row],[Order_Status]]="Delivered",Table1[[#This Row],[Delivery_Date]]&lt;&gt;"Not Yet Delivered"),Table1[[#This Row],[Delivery_Date]]-Table1[[#This Row],[Order_Date]],"Not Applicable")</f>
        <v>11</v>
      </c>
      <c r="M1998" s="14">
        <f>Table1[[#This Row],[Unit_Cost]]-Table1[[#This Row],[Negotiated_Cost]]</f>
        <v>2744.2200000000012</v>
      </c>
      <c r="N1998" s="18">
        <f>Table1[[#This Row],[Defective_Units]]/Table1[[#This Row],[Quantity]]</f>
        <v>0</v>
      </c>
      <c r="O1998" s="26">
        <f>(Table1[[#This Row],[Unit_Cost]]-Table1[[#This Row],[Negotiated_Cost]])/Table1[[#This Row],[Unit_Cost]]</f>
        <v>5.4608452567485997E-2</v>
      </c>
    </row>
    <row r="1999" spans="1:15" x14ac:dyDescent="0.25">
      <c r="A1999" t="s">
        <v>2034</v>
      </c>
      <c r="B1999" t="s">
        <v>20</v>
      </c>
      <c r="C1999" s="14" t="s">
        <v>55</v>
      </c>
      <c r="D1999" s="1">
        <v>45124</v>
      </c>
      <c r="E1999" s="13">
        <v>45137</v>
      </c>
      <c r="F1999" s="14" t="s">
        <v>14</v>
      </c>
      <c r="G1999">
        <v>196</v>
      </c>
      <c r="H1999">
        <v>14283.58</v>
      </c>
      <c r="I1999">
        <v>14231.79</v>
      </c>
      <c r="J1999">
        <v>3</v>
      </c>
      <c r="K1999" s="14" t="s">
        <v>15</v>
      </c>
      <c r="L1999" s="14">
        <f>IF(OR(Table1[[#This Row],[Order_Status]]="Delivered",Table1[[#This Row],[Delivery_Date]]&lt;&gt;"Not Yet Delivered"),Table1[[#This Row],[Delivery_Date]]-Table1[[#This Row],[Order_Date]],"Not Applicable")</f>
        <v>13</v>
      </c>
      <c r="M1999" s="14">
        <f>Table1[[#This Row],[Unit_Cost]]-Table1[[#This Row],[Negotiated_Cost]]</f>
        <v>51.789999999999054</v>
      </c>
      <c r="N1999" s="18">
        <f>Table1[[#This Row],[Defective_Units]]/Table1[[#This Row],[Quantity]]</f>
        <v>1.5306122448979591E-2</v>
      </c>
      <c r="O1999" s="26">
        <f>(Table1[[#This Row],[Unit_Cost]]-Table1[[#This Row],[Negotiated_Cost]])/Table1[[#This Row],[Unit_Cost]]</f>
        <v>3.625841700750026E-3</v>
      </c>
    </row>
    <row r="2000" spans="1:15" x14ac:dyDescent="0.25">
      <c r="A2000" t="s">
        <v>2035</v>
      </c>
      <c r="B2000" t="s">
        <v>40</v>
      </c>
      <c r="C2000" s="14" t="s">
        <v>21</v>
      </c>
      <c r="D2000" s="1">
        <v>45297</v>
      </c>
      <c r="E2000" s="13">
        <v>45325</v>
      </c>
      <c r="F2000" s="14" t="s">
        <v>14</v>
      </c>
      <c r="G2000">
        <v>314</v>
      </c>
      <c r="H2000">
        <v>128.07</v>
      </c>
      <c r="I2000">
        <v>123.35</v>
      </c>
      <c r="J2000">
        <v>2</v>
      </c>
      <c r="K2000" s="14" t="s">
        <v>15</v>
      </c>
      <c r="L2000" s="14">
        <f>IF(OR(Table1[[#This Row],[Order_Status]]="Delivered",Table1[[#This Row],[Delivery_Date]]&lt;&gt;"Not Yet Delivered"),Table1[[#This Row],[Delivery_Date]]-Table1[[#This Row],[Order_Date]],"Not Applicable")</f>
        <v>28</v>
      </c>
      <c r="M2000" s="14">
        <f>Table1[[#This Row],[Unit_Cost]]-Table1[[#This Row],[Negotiated_Cost]]</f>
        <v>4.7199999999999989</v>
      </c>
      <c r="N2000" s="18">
        <f>Table1[[#This Row],[Defective_Units]]/Table1[[#This Row],[Quantity]]</f>
        <v>6.369426751592357E-3</v>
      </c>
      <c r="O2000" s="26">
        <f>(Table1[[#This Row],[Unit_Cost]]-Table1[[#This Row],[Negotiated_Cost]])/Table1[[#This Row],[Unit_Cost]]</f>
        <v>3.6854845006636987E-2</v>
      </c>
    </row>
    <row r="2001" spans="1:15" x14ac:dyDescent="0.25">
      <c r="A2001" t="s">
        <v>2036</v>
      </c>
      <c r="B2001" t="s">
        <v>32</v>
      </c>
      <c r="C2001" s="14" t="s">
        <v>13</v>
      </c>
      <c r="D2001" s="1">
        <v>45311</v>
      </c>
      <c r="E2001" s="13">
        <v>45336</v>
      </c>
      <c r="F2001" s="14" t="s">
        <v>37</v>
      </c>
      <c r="G2001">
        <v>60</v>
      </c>
      <c r="H2001">
        <v>3855.66</v>
      </c>
      <c r="I2001">
        <v>3705.82</v>
      </c>
      <c r="J2001">
        <v>0</v>
      </c>
      <c r="K2001" s="14" t="s">
        <v>15</v>
      </c>
      <c r="L2001" s="14">
        <f>IF(OR(Table1[[#This Row],[Order_Status]]="Delivered",Table1[[#This Row],[Delivery_Date]]&lt;&gt;"Not Yet Delivered"),Table1[[#This Row],[Delivery_Date]]-Table1[[#This Row],[Order_Date]],"Not Applicable")</f>
        <v>25</v>
      </c>
      <c r="M2001" s="14">
        <f>Table1[[#This Row],[Unit_Cost]]-Table1[[#This Row],[Negotiated_Cost]]</f>
        <v>149.83999999999969</v>
      </c>
      <c r="N2001" s="18">
        <f>Table1[[#This Row],[Defective_Units]]/Table1[[#This Row],[Quantity]]</f>
        <v>0</v>
      </c>
      <c r="O2001" s="26">
        <f>(Table1[[#This Row],[Unit_Cost]]-Table1[[#This Row],[Negotiated_Cost]])/Table1[[#This Row],[Unit_Cost]]</f>
        <v>3.8862347821125229E-2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A6339-4A29-46B6-A56E-8A131CE29DEC}">
  <dimension ref="A2:K19"/>
  <sheetViews>
    <sheetView workbookViewId="0">
      <selection activeCell="E5" sqref="E5"/>
    </sheetView>
  </sheetViews>
  <sheetFormatPr defaultRowHeight="15" x14ac:dyDescent="0.25"/>
  <cols>
    <col min="1" max="1" width="17" customWidth="1"/>
    <col min="3" max="3" width="35.7109375" customWidth="1"/>
    <col min="5" max="5" width="15.42578125" customWidth="1"/>
    <col min="7" max="7" width="19.28515625" customWidth="1"/>
    <col min="9" max="9" width="16.85546875" customWidth="1"/>
    <col min="11" max="11" width="16.5703125" customWidth="1"/>
  </cols>
  <sheetData>
    <row r="2" spans="1:11" x14ac:dyDescent="0.25">
      <c r="A2" s="12" t="s">
        <v>0</v>
      </c>
    </row>
    <row r="3" spans="1:11" x14ac:dyDescent="0.25">
      <c r="A3" t="s">
        <v>1</v>
      </c>
    </row>
    <row r="4" spans="1:11" x14ac:dyDescent="0.25">
      <c r="A4" t="s">
        <v>2</v>
      </c>
      <c r="C4" s="2" t="s">
        <v>2037</v>
      </c>
      <c r="E4" s="2" t="s">
        <v>2041</v>
      </c>
      <c r="G4" s="3" t="s">
        <v>2044</v>
      </c>
      <c r="I4" s="5" t="s">
        <v>1</v>
      </c>
      <c r="K4" s="7" t="s">
        <v>1</v>
      </c>
    </row>
    <row r="5" spans="1:11" x14ac:dyDescent="0.25">
      <c r="A5" t="s">
        <v>3</v>
      </c>
      <c r="C5" s="3" t="s">
        <v>2038</v>
      </c>
      <c r="E5" s="2" t="s">
        <v>2</v>
      </c>
      <c r="G5" s="3" t="s">
        <v>3</v>
      </c>
      <c r="I5" s="5" t="s">
        <v>2</v>
      </c>
      <c r="K5" s="7" t="s">
        <v>5</v>
      </c>
    </row>
    <row r="6" spans="1:11" x14ac:dyDescent="0.25">
      <c r="A6" t="s">
        <v>4</v>
      </c>
      <c r="C6" s="4" t="s">
        <v>2046</v>
      </c>
      <c r="E6" s="2" t="s">
        <v>2042</v>
      </c>
      <c r="G6" s="3" t="s">
        <v>4</v>
      </c>
      <c r="I6" s="5" t="s">
        <v>6</v>
      </c>
      <c r="K6" s="7" t="s">
        <v>3</v>
      </c>
    </row>
    <row r="7" spans="1:11" x14ac:dyDescent="0.25">
      <c r="A7" t="s">
        <v>5</v>
      </c>
      <c r="C7" s="8" t="s">
        <v>2047</v>
      </c>
      <c r="E7" s="2" t="s">
        <v>2043</v>
      </c>
      <c r="G7" s="3" t="s">
        <v>2045</v>
      </c>
      <c r="K7" s="7" t="s">
        <v>4</v>
      </c>
    </row>
    <row r="8" spans="1:11" x14ac:dyDescent="0.25">
      <c r="A8" t="s">
        <v>6</v>
      </c>
      <c r="C8" s="5" t="s">
        <v>2051</v>
      </c>
      <c r="K8" s="7" t="s">
        <v>6</v>
      </c>
    </row>
    <row r="9" spans="1:11" x14ac:dyDescent="0.25">
      <c r="A9" t="s">
        <v>7</v>
      </c>
      <c r="C9" s="6" t="s">
        <v>2050</v>
      </c>
      <c r="E9" s="4" t="s">
        <v>1</v>
      </c>
      <c r="G9" s="8" t="s">
        <v>1</v>
      </c>
      <c r="I9" s="6" t="s">
        <v>1</v>
      </c>
      <c r="K9" s="7" t="s">
        <v>7</v>
      </c>
    </row>
    <row r="10" spans="1:11" x14ac:dyDescent="0.25">
      <c r="A10" t="s">
        <v>8</v>
      </c>
      <c r="C10" s="7" t="s">
        <v>2039</v>
      </c>
      <c r="E10" s="4" t="s">
        <v>3</v>
      </c>
      <c r="G10" s="8" t="s">
        <v>2048</v>
      </c>
      <c r="I10" s="6" t="s">
        <v>2</v>
      </c>
      <c r="K10" s="7" t="s">
        <v>8</v>
      </c>
    </row>
    <row r="11" spans="1:11" x14ac:dyDescent="0.25">
      <c r="A11" t="s">
        <v>9</v>
      </c>
      <c r="C11" s="9" t="s">
        <v>2040</v>
      </c>
      <c r="E11" s="4" t="s">
        <v>4</v>
      </c>
      <c r="G11" s="8" t="s">
        <v>4</v>
      </c>
      <c r="I11" s="6" t="s">
        <v>3</v>
      </c>
    </row>
    <row r="12" spans="1:11" x14ac:dyDescent="0.25">
      <c r="A12" t="s">
        <v>10</v>
      </c>
      <c r="E12" s="4" t="s">
        <v>7</v>
      </c>
      <c r="G12" s="8" t="s">
        <v>6</v>
      </c>
      <c r="I12" s="6" t="s">
        <v>7</v>
      </c>
      <c r="K12" s="9" t="s">
        <v>1</v>
      </c>
    </row>
    <row r="13" spans="1:11" x14ac:dyDescent="0.25">
      <c r="E13" s="4" t="s">
        <v>8</v>
      </c>
      <c r="G13" s="8" t="s">
        <v>2049</v>
      </c>
      <c r="I13" s="6" t="s">
        <v>8</v>
      </c>
      <c r="K13" s="9" t="s">
        <v>2</v>
      </c>
    </row>
    <row r="14" spans="1:11" x14ac:dyDescent="0.25">
      <c r="E14" s="4" t="s">
        <v>9</v>
      </c>
      <c r="G14" s="8" t="s">
        <v>8</v>
      </c>
      <c r="K14" s="9" t="s">
        <v>7</v>
      </c>
    </row>
    <row r="15" spans="1:11" x14ac:dyDescent="0.25">
      <c r="C15" s="11" t="s">
        <v>2056</v>
      </c>
      <c r="E15" s="4" t="s">
        <v>10</v>
      </c>
      <c r="G15" s="8" t="s">
        <v>9</v>
      </c>
      <c r="K15" s="9" t="s">
        <v>8</v>
      </c>
    </row>
    <row r="16" spans="1:11" x14ac:dyDescent="0.25">
      <c r="C16" s="10" t="s">
        <v>2052</v>
      </c>
      <c r="G16" s="8" t="s">
        <v>10</v>
      </c>
    </row>
    <row r="17" spans="3:3" x14ac:dyDescent="0.25">
      <c r="C17" s="10" t="s">
        <v>2053</v>
      </c>
    </row>
    <row r="18" spans="3:3" x14ac:dyDescent="0.25">
      <c r="C18" s="10" t="s">
        <v>2054</v>
      </c>
    </row>
    <row r="19" spans="3:3" x14ac:dyDescent="0.25">
      <c r="C19" s="10" t="s">
        <v>2055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33E1-7E2B-47E4-88DB-A583CBA5E07B}">
  <dimension ref="A3:B12"/>
  <sheetViews>
    <sheetView workbookViewId="0">
      <selection activeCell="B17" sqref="B17"/>
    </sheetView>
  </sheetViews>
  <sheetFormatPr defaultRowHeight="15" x14ac:dyDescent="0.25"/>
  <cols>
    <col min="1" max="1" width="13.140625" bestFit="1" customWidth="1"/>
    <col min="2" max="2" width="20" bestFit="1" customWidth="1"/>
    <col min="3" max="3" width="24" bestFit="1" customWidth="1"/>
    <col min="4" max="4" width="7" bestFit="1" customWidth="1"/>
    <col min="5" max="5" width="6" bestFit="1" customWidth="1"/>
    <col min="6" max="8" width="7" bestFit="1" customWidth="1"/>
    <col min="9" max="9" width="4" bestFit="1" customWidth="1"/>
    <col min="10" max="10" width="7" bestFit="1" customWidth="1"/>
    <col min="11" max="11" width="6" bestFit="1" customWidth="1"/>
    <col min="12" max="17" width="7" bestFit="1" customWidth="1"/>
    <col min="18" max="18" width="6" bestFit="1" customWidth="1"/>
    <col min="19" max="19" width="7" bestFit="1" customWidth="1"/>
    <col min="20" max="20" width="6" bestFit="1" customWidth="1"/>
    <col min="21" max="47" width="7" bestFit="1" customWidth="1"/>
    <col min="48" max="48" width="6" bestFit="1" customWidth="1"/>
    <col min="49" max="51" width="7" bestFit="1" customWidth="1"/>
    <col min="52" max="52" width="6" bestFit="1" customWidth="1"/>
    <col min="53" max="82" width="7" bestFit="1" customWidth="1"/>
    <col min="83" max="83" width="6" bestFit="1" customWidth="1"/>
    <col min="84" max="87" width="7" bestFit="1" customWidth="1"/>
    <col min="88" max="88" width="6" bestFit="1" customWidth="1"/>
    <col min="89" max="91" width="7" bestFit="1" customWidth="1"/>
    <col min="92" max="92" width="6" bestFit="1" customWidth="1"/>
    <col min="93" max="97" width="7" bestFit="1" customWidth="1"/>
    <col min="98" max="98" width="6" bestFit="1" customWidth="1"/>
    <col min="99" max="99" width="7" bestFit="1" customWidth="1"/>
    <col min="100" max="100" width="4" bestFit="1" customWidth="1"/>
    <col min="101" max="122" width="7" bestFit="1" customWidth="1"/>
    <col min="123" max="123" width="6" bestFit="1" customWidth="1"/>
    <col min="124" max="130" width="7" bestFit="1" customWidth="1"/>
    <col min="131" max="131" width="4" bestFit="1" customWidth="1"/>
    <col min="132" max="135" width="7" bestFit="1" customWidth="1"/>
    <col min="136" max="136" width="6" bestFit="1" customWidth="1"/>
    <col min="137" max="150" width="7" bestFit="1" customWidth="1"/>
    <col min="151" max="151" width="6" bestFit="1" customWidth="1"/>
    <col min="152" max="163" width="7" bestFit="1" customWidth="1"/>
    <col min="164" max="164" width="6" bestFit="1" customWidth="1"/>
    <col min="165" max="170" width="7" bestFit="1" customWidth="1"/>
    <col min="171" max="171" width="6" bestFit="1" customWidth="1"/>
    <col min="172" max="179" width="7" bestFit="1" customWidth="1"/>
    <col min="180" max="180" width="6" bestFit="1" customWidth="1"/>
    <col min="181" max="183" width="7" bestFit="1" customWidth="1"/>
    <col min="184" max="184" width="4" bestFit="1" customWidth="1"/>
    <col min="185" max="194" width="7" bestFit="1" customWidth="1"/>
    <col min="195" max="195" width="6" bestFit="1" customWidth="1"/>
    <col min="196" max="214" width="7" bestFit="1" customWidth="1"/>
    <col min="215" max="215" width="6" bestFit="1" customWidth="1"/>
    <col min="216" max="219" width="7" bestFit="1" customWidth="1"/>
    <col min="220" max="220" width="6" bestFit="1" customWidth="1"/>
    <col min="221" max="242" width="7" bestFit="1" customWidth="1"/>
    <col min="243" max="243" width="6" bestFit="1" customWidth="1"/>
    <col min="244" max="244" width="7" bestFit="1" customWidth="1"/>
    <col min="245" max="245" width="6" bestFit="1" customWidth="1"/>
    <col min="246" max="252" width="7" bestFit="1" customWidth="1"/>
    <col min="253" max="253" width="4" bestFit="1" customWidth="1"/>
    <col min="254" max="256" width="7" bestFit="1" customWidth="1"/>
    <col min="257" max="258" width="6" bestFit="1" customWidth="1"/>
    <col min="259" max="261" width="7" bestFit="1" customWidth="1"/>
    <col min="262" max="262" width="6" bestFit="1" customWidth="1"/>
    <col min="263" max="271" width="7" bestFit="1" customWidth="1"/>
    <col min="272" max="272" width="4" bestFit="1" customWidth="1"/>
    <col min="273" max="279" width="7" bestFit="1" customWidth="1"/>
    <col min="280" max="280" width="6" bestFit="1" customWidth="1"/>
    <col min="281" max="285" width="7" bestFit="1" customWidth="1"/>
    <col min="286" max="286" width="6" bestFit="1" customWidth="1"/>
    <col min="287" max="287" width="7" bestFit="1" customWidth="1"/>
    <col min="288" max="288" width="6" bestFit="1" customWidth="1"/>
    <col min="289" max="302" width="7" bestFit="1" customWidth="1"/>
    <col min="303" max="303" width="6" bestFit="1" customWidth="1"/>
    <col min="304" max="304" width="7" bestFit="1" customWidth="1"/>
    <col min="305" max="305" width="6" bestFit="1" customWidth="1"/>
    <col min="306" max="317" width="7" bestFit="1" customWidth="1"/>
    <col min="318" max="318" width="6" bestFit="1" customWidth="1"/>
    <col min="319" max="331" width="7" bestFit="1" customWidth="1"/>
    <col min="332" max="332" width="6" bestFit="1" customWidth="1"/>
    <col min="333" max="343" width="7" bestFit="1" customWidth="1"/>
    <col min="344" max="344" width="6" bestFit="1" customWidth="1"/>
    <col min="345" max="347" width="7" bestFit="1" customWidth="1"/>
    <col min="348" max="348" width="6" bestFit="1" customWidth="1"/>
    <col min="349" max="353" width="7" bestFit="1" customWidth="1"/>
    <col min="354" max="354" width="6" bestFit="1" customWidth="1"/>
    <col min="355" max="366" width="7" bestFit="1" customWidth="1"/>
    <col min="367" max="367" width="4" bestFit="1" customWidth="1"/>
    <col min="368" max="382" width="7" bestFit="1" customWidth="1"/>
    <col min="383" max="383" width="6" bestFit="1" customWidth="1"/>
    <col min="384" max="391" width="7" bestFit="1" customWidth="1"/>
    <col min="392" max="392" width="6" bestFit="1" customWidth="1"/>
    <col min="393" max="394" width="7" bestFit="1" customWidth="1"/>
    <col min="395" max="395" width="6" bestFit="1" customWidth="1"/>
    <col min="396" max="406" width="7" bestFit="1" customWidth="1"/>
    <col min="407" max="408" width="6" bestFit="1" customWidth="1"/>
    <col min="409" max="415" width="7" bestFit="1" customWidth="1"/>
    <col min="416" max="416" width="6" bestFit="1" customWidth="1"/>
    <col min="417" max="427" width="7" bestFit="1" customWidth="1"/>
    <col min="428" max="429" width="6" bestFit="1" customWidth="1"/>
    <col min="430" max="444" width="7" bestFit="1" customWidth="1"/>
    <col min="445" max="445" width="6" bestFit="1" customWidth="1"/>
    <col min="446" max="452" width="7" bestFit="1" customWidth="1"/>
    <col min="453" max="453" width="6" bestFit="1" customWidth="1"/>
    <col min="454" max="489" width="7" bestFit="1" customWidth="1"/>
    <col min="490" max="490" width="6" bestFit="1" customWidth="1"/>
    <col min="491" max="497" width="7" bestFit="1" customWidth="1"/>
    <col min="498" max="498" width="6" bestFit="1" customWidth="1"/>
    <col min="499" max="505" width="7" bestFit="1" customWidth="1"/>
    <col min="506" max="506" width="6" bestFit="1" customWidth="1"/>
    <col min="507" max="519" width="7" bestFit="1" customWidth="1"/>
    <col min="520" max="520" width="6" bestFit="1" customWidth="1"/>
    <col min="521" max="524" width="7" bestFit="1" customWidth="1"/>
    <col min="525" max="531" width="8" bestFit="1" customWidth="1"/>
    <col min="532" max="532" width="7" bestFit="1" customWidth="1"/>
    <col min="533" max="535" width="8" bestFit="1" customWidth="1"/>
    <col min="536" max="536" width="7" bestFit="1" customWidth="1"/>
    <col min="537" max="552" width="8" bestFit="1" customWidth="1"/>
    <col min="553" max="553" width="7" bestFit="1" customWidth="1"/>
    <col min="554" max="554" width="8" bestFit="1" customWidth="1"/>
    <col min="555" max="555" width="7" bestFit="1" customWidth="1"/>
    <col min="556" max="563" width="8" bestFit="1" customWidth="1"/>
    <col min="564" max="564" width="7" bestFit="1" customWidth="1"/>
    <col min="565" max="590" width="8" bestFit="1" customWidth="1"/>
    <col min="591" max="591" width="7" bestFit="1" customWidth="1"/>
    <col min="592" max="604" width="8" bestFit="1" customWidth="1"/>
    <col min="605" max="605" width="7" bestFit="1" customWidth="1"/>
    <col min="606" max="606" width="8" bestFit="1" customWidth="1"/>
    <col min="607" max="607" width="7" bestFit="1" customWidth="1"/>
    <col min="608" max="613" width="8" bestFit="1" customWidth="1"/>
    <col min="614" max="614" width="7" bestFit="1" customWidth="1"/>
    <col min="615" max="617" width="8" bestFit="1" customWidth="1"/>
    <col min="618" max="618" width="5" bestFit="1" customWidth="1"/>
    <col min="619" max="625" width="8" bestFit="1" customWidth="1"/>
    <col min="626" max="626" width="7" bestFit="1" customWidth="1"/>
    <col min="627" max="639" width="8" bestFit="1" customWidth="1"/>
    <col min="640" max="640" width="7" bestFit="1" customWidth="1"/>
    <col min="641" max="644" width="8" bestFit="1" customWidth="1"/>
    <col min="645" max="645" width="7" bestFit="1" customWidth="1"/>
    <col min="646" max="672" width="8" bestFit="1" customWidth="1"/>
    <col min="673" max="673" width="7" bestFit="1" customWidth="1"/>
    <col min="674" max="674" width="8" bestFit="1" customWidth="1"/>
    <col min="675" max="675" width="7" bestFit="1" customWidth="1"/>
    <col min="676" max="696" width="8" bestFit="1" customWidth="1"/>
    <col min="697" max="697" width="7" bestFit="1" customWidth="1"/>
    <col min="698" max="701" width="8" bestFit="1" customWidth="1"/>
    <col min="702" max="702" width="7" bestFit="1" customWidth="1"/>
    <col min="703" max="714" width="8" bestFit="1" customWidth="1"/>
    <col min="715" max="715" width="7" bestFit="1" customWidth="1"/>
    <col min="716" max="729" width="8" bestFit="1" customWidth="1"/>
    <col min="730" max="730" width="7" bestFit="1" customWidth="1"/>
    <col min="731" max="735" width="8" bestFit="1" customWidth="1"/>
    <col min="736" max="736" width="7" bestFit="1" customWidth="1"/>
    <col min="737" max="745" width="8" bestFit="1" customWidth="1"/>
    <col min="746" max="746" width="7" bestFit="1" customWidth="1"/>
    <col min="747" max="752" width="8" bestFit="1" customWidth="1"/>
    <col min="753" max="753" width="7" bestFit="1" customWidth="1"/>
    <col min="754" max="755" width="8" bestFit="1" customWidth="1"/>
    <col min="756" max="756" width="7" bestFit="1" customWidth="1"/>
    <col min="757" max="765" width="8" bestFit="1" customWidth="1"/>
    <col min="766" max="767" width="7" bestFit="1" customWidth="1"/>
    <col min="768" max="793" width="8" bestFit="1" customWidth="1"/>
    <col min="794" max="794" width="7" bestFit="1" customWidth="1"/>
    <col min="795" max="817" width="8" bestFit="1" customWidth="1"/>
    <col min="818" max="818" width="7" bestFit="1" customWidth="1"/>
    <col min="819" max="819" width="8" bestFit="1" customWidth="1"/>
    <col min="820" max="820" width="7" bestFit="1" customWidth="1"/>
    <col min="821" max="821" width="8" bestFit="1" customWidth="1"/>
    <col min="822" max="822" width="7" bestFit="1" customWidth="1"/>
    <col min="823" max="824" width="8" bestFit="1" customWidth="1"/>
    <col min="825" max="825" width="7" bestFit="1" customWidth="1"/>
    <col min="826" max="856" width="8" bestFit="1" customWidth="1"/>
    <col min="857" max="857" width="7" bestFit="1" customWidth="1"/>
    <col min="858" max="870" width="8" bestFit="1" customWidth="1"/>
    <col min="871" max="871" width="7" bestFit="1" customWidth="1"/>
    <col min="872" max="883" width="8" bestFit="1" customWidth="1"/>
    <col min="884" max="884" width="7" bestFit="1" customWidth="1"/>
    <col min="885" max="885" width="8" bestFit="1" customWidth="1"/>
    <col min="886" max="886" width="7" bestFit="1" customWidth="1"/>
    <col min="887" max="888" width="8" bestFit="1" customWidth="1"/>
    <col min="889" max="890" width="7" bestFit="1" customWidth="1"/>
    <col min="891" max="905" width="8" bestFit="1" customWidth="1"/>
    <col min="906" max="907" width="7" bestFit="1" customWidth="1"/>
    <col min="908" max="919" width="8" bestFit="1" customWidth="1"/>
    <col min="920" max="920" width="7" bestFit="1" customWidth="1"/>
    <col min="921" max="926" width="8" bestFit="1" customWidth="1"/>
    <col min="927" max="927" width="7" bestFit="1" customWidth="1"/>
    <col min="928" max="932" width="8" bestFit="1" customWidth="1"/>
    <col min="933" max="933" width="7" bestFit="1" customWidth="1"/>
    <col min="934" max="939" width="8" bestFit="1" customWidth="1"/>
    <col min="940" max="940" width="7" bestFit="1" customWidth="1"/>
    <col min="941" max="949" width="8" bestFit="1" customWidth="1"/>
    <col min="950" max="950" width="7" bestFit="1" customWidth="1"/>
    <col min="951" max="957" width="8" bestFit="1" customWidth="1"/>
    <col min="958" max="958" width="7" bestFit="1" customWidth="1"/>
    <col min="959" max="970" width="8" bestFit="1" customWidth="1"/>
    <col min="971" max="971" width="7" bestFit="1" customWidth="1"/>
    <col min="972" max="974" width="8" bestFit="1" customWidth="1"/>
    <col min="975" max="975" width="7" bestFit="1" customWidth="1"/>
    <col min="976" max="976" width="5" bestFit="1" customWidth="1"/>
    <col min="977" max="1008" width="8" bestFit="1" customWidth="1"/>
    <col min="1009" max="1009" width="7" bestFit="1" customWidth="1"/>
    <col min="1010" max="1015" width="8" bestFit="1" customWidth="1"/>
    <col min="1016" max="1017" width="7" bestFit="1" customWidth="1"/>
    <col min="1018" max="1021" width="8" bestFit="1" customWidth="1"/>
    <col min="1022" max="1022" width="5" bestFit="1" customWidth="1"/>
    <col min="1023" max="1025" width="8" bestFit="1" customWidth="1"/>
    <col min="1026" max="1026" width="7" bestFit="1" customWidth="1"/>
    <col min="1027" max="1032" width="8" bestFit="1" customWidth="1"/>
    <col min="1033" max="1033" width="7" bestFit="1" customWidth="1"/>
    <col min="1034" max="1034" width="8" bestFit="1" customWidth="1"/>
    <col min="1035" max="1035" width="7" bestFit="1" customWidth="1"/>
    <col min="1036" max="1050" width="8" bestFit="1" customWidth="1"/>
    <col min="1051" max="1051" width="7" bestFit="1" customWidth="1"/>
    <col min="1052" max="1053" width="8" bestFit="1" customWidth="1"/>
    <col min="1054" max="1054" width="7" bestFit="1" customWidth="1"/>
    <col min="1055" max="1073" width="8" bestFit="1" customWidth="1"/>
    <col min="1074" max="1074" width="7" bestFit="1" customWidth="1"/>
    <col min="1075" max="1077" width="8" bestFit="1" customWidth="1"/>
    <col min="1078" max="1078" width="7" bestFit="1" customWidth="1"/>
    <col min="1079" max="1086" width="8" bestFit="1" customWidth="1"/>
    <col min="1087" max="1087" width="7" bestFit="1" customWidth="1"/>
    <col min="1088" max="1095" width="8" bestFit="1" customWidth="1"/>
    <col min="1096" max="1096" width="7" bestFit="1" customWidth="1"/>
    <col min="1097" max="1100" width="8" bestFit="1" customWidth="1"/>
    <col min="1101" max="1101" width="7" bestFit="1" customWidth="1"/>
    <col min="1102" max="1125" width="8" bestFit="1" customWidth="1"/>
    <col min="1126" max="1127" width="7" bestFit="1" customWidth="1"/>
    <col min="1128" max="1134" width="8" bestFit="1" customWidth="1"/>
    <col min="1135" max="1135" width="7" bestFit="1" customWidth="1"/>
    <col min="1136" max="1146" width="8" bestFit="1" customWidth="1"/>
    <col min="1147" max="1147" width="7" bestFit="1" customWidth="1"/>
    <col min="1148" max="1152" width="8" bestFit="1" customWidth="1"/>
    <col min="1153" max="1153" width="7" bestFit="1" customWidth="1"/>
    <col min="1154" max="1168" width="8" bestFit="1" customWidth="1"/>
    <col min="1169" max="1169" width="7" bestFit="1" customWidth="1"/>
    <col min="1170" max="1179" width="8" bestFit="1" customWidth="1"/>
    <col min="1180" max="1180" width="7" bestFit="1" customWidth="1"/>
    <col min="1181" max="1183" width="8" bestFit="1" customWidth="1"/>
    <col min="1184" max="1184" width="7" bestFit="1" customWidth="1"/>
    <col min="1185" max="1188" width="8" bestFit="1" customWidth="1"/>
    <col min="1189" max="1189" width="9" bestFit="1" customWidth="1"/>
    <col min="1190" max="1190" width="8" bestFit="1" customWidth="1"/>
    <col min="1191" max="1203" width="9" bestFit="1" customWidth="1"/>
    <col min="1204" max="1204" width="8" bestFit="1" customWidth="1"/>
    <col min="1205" max="1206" width="9" bestFit="1" customWidth="1"/>
    <col min="1207" max="1207" width="8" bestFit="1" customWidth="1"/>
    <col min="1208" max="1212" width="9" bestFit="1" customWidth="1"/>
    <col min="1213" max="1213" width="8" bestFit="1" customWidth="1"/>
    <col min="1214" max="1214" width="9" bestFit="1" customWidth="1"/>
    <col min="1215" max="1215" width="8" bestFit="1" customWidth="1"/>
    <col min="1216" max="1219" width="9" bestFit="1" customWidth="1"/>
    <col min="1220" max="1220" width="8" bestFit="1" customWidth="1"/>
    <col min="1221" max="1227" width="9" bestFit="1" customWidth="1"/>
    <col min="1228" max="1228" width="8" bestFit="1" customWidth="1"/>
    <col min="1229" max="1236" width="9" bestFit="1" customWidth="1"/>
    <col min="1237" max="1237" width="8" bestFit="1" customWidth="1"/>
    <col min="1238" max="1260" width="9" bestFit="1" customWidth="1"/>
    <col min="1261" max="1261" width="8" bestFit="1" customWidth="1"/>
    <col min="1262" max="1264" width="9" bestFit="1" customWidth="1"/>
    <col min="1265" max="1265" width="8" bestFit="1" customWidth="1"/>
    <col min="1266" max="1267" width="9" bestFit="1" customWidth="1"/>
    <col min="1268" max="1268" width="8" bestFit="1" customWidth="1"/>
    <col min="1269" max="1274" width="9" bestFit="1" customWidth="1"/>
    <col min="1275" max="1275" width="6" bestFit="1" customWidth="1"/>
    <col min="1276" max="1285" width="9" bestFit="1" customWidth="1"/>
    <col min="1286" max="1286" width="8" bestFit="1" customWidth="1"/>
    <col min="1287" max="1289" width="9" bestFit="1" customWidth="1"/>
    <col min="1290" max="1290" width="8" bestFit="1" customWidth="1"/>
    <col min="1291" max="1301" width="9" bestFit="1" customWidth="1"/>
    <col min="1302" max="1302" width="8" bestFit="1" customWidth="1"/>
    <col min="1303" max="1304" width="9" bestFit="1" customWidth="1"/>
    <col min="1305" max="1305" width="8" bestFit="1" customWidth="1"/>
    <col min="1306" max="1316" width="9" bestFit="1" customWidth="1"/>
    <col min="1317" max="1317" width="6" bestFit="1" customWidth="1"/>
    <col min="1318" max="1324" width="9" bestFit="1" customWidth="1"/>
    <col min="1325" max="1325" width="8" bestFit="1" customWidth="1"/>
    <col min="1326" max="1334" width="9" bestFit="1" customWidth="1"/>
    <col min="1335" max="1335" width="6" bestFit="1" customWidth="1"/>
    <col min="1336" max="1338" width="9" bestFit="1" customWidth="1"/>
    <col min="1339" max="1339" width="8" bestFit="1" customWidth="1"/>
    <col min="1340" max="1345" width="9" bestFit="1" customWidth="1"/>
    <col min="1346" max="1346" width="8" bestFit="1" customWidth="1"/>
    <col min="1347" max="1348" width="9" bestFit="1" customWidth="1"/>
    <col min="1349" max="1349" width="8" bestFit="1" customWidth="1"/>
    <col min="1350" max="1351" width="9" bestFit="1" customWidth="1"/>
    <col min="1352" max="1352" width="8" bestFit="1" customWidth="1"/>
    <col min="1353" max="1353" width="9" bestFit="1" customWidth="1"/>
    <col min="1354" max="1354" width="8" bestFit="1" customWidth="1"/>
    <col min="1355" max="1366" width="9" bestFit="1" customWidth="1"/>
    <col min="1367" max="1367" width="8" bestFit="1" customWidth="1"/>
    <col min="1368" max="1369" width="9" bestFit="1" customWidth="1"/>
    <col min="1370" max="1370" width="8" bestFit="1" customWidth="1"/>
    <col min="1371" max="1381" width="9" bestFit="1" customWidth="1"/>
    <col min="1382" max="1382" width="8" bestFit="1" customWidth="1"/>
    <col min="1383" max="1395" width="9" bestFit="1" customWidth="1"/>
    <col min="1396" max="1396" width="8" bestFit="1" customWidth="1"/>
    <col min="1397" max="1402" width="9" bestFit="1" customWidth="1"/>
    <col min="1403" max="1405" width="8" bestFit="1" customWidth="1"/>
    <col min="1406" max="1406" width="6" bestFit="1" customWidth="1"/>
    <col min="1407" max="1410" width="9" bestFit="1" customWidth="1"/>
    <col min="1411" max="1411" width="8" bestFit="1" customWidth="1"/>
    <col min="1412" max="1422" width="9" bestFit="1" customWidth="1"/>
    <col min="1423" max="1423" width="8" bestFit="1" customWidth="1"/>
    <col min="1424" max="1431" width="9" bestFit="1" customWidth="1"/>
    <col min="1432" max="1432" width="8" bestFit="1" customWidth="1"/>
    <col min="1433" max="1435" width="9" bestFit="1" customWidth="1"/>
    <col min="1436" max="1436" width="8" bestFit="1" customWidth="1"/>
    <col min="1437" max="1444" width="9" bestFit="1" customWidth="1"/>
    <col min="1445" max="1445" width="8" bestFit="1" customWidth="1"/>
    <col min="1446" max="1463" width="9" bestFit="1" customWidth="1"/>
    <col min="1464" max="1464" width="8" bestFit="1" customWidth="1"/>
    <col min="1465" max="1472" width="9" bestFit="1" customWidth="1"/>
    <col min="1473" max="1473" width="8" bestFit="1" customWidth="1"/>
    <col min="1474" max="1482" width="9" bestFit="1" customWidth="1"/>
    <col min="1483" max="1483" width="8" bestFit="1" customWidth="1"/>
    <col min="1484" max="1491" width="9" bestFit="1" customWidth="1"/>
    <col min="1492" max="1493" width="8" bestFit="1" customWidth="1"/>
    <col min="1494" max="1523" width="9" bestFit="1" customWidth="1"/>
    <col min="1524" max="1524" width="8" bestFit="1" customWidth="1"/>
    <col min="1525" max="1535" width="9" bestFit="1" customWidth="1"/>
    <col min="1536" max="1538" width="8" bestFit="1" customWidth="1"/>
    <col min="1539" max="1539" width="9" bestFit="1" customWidth="1"/>
    <col min="1540" max="1540" width="8" bestFit="1" customWidth="1"/>
    <col min="1541" max="1555" width="9" bestFit="1" customWidth="1"/>
    <col min="1556" max="1556" width="8" bestFit="1" customWidth="1"/>
    <col min="1557" max="1561" width="9" bestFit="1" customWidth="1"/>
    <col min="1562" max="1562" width="6" bestFit="1" customWidth="1"/>
    <col min="1563" max="1566" width="9" bestFit="1" customWidth="1"/>
    <col min="1567" max="1567" width="8" bestFit="1" customWidth="1"/>
    <col min="1568" max="1569" width="9" bestFit="1" customWidth="1"/>
    <col min="1570" max="1570" width="8" bestFit="1" customWidth="1"/>
    <col min="1571" max="1571" width="9" bestFit="1" customWidth="1"/>
    <col min="1572" max="1572" width="8" bestFit="1" customWidth="1"/>
    <col min="1573" max="1600" width="9" bestFit="1" customWidth="1"/>
    <col min="1601" max="1601" width="8" bestFit="1" customWidth="1"/>
    <col min="1602" max="1604" width="9" bestFit="1" customWidth="1"/>
    <col min="1605" max="1605" width="8" bestFit="1" customWidth="1"/>
    <col min="1606" max="1609" width="9" bestFit="1" customWidth="1"/>
    <col min="1610" max="1610" width="8" bestFit="1" customWidth="1"/>
    <col min="1611" max="1616" width="9" bestFit="1" customWidth="1"/>
    <col min="1617" max="1617" width="8" bestFit="1" customWidth="1"/>
    <col min="1618" max="1619" width="9" bestFit="1" customWidth="1"/>
    <col min="1620" max="1620" width="8" bestFit="1" customWidth="1"/>
    <col min="1621" max="1633" width="9" bestFit="1" customWidth="1"/>
    <col min="1634" max="1635" width="8" bestFit="1" customWidth="1"/>
    <col min="1636" max="1656" width="9" bestFit="1" customWidth="1"/>
    <col min="1657" max="1657" width="8" bestFit="1" customWidth="1"/>
    <col min="1658" max="1661" width="9" bestFit="1" customWidth="1"/>
    <col min="1662" max="1662" width="8" bestFit="1" customWidth="1"/>
    <col min="1663" max="1673" width="9" bestFit="1" customWidth="1"/>
    <col min="1674" max="1674" width="8" bestFit="1" customWidth="1"/>
    <col min="1675" max="1677" width="9" bestFit="1" customWidth="1"/>
    <col min="1678" max="1678" width="8" bestFit="1" customWidth="1"/>
    <col min="1679" max="1682" width="9" bestFit="1" customWidth="1"/>
    <col min="1683" max="1683" width="6" bestFit="1" customWidth="1"/>
    <col min="1684" max="1696" width="9" bestFit="1" customWidth="1"/>
    <col min="1697" max="1697" width="8" bestFit="1" customWidth="1"/>
    <col min="1698" max="1698" width="9" bestFit="1" customWidth="1"/>
    <col min="1699" max="1699" width="8" bestFit="1" customWidth="1"/>
    <col min="1700" max="1708" width="9" bestFit="1" customWidth="1"/>
    <col min="1709" max="1710" width="8" bestFit="1" customWidth="1"/>
    <col min="1711" max="1719" width="9" bestFit="1" customWidth="1"/>
    <col min="1720" max="1720" width="6" bestFit="1" customWidth="1"/>
    <col min="1721" max="1726" width="9" bestFit="1" customWidth="1"/>
    <col min="1727" max="1727" width="8" bestFit="1" customWidth="1"/>
    <col min="1728" max="1731" width="9" bestFit="1" customWidth="1"/>
    <col min="1732" max="1732" width="8" bestFit="1" customWidth="1"/>
    <col min="1733" max="1734" width="9" bestFit="1" customWidth="1"/>
    <col min="1735" max="1735" width="8" bestFit="1" customWidth="1"/>
    <col min="1736" max="1740" width="9" bestFit="1" customWidth="1"/>
    <col min="1741" max="1741" width="8" bestFit="1" customWidth="1"/>
    <col min="1742" max="1750" width="9" bestFit="1" customWidth="1"/>
    <col min="1751" max="1751" width="8" bestFit="1" customWidth="1"/>
    <col min="1752" max="1802" width="9" bestFit="1" customWidth="1"/>
    <col min="1803" max="1803" width="8" bestFit="1" customWidth="1"/>
    <col min="1804" max="1818" width="9" bestFit="1" customWidth="1"/>
    <col min="1819" max="1819" width="8" bestFit="1" customWidth="1"/>
    <col min="1820" max="1821" width="9" bestFit="1" customWidth="1"/>
    <col min="1822" max="1822" width="8" bestFit="1" customWidth="1"/>
    <col min="1823" max="1841" width="9" bestFit="1" customWidth="1"/>
    <col min="1842" max="1842" width="8" bestFit="1" customWidth="1"/>
    <col min="1843" max="1858" width="9" bestFit="1" customWidth="1"/>
    <col min="1859" max="1859" width="8" bestFit="1" customWidth="1"/>
    <col min="1860" max="1865" width="9" bestFit="1" customWidth="1"/>
    <col min="1866" max="1866" width="6" bestFit="1" customWidth="1"/>
    <col min="1867" max="1889" width="9" bestFit="1" customWidth="1"/>
    <col min="1890" max="1890" width="8" bestFit="1" customWidth="1"/>
    <col min="1891" max="1898" width="9" bestFit="1" customWidth="1"/>
    <col min="1899" max="1899" width="8" bestFit="1" customWidth="1"/>
    <col min="1900" max="1904" width="9" bestFit="1" customWidth="1"/>
    <col min="1905" max="1907" width="8" bestFit="1" customWidth="1"/>
    <col min="1908" max="1919" width="9" bestFit="1" customWidth="1"/>
    <col min="1920" max="1920" width="8" bestFit="1" customWidth="1"/>
    <col min="1921" max="1927" width="9" bestFit="1" customWidth="1"/>
    <col min="1928" max="1928" width="6" bestFit="1" customWidth="1"/>
    <col min="1929" max="1962" width="9" bestFit="1" customWidth="1"/>
    <col min="1963" max="1963" width="8" bestFit="1" customWidth="1"/>
    <col min="1964" max="1969" width="9" bestFit="1" customWidth="1"/>
    <col min="1970" max="1971" width="8" bestFit="1" customWidth="1"/>
    <col min="1972" max="1975" width="9" bestFit="1" customWidth="1"/>
    <col min="1976" max="1976" width="8" bestFit="1" customWidth="1"/>
    <col min="1977" max="1977" width="9" bestFit="1" customWidth="1"/>
    <col min="1978" max="1978" width="8" bestFit="1" customWidth="1"/>
    <col min="1979" max="1988" width="9" bestFit="1" customWidth="1"/>
    <col min="1989" max="1989" width="11.28515625" bestFit="1" customWidth="1"/>
  </cols>
  <sheetData>
    <row r="3" spans="1:2" x14ac:dyDescent="0.25">
      <c r="A3" s="19" t="s">
        <v>2062</v>
      </c>
      <c r="B3" t="s">
        <v>2064</v>
      </c>
    </row>
    <row r="4" spans="1:2" x14ac:dyDescent="0.25">
      <c r="A4" s="20" t="s">
        <v>20</v>
      </c>
      <c r="B4" s="24">
        <v>13213.402949308758</v>
      </c>
    </row>
    <row r="5" spans="1:2" x14ac:dyDescent="0.25">
      <c r="A5" s="20" t="s">
        <v>27</v>
      </c>
      <c r="B5" s="24">
        <v>14023.39857638888</v>
      </c>
    </row>
    <row r="6" spans="1:2" x14ac:dyDescent="0.25">
      <c r="A6" s="20" t="s">
        <v>17</v>
      </c>
      <c r="B6" s="24">
        <v>14220.712291666667</v>
      </c>
    </row>
    <row r="7" spans="1:2" x14ac:dyDescent="0.25">
      <c r="A7" s="20" t="s">
        <v>12</v>
      </c>
      <c r="B7" s="24">
        <v>14782.904889705887</v>
      </c>
    </row>
    <row r="8" spans="1:2" x14ac:dyDescent="0.25">
      <c r="A8" s="20" t="s">
        <v>46</v>
      </c>
      <c r="B8" s="24">
        <v>11911.189053497941</v>
      </c>
    </row>
    <row r="9" spans="1:2" x14ac:dyDescent="0.25">
      <c r="A9" s="20" t="s">
        <v>32</v>
      </c>
      <c r="B9" s="24">
        <v>11690.950123456787</v>
      </c>
    </row>
    <row r="10" spans="1:2" x14ac:dyDescent="0.25">
      <c r="A10" s="20" t="s">
        <v>40</v>
      </c>
      <c r="B10" s="24">
        <v>13613.072828685261</v>
      </c>
    </row>
    <row r="11" spans="1:2" x14ac:dyDescent="0.25">
      <c r="A11" s="20" t="s">
        <v>35</v>
      </c>
      <c r="B11" s="24">
        <v>12679.279268292683</v>
      </c>
    </row>
    <row r="12" spans="1:2" x14ac:dyDescent="0.25">
      <c r="A12" s="20" t="s">
        <v>2063</v>
      </c>
      <c r="B12" s="24">
        <v>13305.636054999992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667F6-3396-4D33-8B60-ABEFA9BF0558}">
  <dimension ref="A3:B12"/>
  <sheetViews>
    <sheetView workbookViewId="0">
      <selection activeCell="H5" sqref="H5"/>
    </sheetView>
  </sheetViews>
  <sheetFormatPr defaultRowHeight="15" x14ac:dyDescent="0.25"/>
  <cols>
    <col min="1" max="1" width="13.140625" bestFit="1" customWidth="1"/>
    <col min="2" max="2" width="24" bestFit="1" customWidth="1"/>
  </cols>
  <sheetData>
    <row r="3" spans="1:2" x14ac:dyDescent="0.25">
      <c r="A3" s="19" t="s">
        <v>2062</v>
      </c>
      <c r="B3" t="s">
        <v>2065</v>
      </c>
    </row>
    <row r="4" spans="1:2" x14ac:dyDescent="0.25">
      <c r="A4" s="20" t="s">
        <v>20</v>
      </c>
      <c r="B4" s="24">
        <v>16.202072538860104</v>
      </c>
    </row>
    <row r="5" spans="1:2" x14ac:dyDescent="0.25">
      <c r="A5" s="20" t="s">
        <v>27</v>
      </c>
      <c r="B5" s="24">
        <v>16.317073170731707</v>
      </c>
    </row>
    <row r="6" spans="1:2" x14ac:dyDescent="0.25">
      <c r="A6" s="20" t="s">
        <v>17</v>
      </c>
      <c r="B6" s="24">
        <v>15.305418719211822</v>
      </c>
    </row>
    <row r="7" spans="1:2" x14ac:dyDescent="0.25">
      <c r="A7" s="20" t="s">
        <v>12</v>
      </c>
      <c r="B7" s="24">
        <v>16.086419753086421</v>
      </c>
    </row>
    <row r="8" spans="1:2" x14ac:dyDescent="0.25">
      <c r="A8" s="20" t="s">
        <v>46</v>
      </c>
      <c r="B8" s="24">
        <v>17.147058823529413</v>
      </c>
    </row>
    <row r="9" spans="1:2" x14ac:dyDescent="0.25">
      <c r="A9" s="20" t="s">
        <v>32</v>
      </c>
      <c r="B9" s="24">
        <v>15.122641509433961</v>
      </c>
    </row>
    <row r="10" spans="1:2" x14ac:dyDescent="0.25">
      <c r="A10" s="20" t="s">
        <v>40</v>
      </c>
      <c r="B10" s="24">
        <v>16.315533980582526</v>
      </c>
    </row>
    <row r="11" spans="1:2" x14ac:dyDescent="0.25">
      <c r="A11" s="20" t="s">
        <v>35</v>
      </c>
      <c r="B11" s="24">
        <v>16.233333333333334</v>
      </c>
    </row>
    <row r="12" spans="1:2" x14ac:dyDescent="0.25">
      <c r="A12" s="20" t="s">
        <v>2063</v>
      </c>
      <c r="B12" s="24">
        <v>16.092603377984858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Quantity Analysis</vt:lpstr>
      <vt:lpstr>Price Trend Analysis</vt:lpstr>
      <vt:lpstr>Price Vs Delivery Analysis</vt:lpstr>
      <vt:lpstr>Cost Saving &amp; Quality Analysis</vt:lpstr>
      <vt:lpstr>Final Dashboard</vt:lpstr>
      <vt:lpstr>KPIs_Pivot</vt:lpstr>
      <vt:lpstr>vendor_cost_comparison_procurem</vt:lpstr>
      <vt:lpstr>Data Understanding</vt:lpstr>
      <vt:lpstr>Vendor Price Analysis</vt:lpstr>
      <vt:lpstr>Vendor Delivery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Lingadharini</dc:creator>
  <cp:lastModifiedBy>Dharini K</cp:lastModifiedBy>
  <dcterms:created xsi:type="dcterms:W3CDTF">2026-08-17T05:38:42Z</dcterms:created>
  <dcterms:modified xsi:type="dcterms:W3CDTF">2026-08-27T16:01:39Z</dcterms:modified>
</cp:coreProperties>
</file>